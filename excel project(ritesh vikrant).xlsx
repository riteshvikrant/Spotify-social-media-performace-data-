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400CF23-8864-47D8-8D8F-3FC4DC5B5C2F}" xr6:coauthVersionLast="47" xr6:coauthVersionMax="47" xr10:uidLastSave="{00000000-0000-0000-0000-000000000000}"/>
  <bookViews>
    <workbookView xWindow="-108" yWindow="-108" windowWidth="23256" windowHeight="14616" firstSheet="2" activeTab="2" xr2:uid="{00000000-000D-0000-FFFF-FFFF00000000}"/>
  </bookViews>
  <sheets>
    <sheet name="Task1" sheetId="7" r:id="rId1"/>
    <sheet name="Task2" sheetId="11" r:id="rId2"/>
    <sheet name="Task3" sheetId="4" r:id="rId3"/>
    <sheet name="Task4" sheetId="5" r:id="rId4"/>
    <sheet name="Task5" sheetId="13" r:id="rId5"/>
    <sheet name="Task6" sheetId="14" r:id="rId6"/>
    <sheet name="Detail1" sheetId="16" r:id="rId7"/>
    <sheet name="Posts" sheetId="1" r:id="rId8"/>
    <sheet name="Engagement Summary" sheetId="2" r:id="rId9"/>
    <sheet name="Campaign Metadata" sheetId="3" r:id="rId10"/>
  </sheets>
  <definedNames>
    <definedName name="_xlnm._FilterDatabase" localSheetId="7" hidden="1">Posts!#REF!</definedName>
    <definedName name="_xlnm._FilterDatabase" localSheetId="0" hidden="1">Task1!$P$8:$X$308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T308" i="7"/>
  <c r="S308" i="7"/>
  <c r="Q308" i="7"/>
  <c r="P308" i="7"/>
  <c r="T307" i="7"/>
  <c r="S307" i="7"/>
  <c r="Q307" i="7"/>
  <c r="P307" i="7"/>
  <c r="T306" i="7"/>
  <c r="S306" i="7"/>
  <c r="Q306" i="7"/>
  <c r="P306" i="7"/>
  <c r="T305" i="7"/>
  <c r="S305" i="7"/>
  <c r="Q305" i="7"/>
  <c r="P305" i="7"/>
  <c r="T304" i="7"/>
  <c r="S304" i="7"/>
  <c r="Q304" i="7"/>
  <c r="P304" i="7"/>
  <c r="T303" i="7"/>
  <c r="S303" i="7"/>
  <c r="Q303" i="7"/>
  <c r="P303" i="7"/>
  <c r="T302" i="7"/>
  <c r="S302" i="7"/>
  <c r="Q302" i="7"/>
  <c r="P302" i="7"/>
  <c r="T301" i="7"/>
  <c r="S301" i="7"/>
  <c r="Q301" i="7"/>
  <c r="P301" i="7"/>
  <c r="T300" i="7"/>
  <c r="S300" i="7"/>
  <c r="Q300" i="7"/>
  <c r="P300" i="7"/>
  <c r="T299" i="7"/>
  <c r="S299" i="7"/>
  <c r="Q299" i="7"/>
  <c r="P299" i="7"/>
  <c r="T298" i="7"/>
  <c r="S298" i="7"/>
  <c r="Q298" i="7"/>
  <c r="P298" i="7"/>
  <c r="T297" i="7"/>
  <c r="S297" i="7"/>
  <c r="Q297" i="7"/>
  <c r="P297" i="7"/>
  <c r="T296" i="7"/>
  <c r="S296" i="7"/>
  <c r="Q296" i="7"/>
  <c r="P296" i="7"/>
  <c r="T295" i="7"/>
  <c r="S295" i="7"/>
  <c r="Q295" i="7"/>
  <c r="P295" i="7"/>
  <c r="T294" i="7"/>
  <c r="S294" i="7"/>
  <c r="Q294" i="7"/>
  <c r="P294" i="7"/>
  <c r="T293" i="7"/>
  <c r="S293" i="7"/>
  <c r="Q293" i="7"/>
  <c r="P293" i="7"/>
  <c r="T292" i="7"/>
  <c r="S292" i="7"/>
  <c r="Q292" i="7"/>
  <c r="P292" i="7"/>
  <c r="T291" i="7"/>
  <c r="S291" i="7"/>
  <c r="Q291" i="7"/>
  <c r="P291" i="7"/>
  <c r="T290" i="7"/>
  <c r="S290" i="7"/>
  <c r="Q290" i="7"/>
  <c r="P290" i="7"/>
  <c r="T289" i="7"/>
  <c r="S289" i="7"/>
  <c r="Q289" i="7"/>
  <c r="P289" i="7"/>
  <c r="T288" i="7"/>
  <c r="S288" i="7"/>
  <c r="Q288" i="7"/>
  <c r="P288" i="7"/>
  <c r="T287" i="7"/>
  <c r="S287" i="7"/>
  <c r="Q287" i="7"/>
  <c r="P287" i="7"/>
  <c r="T286" i="7"/>
  <c r="S286" i="7"/>
  <c r="Q286" i="7"/>
  <c r="P286" i="7"/>
  <c r="T285" i="7"/>
  <c r="S285" i="7"/>
  <c r="Q285" i="7"/>
  <c r="P285" i="7"/>
  <c r="T284" i="7"/>
  <c r="S284" i="7"/>
  <c r="Q284" i="7"/>
  <c r="P284" i="7"/>
  <c r="T283" i="7"/>
  <c r="S283" i="7"/>
  <c r="Q283" i="7"/>
  <c r="P283" i="7"/>
  <c r="T282" i="7"/>
  <c r="S282" i="7"/>
  <c r="Q282" i="7"/>
  <c r="P282" i="7"/>
  <c r="T281" i="7"/>
  <c r="S281" i="7"/>
  <c r="Q281" i="7"/>
  <c r="P281" i="7"/>
  <c r="T280" i="7"/>
  <c r="S280" i="7"/>
  <c r="Q280" i="7"/>
  <c r="P280" i="7"/>
  <c r="T279" i="7"/>
  <c r="S279" i="7"/>
  <c r="Q279" i="7"/>
  <c r="P279" i="7"/>
  <c r="T278" i="7"/>
  <c r="S278" i="7"/>
  <c r="Q278" i="7"/>
  <c r="P278" i="7"/>
  <c r="T277" i="7"/>
  <c r="S277" i="7"/>
  <c r="Q277" i="7"/>
  <c r="P277" i="7"/>
  <c r="T276" i="7"/>
  <c r="S276" i="7"/>
  <c r="Q276" i="7"/>
  <c r="P276" i="7"/>
  <c r="T275" i="7"/>
  <c r="S275" i="7"/>
  <c r="Q275" i="7"/>
  <c r="P275" i="7"/>
  <c r="T274" i="7"/>
  <c r="S274" i="7"/>
  <c r="Q274" i="7"/>
  <c r="P274" i="7"/>
  <c r="T273" i="7"/>
  <c r="S273" i="7"/>
  <c r="Q273" i="7"/>
  <c r="P273" i="7"/>
  <c r="T272" i="7"/>
  <c r="S272" i="7"/>
  <c r="Q272" i="7"/>
  <c r="P272" i="7"/>
  <c r="T271" i="7"/>
  <c r="S271" i="7"/>
  <c r="Q271" i="7"/>
  <c r="P271" i="7"/>
  <c r="T270" i="7"/>
  <c r="S270" i="7"/>
  <c r="Q270" i="7"/>
  <c r="P270" i="7"/>
  <c r="T269" i="7"/>
  <c r="S269" i="7"/>
  <c r="Q269" i="7"/>
  <c r="P269" i="7"/>
  <c r="T268" i="7"/>
  <c r="S268" i="7"/>
  <c r="Q268" i="7"/>
  <c r="P268" i="7"/>
  <c r="T267" i="7"/>
  <c r="S267" i="7"/>
  <c r="Q267" i="7"/>
  <c r="P267" i="7"/>
  <c r="T266" i="7"/>
  <c r="S266" i="7"/>
  <c r="Q266" i="7"/>
  <c r="P266" i="7"/>
  <c r="T265" i="7"/>
  <c r="S265" i="7"/>
  <c r="Q265" i="7"/>
  <c r="P265" i="7"/>
  <c r="T264" i="7"/>
  <c r="S264" i="7"/>
  <c r="Q264" i="7"/>
  <c r="P264" i="7"/>
  <c r="T263" i="7"/>
  <c r="S263" i="7"/>
  <c r="Q263" i="7"/>
  <c r="P263" i="7"/>
  <c r="T262" i="7"/>
  <c r="S262" i="7"/>
  <c r="Q262" i="7"/>
  <c r="P262" i="7"/>
  <c r="T261" i="7"/>
  <c r="S261" i="7"/>
  <c r="Q261" i="7"/>
  <c r="P261" i="7"/>
  <c r="T260" i="7"/>
  <c r="S260" i="7"/>
  <c r="Q260" i="7"/>
  <c r="P260" i="7"/>
  <c r="T259" i="7"/>
  <c r="S259" i="7"/>
  <c r="Q259" i="7"/>
  <c r="P259" i="7"/>
  <c r="T258" i="7"/>
  <c r="S258" i="7"/>
  <c r="Q258" i="7"/>
  <c r="P258" i="7"/>
  <c r="T257" i="7"/>
  <c r="S257" i="7"/>
  <c r="Q257" i="7"/>
  <c r="P257" i="7"/>
  <c r="T256" i="7"/>
  <c r="S256" i="7"/>
  <c r="Q256" i="7"/>
  <c r="P256" i="7"/>
  <c r="T255" i="7"/>
  <c r="S255" i="7"/>
  <c r="Q255" i="7"/>
  <c r="P255" i="7"/>
  <c r="T254" i="7"/>
  <c r="S254" i="7"/>
  <c r="Q254" i="7"/>
  <c r="P254" i="7"/>
  <c r="T253" i="7"/>
  <c r="S253" i="7"/>
  <c r="Q253" i="7"/>
  <c r="P253" i="7"/>
  <c r="T252" i="7"/>
  <c r="S252" i="7"/>
  <c r="Q252" i="7"/>
  <c r="P252" i="7"/>
  <c r="T251" i="7"/>
  <c r="S251" i="7"/>
  <c r="Q251" i="7"/>
  <c r="P251" i="7"/>
  <c r="T250" i="7"/>
  <c r="S250" i="7"/>
  <c r="Q250" i="7"/>
  <c r="P250" i="7"/>
  <c r="T249" i="7"/>
  <c r="S249" i="7"/>
  <c r="Q249" i="7"/>
  <c r="P249" i="7"/>
  <c r="T248" i="7"/>
  <c r="S248" i="7"/>
  <c r="Q248" i="7"/>
  <c r="P248" i="7"/>
  <c r="T247" i="7"/>
  <c r="S247" i="7"/>
  <c r="Q247" i="7"/>
  <c r="P247" i="7"/>
  <c r="T246" i="7"/>
  <c r="S246" i="7"/>
  <c r="Q246" i="7"/>
  <c r="P246" i="7"/>
  <c r="T245" i="7"/>
  <c r="S245" i="7"/>
  <c r="Q245" i="7"/>
  <c r="P245" i="7"/>
  <c r="T244" i="7"/>
  <c r="S244" i="7"/>
  <c r="Q244" i="7"/>
  <c r="P244" i="7"/>
  <c r="T243" i="7"/>
  <c r="S243" i="7"/>
  <c r="Q243" i="7"/>
  <c r="P243" i="7"/>
  <c r="T242" i="7"/>
  <c r="S242" i="7"/>
  <c r="Q242" i="7"/>
  <c r="P242" i="7"/>
  <c r="T241" i="7"/>
  <c r="S241" i="7"/>
  <c r="Q241" i="7"/>
  <c r="P241" i="7"/>
  <c r="T240" i="7"/>
  <c r="S240" i="7"/>
  <c r="Q240" i="7"/>
  <c r="P240" i="7"/>
  <c r="T239" i="7"/>
  <c r="S239" i="7"/>
  <c r="Q239" i="7"/>
  <c r="P239" i="7"/>
  <c r="T238" i="7"/>
  <c r="S238" i="7"/>
  <c r="Q238" i="7"/>
  <c r="P238" i="7"/>
  <c r="T237" i="7"/>
  <c r="S237" i="7"/>
  <c r="Q237" i="7"/>
  <c r="P237" i="7"/>
  <c r="T236" i="7"/>
  <c r="S236" i="7"/>
  <c r="Q236" i="7"/>
  <c r="P236" i="7"/>
  <c r="T235" i="7"/>
  <c r="S235" i="7"/>
  <c r="Q235" i="7"/>
  <c r="P235" i="7"/>
  <c r="T234" i="7"/>
  <c r="S234" i="7"/>
  <c r="Q234" i="7"/>
  <c r="P234" i="7"/>
  <c r="T233" i="7"/>
  <c r="S233" i="7"/>
  <c r="Q233" i="7"/>
  <c r="P233" i="7"/>
  <c r="T232" i="7"/>
  <c r="S232" i="7"/>
  <c r="Q232" i="7"/>
  <c r="P232" i="7"/>
  <c r="T231" i="7"/>
  <c r="S231" i="7"/>
  <c r="Q231" i="7"/>
  <c r="P231" i="7"/>
  <c r="T230" i="7"/>
  <c r="S230" i="7"/>
  <c r="Q230" i="7"/>
  <c r="P230" i="7"/>
  <c r="T229" i="7"/>
  <c r="S229" i="7"/>
  <c r="Q229" i="7"/>
  <c r="P229" i="7"/>
  <c r="T228" i="7"/>
  <c r="S228" i="7"/>
  <c r="Q228" i="7"/>
  <c r="P228" i="7"/>
  <c r="T227" i="7"/>
  <c r="S227" i="7"/>
  <c r="Q227" i="7"/>
  <c r="P227" i="7"/>
  <c r="T226" i="7"/>
  <c r="S226" i="7"/>
  <c r="Q226" i="7"/>
  <c r="P226" i="7"/>
  <c r="T225" i="7"/>
  <c r="S225" i="7"/>
  <c r="Q225" i="7"/>
  <c r="P225" i="7"/>
  <c r="T224" i="7"/>
  <c r="S224" i="7"/>
  <c r="Q224" i="7"/>
  <c r="P224" i="7"/>
  <c r="T223" i="7"/>
  <c r="S223" i="7"/>
  <c r="Q223" i="7"/>
  <c r="P223" i="7"/>
  <c r="T222" i="7"/>
  <c r="S222" i="7"/>
  <c r="Q222" i="7"/>
  <c r="P222" i="7"/>
  <c r="T221" i="7"/>
  <c r="S221" i="7"/>
  <c r="Q221" i="7"/>
  <c r="P221" i="7"/>
  <c r="T220" i="7"/>
  <c r="S220" i="7"/>
  <c r="Q220" i="7"/>
  <c r="P220" i="7"/>
  <c r="T219" i="7"/>
  <c r="S219" i="7"/>
  <c r="Q219" i="7"/>
  <c r="P219" i="7"/>
  <c r="T218" i="7"/>
  <c r="S218" i="7"/>
  <c r="Q218" i="7"/>
  <c r="P218" i="7"/>
  <c r="T217" i="7"/>
  <c r="S217" i="7"/>
  <c r="Q217" i="7"/>
  <c r="P217" i="7"/>
  <c r="T216" i="7"/>
  <c r="S216" i="7"/>
  <c r="Q216" i="7"/>
  <c r="P216" i="7"/>
  <c r="T215" i="7"/>
  <c r="S215" i="7"/>
  <c r="Q215" i="7"/>
  <c r="P215" i="7"/>
  <c r="T214" i="7"/>
  <c r="S214" i="7"/>
  <c r="Q214" i="7"/>
  <c r="P214" i="7"/>
  <c r="T213" i="7"/>
  <c r="S213" i="7"/>
  <c r="Q213" i="7"/>
  <c r="P213" i="7"/>
  <c r="T212" i="7"/>
  <c r="S212" i="7"/>
  <c r="Q212" i="7"/>
  <c r="P212" i="7"/>
  <c r="T211" i="7"/>
  <c r="S211" i="7"/>
  <c r="Q211" i="7"/>
  <c r="P211" i="7"/>
  <c r="T210" i="7"/>
  <c r="S210" i="7"/>
  <c r="Q210" i="7"/>
  <c r="P210" i="7"/>
  <c r="T209" i="7"/>
  <c r="S209" i="7"/>
  <c r="Q209" i="7"/>
  <c r="P209" i="7"/>
  <c r="T208" i="7"/>
  <c r="S208" i="7"/>
  <c r="Q208" i="7"/>
  <c r="P208" i="7"/>
  <c r="T207" i="7"/>
  <c r="S207" i="7"/>
  <c r="Q207" i="7"/>
  <c r="P207" i="7"/>
  <c r="T206" i="7"/>
  <c r="S206" i="7"/>
  <c r="Q206" i="7"/>
  <c r="P206" i="7"/>
  <c r="T205" i="7"/>
  <c r="S205" i="7"/>
  <c r="Q205" i="7"/>
  <c r="P205" i="7"/>
  <c r="T204" i="7"/>
  <c r="S204" i="7"/>
  <c r="Q204" i="7"/>
  <c r="P204" i="7"/>
  <c r="T203" i="7"/>
  <c r="S203" i="7"/>
  <c r="Q203" i="7"/>
  <c r="P203" i="7"/>
  <c r="T202" i="7"/>
  <c r="S202" i="7"/>
  <c r="Q202" i="7"/>
  <c r="P202" i="7"/>
  <c r="T201" i="7"/>
  <c r="S201" i="7"/>
  <c r="Q201" i="7"/>
  <c r="P201" i="7"/>
  <c r="T200" i="7"/>
  <c r="S200" i="7"/>
  <c r="Q200" i="7"/>
  <c r="P200" i="7"/>
  <c r="T199" i="7"/>
  <c r="S199" i="7"/>
  <c r="Q199" i="7"/>
  <c r="P199" i="7"/>
  <c r="T198" i="7"/>
  <c r="S198" i="7"/>
  <c r="Q198" i="7"/>
  <c r="P198" i="7"/>
  <c r="T197" i="7"/>
  <c r="S197" i="7"/>
  <c r="Q197" i="7"/>
  <c r="P197" i="7"/>
  <c r="T196" i="7"/>
  <c r="S196" i="7"/>
  <c r="Q196" i="7"/>
  <c r="P196" i="7"/>
  <c r="T195" i="7"/>
  <c r="S195" i="7"/>
  <c r="Q195" i="7"/>
  <c r="P195" i="7"/>
  <c r="T194" i="7"/>
  <c r="S194" i="7"/>
  <c r="Q194" i="7"/>
  <c r="P194" i="7"/>
  <c r="T193" i="7"/>
  <c r="S193" i="7"/>
  <c r="Q193" i="7"/>
  <c r="P193" i="7"/>
  <c r="T192" i="7"/>
  <c r="S192" i="7"/>
  <c r="Q192" i="7"/>
  <c r="P192" i="7"/>
  <c r="T191" i="7"/>
  <c r="S191" i="7"/>
  <c r="Q191" i="7"/>
  <c r="P191" i="7"/>
  <c r="T190" i="7"/>
  <c r="S190" i="7"/>
  <c r="Q190" i="7"/>
  <c r="P190" i="7"/>
  <c r="T189" i="7"/>
  <c r="S189" i="7"/>
  <c r="Q189" i="7"/>
  <c r="P189" i="7"/>
  <c r="T188" i="7"/>
  <c r="S188" i="7"/>
  <c r="Q188" i="7"/>
  <c r="P188" i="7"/>
  <c r="T187" i="7"/>
  <c r="S187" i="7"/>
  <c r="Q187" i="7"/>
  <c r="P187" i="7"/>
  <c r="T186" i="7"/>
  <c r="S186" i="7"/>
  <c r="Q186" i="7"/>
  <c r="P186" i="7"/>
  <c r="T185" i="7"/>
  <c r="S185" i="7"/>
  <c r="Q185" i="7"/>
  <c r="P185" i="7"/>
  <c r="T184" i="7"/>
  <c r="S184" i="7"/>
  <c r="Q184" i="7"/>
  <c r="P184" i="7"/>
  <c r="T183" i="7"/>
  <c r="S183" i="7"/>
  <c r="Q183" i="7"/>
  <c r="P183" i="7"/>
  <c r="T182" i="7"/>
  <c r="S182" i="7"/>
  <c r="Q182" i="7"/>
  <c r="P182" i="7"/>
  <c r="T181" i="7"/>
  <c r="S181" i="7"/>
  <c r="Q181" i="7"/>
  <c r="P181" i="7"/>
  <c r="T180" i="7"/>
  <c r="S180" i="7"/>
  <c r="Q180" i="7"/>
  <c r="P180" i="7"/>
  <c r="T179" i="7"/>
  <c r="S179" i="7"/>
  <c r="Q179" i="7"/>
  <c r="P179" i="7"/>
  <c r="T178" i="7"/>
  <c r="S178" i="7"/>
  <c r="Q178" i="7"/>
  <c r="P178" i="7"/>
  <c r="T177" i="7"/>
  <c r="S177" i="7"/>
  <c r="Q177" i="7"/>
  <c r="P177" i="7"/>
  <c r="T176" i="7"/>
  <c r="S176" i="7"/>
  <c r="Q176" i="7"/>
  <c r="P176" i="7"/>
  <c r="T175" i="7"/>
  <c r="S175" i="7"/>
  <c r="Q175" i="7"/>
  <c r="P175" i="7"/>
  <c r="T174" i="7"/>
  <c r="S174" i="7"/>
  <c r="Q174" i="7"/>
  <c r="P174" i="7"/>
  <c r="T173" i="7"/>
  <c r="S173" i="7"/>
  <c r="Q173" i="7"/>
  <c r="P173" i="7"/>
  <c r="T172" i="7"/>
  <c r="S172" i="7"/>
  <c r="Q172" i="7"/>
  <c r="P172" i="7"/>
  <c r="T171" i="7"/>
  <c r="S171" i="7"/>
  <c r="Q171" i="7"/>
  <c r="P171" i="7"/>
  <c r="T170" i="7"/>
  <c r="S170" i="7"/>
  <c r="Q170" i="7"/>
  <c r="P170" i="7"/>
  <c r="T169" i="7"/>
  <c r="S169" i="7"/>
  <c r="Q169" i="7"/>
  <c r="P169" i="7"/>
  <c r="T168" i="7"/>
  <c r="S168" i="7"/>
  <c r="Q168" i="7"/>
  <c r="P168" i="7"/>
  <c r="T167" i="7"/>
  <c r="S167" i="7"/>
  <c r="Q167" i="7"/>
  <c r="P167" i="7"/>
  <c r="T166" i="7"/>
  <c r="S166" i="7"/>
  <c r="Q166" i="7"/>
  <c r="P166" i="7"/>
  <c r="T165" i="7"/>
  <c r="S165" i="7"/>
  <c r="Q165" i="7"/>
  <c r="P165" i="7"/>
  <c r="T164" i="7"/>
  <c r="S164" i="7"/>
  <c r="Q164" i="7"/>
  <c r="P164" i="7"/>
  <c r="T163" i="7"/>
  <c r="S163" i="7"/>
  <c r="Q163" i="7"/>
  <c r="P163" i="7"/>
  <c r="T162" i="7"/>
  <c r="S162" i="7"/>
  <c r="Q162" i="7"/>
  <c r="P162" i="7"/>
  <c r="T161" i="7"/>
  <c r="S161" i="7"/>
  <c r="Q161" i="7"/>
  <c r="P161" i="7"/>
  <c r="T160" i="7"/>
  <c r="S160" i="7"/>
  <c r="Q160" i="7"/>
  <c r="P160" i="7"/>
  <c r="T159" i="7"/>
  <c r="S159" i="7"/>
  <c r="Q159" i="7"/>
  <c r="P159" i="7"/>
  <c r="T158" i="7"/>
  <c r="S158" i="7"/>
  <c r="Q158" i="7"/>
  <c r="P158" i="7"/>
  <c r="T157" i="7"/>
  <c r="S157" i="7"/>
  <c r="Q157" i="7"/>
  <c r="P157" i="7"/>
  <c r="T156" i="7"/>
  <c r="S156" i="7"/>
  <c r="Q156" i="7"/>
  <c r="P156" i="7"/>
  <c r="T155" i="7"/>
  <c r="S155" i="7"/>
  <c r="Q155" i="7"/>
  <c r="P155" i="7"/>
  <c r="T154" i="7"/>
  <c r="S154" i="7"/>
  <c r="Q154" i="7"/>
  <c r="P154" i="7"/>
  <c r="T153" i="7"/>
  <c r="S153" i="7"/>
  <c r="Q153" i="7"/>
  <c r="P153" i="7"/>
  <c r="T152" i="7"/>
  <c r="S152" i="7"/>
  <c r="Q152" i="7"/>
  <c r="P152" i="7"/>
  <c r="T151" i="7"/>
  <c r="S151" i="7"/>
  <c r="Q151" i="7"/>
  <c r="P151" i="7"/>
  <c r="T150" i="7"/>
  <c r="S150" i="7"/>
  <c r="Q150" i="7"/>
  <c r="P150" i="7"/>
  <c r="T149" i="7"/>
  <c r="S149" i="7"/>
  <c r="Q149" i="7"/>
  <c r="P149" i="7"/>
  <c r="T148" i="7"/>
  <c r="S148" i="7"/>
  <c r="Q148" i="7"/>
  <c r="P148" i="7"/>
  <c r="T147" i="7"/>
  <c r="S147" i="7"/>
  <c r="Q147" i="7"/>
  <c r="P147" i="7"/>
  <c r="T146" i="7"/>
  <c r="S146" i="7"/>
  <c r="Q146" i="7"/>
  <c r="P146" i="7"/>
  <c r="T145" i="7"/>
  <c r="S145" i="7"/>
  <c r="Q145" i="7"/>
  <c r="P145" i="7"/>
  <c r="T144" i="7"/>
  <c r="S144" i="7"/>
  <c r="Q144" i="7"/>
  <c r="P144" i="7"/>
  <c r="T143" i="7"/>
  <c r="S143" i="7"/>
  <c r="Q143" i="7"/>
  <c r="P143" i="7"/>
  <c r="T142" i="7"/>
  <c r="S142" i="7"/>
  <c r="Q142" i="7"/>
  <c r="P142" i="7"/>
  <c r="T141" i="7"/>
  <c r="S141" i="7"/>
  <c r="Q141" i="7"/>
  <c r="P141" i="7"/>
  <c r="T140" i="7"/>
  <c r="S140" i="7"/>
  <c r="Q140" i="7"/>
  <c r="P140" i="7"/>
  <c r="T139" i="7"/>
  <c r="S139" i="7"/>
  <c r="Q139" i="7"/>
  <c r="P139" i="7"/>
  <c r="T138" i="7"/>
  <c r="S138" i="7"/>
  <c r="Q138" i="7"/>
  <c r="P138" i="7"/>
  <c r="T137" i="7"/>
  <c r="S137" i="7"/>
  <c r="Q137" i="7"/>
  <c r="P137" i="7"/>
  <c r="T136" i="7"/>
  <c r="S136" i="7"/>
  <c r="Q136" i="7"/>
  <c r="P136" i="7"/>
  <c r="T135" i="7"/>
  <c r="S135" i="7"/>
  <c r="Q135" i="7"/>
  <c r="P135" i="7"/>
  <c r="T134" i="7"/>
  <c r="S134" i="7"/>
  <c r="Q134" i="7"/>
  <c r="P134" i="7"/>
  <c r="T133" i="7"/>
  <c r="S133" i="7"/>
  <c r="Q133" i="7"/>
  <c r="P133" i="7"/>
  <c r="T132" i="7"/>
  <c r="S132" i="7"/>
  <c r="Q132" i="7"/>
  <c r="P132" i="7"/>
  <c r="T131" i="7"/>
  <c r="S131" i="7"/>
  <c r="Q131" i="7"/>
  <c r="P131" i="7"/>
  <c r="T130" i="7"/>
  <c r="S130" i="7"/>
  <c r="Q130" i="7"/>
  <c r="P130" i="7"/>
  <c r="T129" i="7"/>
  <c r="S129" i="7"/>
  <c r="Q129" i="7"/>
  <c r="P129" i="7"/>
  <c r="T128" i="7"/>
  <c r="S128" i="7"/>
  <c r="Q128" i="7"/>
  <c r="P128" i="7"/>
  <c r="T127" i="7"/>
  <c r="S127" i="7"/>
  <c r="Q127" i="7"/>
  <c r="P127" i="7"/>
  <c r="T126" i="7"/>
  <c r="S126" i="7"/>
  <c r="Q126" i="7"/>
  <c r="P126" i="7"/>
  <c r="T125" i="7"/>
  <c r="S125" i="7"/>
  <c r="Q125" i="7"/>
  <c r="P125" i="7"/>
  <c r="T124" i="7"/>
  <c r="S124" i="7"/>
  <c r="Q124" i="7"/>
  <c r="P124" i="7"/>
  <c r="T123" i="7"/>
  <c r="S123" i="7"/>
  <c r="Q123" i="7"/>
  <c r="P123" i="7"/>
  <c r="T122" i="7"/>
  <c r="S122" i="7"/>
  <c r="Q122" i="7"/>
  <c r="P122" i="7"/>
  <c r="T121" i="7"/>
  <c r="S121" i="7"/>
  <c r="Q121" i="7"/>
  <c r="P121" i="7"/>
  <c r="T120" i="7"/>
  <c r="S120" i="7"/>
  <c r="Q120" i="7"/>
  <c r="P120" i="7"/>
  <c r="T119" i="7"/>
  <c r="S119" i="7"/>
  <c r="Q119" i="7"/>
  <c r="P119" i="7"/>
  <c r="T118" i="7"/>
  <c r="S118" i="7"/>
  <c r="Q118" i="7"/>
  <c r="P118" i="7"/>
  <c r="T117" i="7"/>
  <c r="S117" i="7"/>
  <c r="Q117" i="7"/>
  <c r="P117" i="7"/>
  <c r="T116" i="7"/>
  <c r="S116" i="7"/>
  <c r="Q116" i="7"/>
  <c r="P116" i="7"/>
  <c r="T115" i="7"/>
  <c r="S115" i="7"/>
  <c r="Q115" i="7"/>
  <c r="P115" i="7"/>
  <c r="T114" i="7"/>
  <c r="S114" i="7"/>
  <c r="Q114" i="7"/>
  <c r="P114" i="7"/>
  <c r="T113" i="7"/>
  <c r="S113" i="7"/>
  <c r="Q113" i="7"/>
  <c r="P113" i="7"/>
  <c r="T112" i="7"/>
  <c r="S112" i="7"/>
  <c r="Q112" i="7"/>
  <c r="P112" i="7"/>
  <c r="T111" i="7"/>
  <c r="S111" i="7"/>
  <c r="Q111" i="7"/>
  <c r="P111" i="7"/>
  <c r="T110" i="7"/>
  <c r="S110" i="7"/>
  <c r="Q110" i="7"/>
  <c r="P110" i="7"/>
  <c r="T109" i="7"/>
  <c r="S109" i="7"/>
  <c r="Q109" i="7"/>
  <c r="P109" i="7"/>
  <c r="T108" i="7"/>
  <c r="S108" i="7"/>
  <c r="Q108" i="7"/>
  <c r="P108" i="7"/>
  <c r="T107" i="7"/>
  <c r="S107" i="7"/>
  <c r="Q107" i="7"/>
  <c r="P107" i="7"/>
  <c r="T106" i="7"/>
  <c r="S106" i="7"/>
  <c r="Q106" i="7"/>
  <c r="P106" i="7"/>
  <c r="T105" i="7"/>
  <c r="S105" i="7"/>
  <c r="Q105" i="7"/>
  <c r="P105" i="7"/>
  <c r="T104" i="7"/>
  <c r="S104" i="7"/>
  <c r="Q104" i="7"/>
  <c r="P104" i="7"/>
  <c r="T103" i="7"/>
  <c r="S103" i="7"/>
  <c r="Q103" i="7"/>
  <c r="P103" i="7"/>
  <c r="T102" i="7"/>
  <c r="S102" i="7"/>
  <c r="Q102" i="7"/>
  <c r="P102" i="7"/>
  <c r="T101" i="7"/>
  <c r="S101" i="7"/>
  <c r="Q101" i="7"/>
  <c r="P101" i="7"/>
  <c r="T100" i="7"/>
  <c r="S100" i="7"/>
  <c r="Q100" i="7"/>
  <c r="P100" i="7"/>
  <c r="T99" i="7"/>
  <c r="S99" i="7"/>
  <c r="Q99" i="7"/>
  <c r="P99" i="7"/>
  <c r="T98" i="7"/>
  <c r="S98" i="7"/>
  <c r="Q98" i="7"/>
  <c r="P98" i="7"/>
  <c r="T97" i="7"/>
  <c r="S97" i="7"/>
  <c r="Q97" i="7"/>
  <c r="P97" i="7"/>
  <c r="T96" i="7"/>
  <c r="S96" i="7"/>
  <c r="Q96" i="7"/>
  <c r="P96" i="7"/>
  <c r="T95" i="7"/>
  <c r="S95" i="7"/>
  <c r="Q95" i="7"/>
  <c r="P95" i="7"/>
  <c r="T94" i="7"/>
  <c r="S94" i="7"/>
  <c r="Q94" i="7"/>
  <c r="P94" i="7"/>
  <c r="T93" i="7"/>
  <c r="S93" i="7"/>
  <c r="Q93" i="7"/>
  <c r="P93" i="7"/>
  <c r="T92" i="7"/>
  <c r="S92" i="7"/>
  <c r="Q92" i="7"/>
  <c r="P92" i="7"/>
  <c r="T91" i="7"/>
  <c r="S91" i="7"/>
  <c r="Q91" i="7"/>
  <c r="P91" i="7"/>
  <c r="T90" i="7"/>
  <c r="S90" i="7"/>
  <c r="Q90" i="7"/>
  <c r="P90" i="7"/>
  <c r="T89" i="7"/>
  <c r="S89" i="7"/>
  <c r="Q89" i="7"/>
  <c r="P89" i="7"/>
  <c r="T88" i="7"/>
  <c r="S88" i="7"/>
  <c r="Q88" i="7"/>
  <c r="P88" i="7"/>
  <c r="T87" i="7"/>
  <c r="S87" i="7"/>
  <c r="Q87" i="7"/>
  <c r="P87" i="7"/>
  <c r="T86" i="7"/>
  <c r="S86" i="7"/>
  <c r="Q86" i="7"/>
  <c r="P86" i="7"/>
  <c r="T85" i="7"/>
  <c r="S85" i="7"/>
  <c r="Q85" i="7"/>
  <c r="P85" i="7"/>
  <c r="T84" i="7"/>
  <c r="S84" i="7"/>
  <c r="Q84" i="7"/>
  <c r="P84" i="7"/>
  <c r="T83" i="7"/>
  <c r="S83" i="7"/>
  <c r="Q83" i="7"/>
  <c r="P83" i="7"/>
  <c r="T82" i="7"/>
  <c r="S82" i="7"/>
  <c r="Q82" i="7"/>
  <c r="P82" i="7"/>
  <c r="T81" i="7"/>
  <c r="S81" i="7"/>
  <c r="Q81" i="7"/>
  <c r="P81" i="7"/>
  <c r="T80" i="7"/>
  <c r="S80" i="7"/>
  <c r="Q80" i="7"/>
  <c r="P80" i="7"/>
  <c r="T79" i="7"/>
  <c r="S79" i="7"/>
  <c r="Q79" i="7"/>
  <c r="P79" i="7"/>
  <c r="T78" i="7"/>
  <c r="S78" i="7"/>
  <c r="Q78" i="7"/>
  <c r="P78" i="7"/>
  <c r="T77" i="7"/>
  <c r="S77" i="7"/>
  <c r="Q77" i="7"/>
  <c r="P77" i="7"/>
  <c r="T76" i="7"/>
  <c r="S76" i="7"/>
  <c r="Q76" i="7"/>
  <c r="P76" i="7"/>
  <c r="T75" i="7"/>
  <c r="S75" i="7"/>
  <c r="Q75" i="7"/>
  <c r="P75" i="7"/>
  <c r="T74" i="7"/>
  <c r="S74" i="7"/>
  <c r="Q74" i="7"/>
  <c r="P74" i="7"/>
  <c r="T73" i="7"/>
  <c r="S73" i="7"/>
  <c r="Q73" i="7"/>
  <c r="P73" i="7"/>
  <c r="T72" i="7"/>
  <c r="S72" i="7"/>
  <c r="Q72" i="7"/>
  <c r="P72" i="7"/>
  <c r="T71" i="7"/>
  <c r="S71" i="7"/>
  <c r="Q71" i="7"/>
  <c r="P71" i="7"/>
  <c r="T70" i="7"/>
  <c r="S70" i="7"/>
  <c r="Q70" i="7"/>
  <c r="P70" i="7"/>
  <c r="T69" i="7"/>
  <c r="S69" i="7"/>
  <c r="Q69" i="7"/>
  <c r="P69" i="7"/>
  <c r="T68" i="7"/>
  <c r="S68" i="7"/>
  <c r="Q68" i="7"/>
  <c r="P68" i="7"/>
  <c r="T67" i="7"/>
  <c r="S67" i="7"/>
  <c r="Q67" i="7"/>
  <c r="P67" i="7"/>
  <c r="T66" i="7"/>
  <c r="S66" i="7"/>
  <c r="Q66" i="7"/>
  <c r="P66" i="7"/>
  <c r="T65" i="7"/>
  <c r="S65" i="7"/>
  <c r="Q65" i="7"/>
  <c r="P65" i="7"/>
  <c r="T64" i="7"/>
  <c r="S64" i="7"/>
  <c r="Q64" i="7"/>
  <c r="P64" i="7"/>
  <c r="T63" i="7"/>
  <c r="S63" i="7"/>
  <c r="Q63" i="7"/>
  <c r="P63" i="7"/>
  <c r="T62" i="7"/>
  <c r="S62" i="7"/>
  <c r="Q62" i="7"/>
  <c r="P62" i="7"/>
  <c r="T61" i="7"/>
  <c r="S61" i="7"/>
  <c r="Q61" i="7"/>
  <c r="P61" i="7"/>
  <c r="T60" i="7"/>
  <c r="S60" i="7"/>
  <c r="Q60" i="7"/>
  <c r="P60" i="7"/>
  <c r="T59" i="7"/>
  <c r="S59" i="7"/>
  <c r="Q59" i="7"/>
  <c r="P59" i="7"/>
  <c r="T58" i="7"/>
  <c r="S58" i="7"/>
  <c r="Q58" i="7"/>
  <c r="P58" i="7"/>
  <c r="T57" i="7"/>
  <c r="S57" i="7"/>
  <c r="Q57" i="7"/>
  <c r="P57" i="7"/>
  <c r="T56" i="7"/>
  <c r="S56" i="7"/>
  <c r="Q56" i="7"/>
  <c r="P56" i="7"/>
  <c r="T55" i="7"/>
  <c r="S55" i="7"/>
  <c r="Q55" i="7"/>
  <c r="P55" i="7"/>
  <c r="T54" i="7"/>
  <c r="S54" i="7"/>
  <c r="Q54" i="7"/>
  <c r="P54" i="7"/>
  <c r="T53" i="7"/>
  <c r="S53" i="7"/>
  <c r="Q53" i="7"/>
  <c r="P53" i="7"/>
  <c r="T52" i="7"/>
  <c r="S52" i="7"/>
  <c r="Q52" i="7"/>
  <c r="P52" i="7"/>
  <c r="T51" i="7"/>
  <c r="S51" i="7"/>
  <c r="Q51" i="7"/>
  <c r="P51" i="7"/>
  <c r="T50" i="7"/>
  <c r="S50" i="7"/>
  <c r="Q50" i="7"/>
  <c r="P50" i="7"/>
  <c r="T49" i="7"/>
  <c r="S49" i="7"/>
  <c r="Q49" i="7"/>
  <c r="P49" i="7"/>
  <c r="T48" i="7"/>
  <c r="S48" i="7"/>
  <c r="Q48" i="7"/>
  <c r="P48" i="7"/>
  <c r="T47" i="7"/>
  <c r="S47" i="7"/>
  <c r="Q47" i="7"/>
  <c r="P47" i="7"/>
  <c r="T46" i="7"/>
  <c r="S46" i="7"/>
  <c r="Q46" i="7"/>
  <c r="P46" i="7"/>
  <c r="T45" i="7"/>
  <c r="S45" i="7"/>
  <c r="Q45" i="7"/>
  <c r="P45" i="7"/>
  <c r="T44" i="7"/>
  <c r="S44" i="7"/>
  <c r="Q44" i="7"/>
  <c r="P44" i="7"/>
  <c r="T43" i="7"/>
  <c r="S43" i="7"/>
  <c r="Q43" i="7"/>
  <c r="P43" i="7"/>
  <c r="T42" i="7"/>
  <c r="S42" i="7"/>
  <c r="Q42" i="7"/>
  <c r="P42" i="7"/>
  <c r="T41" i="7"/>
  <c r="S41" i="7"/>
  <c r="Q41" i="7"/>
  <c r="P41" i="7"/>
  <c r="T40" i="7"/>
  <c r="S40" i="7"/>
  <c r="Q40" i="7"/>
  <c r="P40" i="7"/>
  <c r="T39" i="7"/>
  <c r="S39" i="7"/>
  <c r="Q39" i="7"/>
  <c r="P39" i="7"/>
  <c r="T38" i="7"/>
  <c r="S38" i="7"/>
  <c r="Q38" i="7"/>
  <c r="P38" i="7"/>
  <c r="T37" i="7"/>
  <c r="S37" i="7"/>
  <c r="Q37" i="7"/>
  <c r="P37" i="7"/>
  <c r="T36" i="7"/>
  <c r="S36" i="7"/>
  <c r="Q36" i="7"/>
  <c r="P36" i="7"/>
  <c r="T35" i="7"/>
  <c r="S35" i="7"/>
  <c r="Q35" i="7"/>
  <c r="P35" i="7"/>
  <c r="T34" i="7"/>
  <c r="S34" i="7"/>
  <c r="Q34" i="7"/>
  <c r="P34" i="7"/>
  <c r="T33" i="7"/>
  <c r="S33" i="7"/>
  <c r="Q33" i="7"/>
  <c r="P33" i="7"/>
  <c r="T32" i="7"/>
  <c r="S32" i="7"/>
  <c r="Q32" i="7"/>
  <c r="P32" i="7"/>
  <c r="T31" i="7"/>
  <c r="S31" i="7"/>
  <c r="Q31" i="7"/>
  <c r="P31" i="7"/>
  <c r="T30" i="7"/>
  <c r="S30" i="7"/>
  <c r="Q30" i="7"/>
  <c r="P30" i="7"/>
  <c r="T29" i="7"/>
  <c r="S29" i="7"/>
  <c r="Q29" i="7"/>
  <c r="P29" i="7"/>
  <c r="T28" i="7"/>
  <c r="S28" i="7"/>
  <c r="Q28" i="7"/>
  <c r="P28" i="7"/>
  <c r="T27" i="7"/>
  <c r="S27" i="7"/>
  <c r="Q27" i="7"/>
  <c r="P27" i="7"/>
  <c r="T26" i="7"/>
  <c r="S26" i="7"/>
  <c r="Q26" i="7"/>
  <c r="P26" i="7"/>
  <c r="T25" i="7"/>
  <c r="S25" i="7"/>
  <c r="Q25" i="7"/>
  <c r="P25" i="7"/>
  <c r="T24" i="7"/>
  <c r="S24" i="7"/>
  <c r="Q24" i="7"/>
  <c r="P24" i="7"/>
  <c r="T23" i="7"/>
  <c r="S23" i="7"/>
  <c r="Q23" i="7"/>
  <c r="P23" i="7"/>
  <c r="T22" i="7"/>
  <c r="S22" i="7"/>
  <c r="Q22" i="7"/>
  <c r="P22" i="7"/>
  <c r="T21" i="7"/>
  <c r="S21" i="7"/>
  <c r="Q21" i="7"/>
  <c r="P21" i="7"/>
  <c r="T20" i="7"/>
  <c r="S20" i="7"/>
  <c r="Q20" i="7"/>
  <c r="P20" i="7"/>
  <c r="T19" i="7"/>
  <c r="S19" i="7"/>
  <c r="Q19" i="7"/>
  <c r="P19" i="7"/>
  <c r="T18" i="7"/>
  <c r="S18" i="7"/>
  <c r="Q18" i="7"/>
  <c r="P18" i="7"/>
  <c r="T17" i="7"/>
  <c r="S17" i="7"/>
  <c r="Q17" i="7"/>
  <c r="P17" i="7"/>
  <c r="T16" i="7"/>
  <c r="S16" i="7"/>
  <c r="Q16" i="7"/>
  <c r="P16" i="7"/>
  <c r="T15" i="7"/>
  <c r="S15" i="7"/>
  <c r="Q15" i="7"/>
  <c r="P15" i="7"/>
  <c r="T14" i="7"/>
  <c r="S14" i="7"/>
  <c r="Q14" i="7"/>
  <c r="P14" i="7"/>
  <c r="T13" i="7"/>
  <c r="S13" i="7"/>
  <c r="Q13" i="7"/>
  <c r="P13" i="7"/>
  <c r="T12" i="7"/>
  <c r="S12" i="7"/>
  <c r="Q12" i="7"/>
  <c r="P12" i="7"/>
  <c r="T11" i="7"/>
  <c r="S11" i="7"/>
  <c r="Q11" i="7"/>
  <c r="P11" i="7"/>
  <c r="T10" i="7"/>
  <c r="S10" i="7"/>
  <c r="Q10" i="7"/>
  <c r="P10" i="7"/>
  <c r="T9" i="7"/>
  <c r="S9" i="7"/>
  <c r="Q9" i="7"/>
  <c r="P9" i="7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O2" i="1"/>
  <c r="Q2" i="1" s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4" i="1"/>
  <c r="Q34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Q41" i="1" s="1"/>
  <c r="O42" i="1"/>
  <c r="Q42" i="1" s="1"/>
  <c r="O43" i="1"/>
  <c r="Q43" i="1" s="1"/>
  <c r="O44" i="1"/>
  <c r="Q44" i="1" s="1"/>
  <c r="O45" i="1"/>
  <c r="Q45" i="1" s="1"/>
  <c r="O46" i="1"/>
  <c r="Q46" i="1" s="1"/>
  <c r="O47" i="1"/>
  <c r="Q47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1" i="1"/>
  <c r="Q61" i="1" s="1"/>
  <c r="O62" i="1"/>
  <c r="Q62" i="1" s="1"/>
  <c r="O63" i="1"/>
  <c r="Q63" i="1" s="1"/>
  <c r="O64" i="1"/>
  <c r="Q64" i="1" s="1"/>
  <c r="O65" i="1"/>
  <c r="Q65" i="1" s="1"/>
  <c r="O66" i="1"/>
  <c r="Q66" i="1" s="1"/>
  <c r="O67" i="1"/>
  <c r="Q67" i="1" s="1"/>
  <c r="O68" i="1"/>
  <c r="Q68" i="1" s="1"/>
  <c r="O69" i="1"/>
  <c r="Q69" i="1" s="1"/>
  <c r="O70" i="1"/>
  <c r="Q70" i="1" s="1"/>
  <c r="O71" i="1"/>
  <c r="Q71" i="1" s="1"/>
  <c r="O72" i="1"/>
  <c r="Q72" i="1" s="1"/>
  <c r="O73" i="1"/>
  <c r="Q73" i="1" s="1"/>
  <c r="O74" i="1"/>
  <c r="Q74" i="1" s="1"/>
  <c r="O75" i="1"/>
  <c r="Q75" i="1" s="1"/>
  <c r="O76" i="1"/>
  <c r="Q76" i="1" s="1"/>
  <c r="O77" i="1"/>
  <c r="Q77" i="1" s="1"/>
  <c r="O78" i="1"/>
  <c r="Q78" i="1" s="1"/>
  <c r="O79" i="1"/>
  <c r="Q79" i="1" s="1"/>
  <c r="O80" i="1"/>
  <c r="Q80" i="1" s="1"/>
  <c r="O81" i="1"/>
  <c r="Q81" i="1" s="1"/>
  <c r="O82" i="1"/>
  <c r="Q82" i="1" s="1"/>
  <c r="O83" i="1"/>
  <c r="O84" i="1"/>
  <c r="Q84" i="1" s="1"/>
  <c r="O85" i="1"/>
  <c r="Q85" i="1" s="1"/>
  <c r="O86" i="1"/>
  <c r="Q86" i="1" s="1"/>
  <c r="O87" i="1"/>
  <c r="O88" i="1"/>
  <c r="Q88" i="1" s="1"/>
  <c r="O89" i="1"/>
  <c r="Q89" i="1" s="1"/>
  <c r="O90" i="1"/>
  <c r="Q90" i="1" s="1"/>
  <c r="O91" i="1"/>
  <c r="O92" i="1"/>
  <c r="Q92" i="1" s="1"/>
  <c r="O93" i="1"/>
  <c r="Q93" i="1" s="1"/>
  <c r="O94" i="1"/>
  <c r="Q94" i="1" s="1"/>
  <c r="O95" i="1"/>
  <c r="O96" i="1"/>
  <c r="Q96" i="1" s="1"/>
  <c r="O97" i="1"/>
  <c r="Q97" i="1" s="1"/>
  <c r="O98" i="1"/>
  <c r="Q98" i="1" s="1"/>
  <c r="O99" i="1"/>
  <c r="O100" i="1"/>
  <c r="Q100" i="1" s="1"/>
  <c r="O101" i="1"/>
  <c r="Q101" i="1" s="1"/>
  <c r="O102" i="1"/>
  <c r="Q102" i="1" s="1"/>
  <c r="O103" i="1"/>
  <c r="O104" i="1"/>
  <c r="Q104" i="1" s="1"/>
  <c r="O105" i="1"/>
  <c r="Q105" i="1" s="1"/>
  <c r="O106" i="1"/>
  <c r="Q106" i="1" s="1"/>
  <c r="O107" i="1"/>
  <c r="O108" i="1"/>
  <c r="Q108" i="1" s="1"/>
  <c r="O109" i="1"/>
  <c r="Q109" i="1" s="1"/>
  <c r="O110" i="1"/>
  <c r="Q110" i="1" s="1"/>
  <c r="O111" i="1"/>
  <c r="O112" i="1"/>
  <c r="Q112" i="1" s="1"/>
  <c r="O113" i="1"/>
  <c r="Q113" i="1" s="1"/>
  <c r="O114" i="1"/>
  <c r="Q114" i="1" s="1"/>
  <c r="O115" i="1"/>
  <c r="O116" i="1"/>
  <c r="Q116" i="1" s="1"/>
  <c r="O117" i="1"/>
  <c r="Q117" i="1" s="1"/>
  <c r="O118" i="1"/>
  <c r="Q118" i="1" s="1"/>
  <c r="O119" i="1"/>
  <c r="O120" i="1"/>
  <c r="Q120" i="1" s="1"/>
  <c r="O121" i="1"/>
  <c r="Q121" i="1" s="1"/>
  <c r="O122" i="1"/>
  <c r="Q122" i="1" s="1"/>
  <c r="O123" i="1"/>
  <c r="O124" i="1"/>
  <c r="Q124" i="1" s="1"/>
  <c r="O125" i="1"/>
  <c r="Q125" i="1" s="1"/>
  <c r="O126" i="1"/>
  <c r="Q126" i="1" s="1"/>
  <c r="O127" i="1"/>
  <c r="O128" i="1"/>
  <c r="Q128" i="1" s="1"/>
  <c r="O129" i="1"/>
  <c r="Q129" i="1" s="1"/>
  <c r="O130" i="1"/>
  <c r="Q130" i="1" s="1"/>
  <c r="O131" i="1"/>
  <c r="O132" i="1"/>
  <c r="Q132" i="1" s="1"/>
  <c r="O133" i="1"/>
  <c r="Q133" i="1" s="1"/>
  <c r="O134" i="1"/>
  <c r="Q134" i="1" s="1"/>
  <c r="O135" i="1"/>
  <c r="O136" i="1"/>
  <c r="Q136" i="1" s="1"/>
  <c r="O137" i="1"/>
  <c r="Q137" i="1" s="1"/>
  <c r="O138" i="1"/>
  <c r="Q138" i="1" s="1"/>
  <c r="O139" i="1"/>
  <c r="O140" i="1"/>
  <c r="Q140" i="1" s="1"/>
  <c r="O141" i="1"/>
  <c r="Q141" i="1" s="1"/>
  <c r="O142" i="1"/>
  <c r="Q142" i="1" s="1"/>
  <c r="O143" i="1"/>
  <c r="O144" i="1"/>
  <c r="Q144" i="1" s="1"/>
  <c r="O145" i="1"/>
  <c r="Q145" i="1" s="1"/>
  <c r="O146" i="1"/>
  <c r="Q146" i="1" s="1"/>
  <c r="O147" i="1"/>
  <c r="O148" i="1"/>
  <c r="Q148" i="1" s="1"/>
  <c r="O149" i="1"/>
  <c r="Q149" i="1" s="1"/>
  <c r="O150" i="1"/>
  <c r="Q150" i="1" s="1"/>
  <c r="O151" i="1"/>
  <c r="O152" i="1"/>
  <c r="Q152" i="1" s="1"/>
  <c r="O153" i="1"/>
  <c r="Q153" i="1" s="1"/>
  <c r="O154" i="1"/>
  <c r="Q154" i="1" s="1"/>
  <c r="O155" i="1"/>
  <c r="O156" i="1"/>
  <c r="Q156" i="1" s="1"/>
  <c r="O157" i="1"/>
  <c r="Q157" i="1" s="1"/>
  <c r="O158" i="1"/>
  <c r="Q158" i="1" s="1"/>
  <c r="O159" i="1"/>
  <c r="O160" i="1"/>
  <c r="Q160" i="1" s="1"/>
  <c r="O161" i="1"/>
  <c r="Q161" i="1" s="1"/>
  <c r="O162" i="1"/>
  <c r="Q162" i="1" s="1"/>
  <c r="O163" i="1"/>
  <c r="O164" i="1"/>
  <c r="Q164" i="1" s="1"/>
  <c r="O165" i="1"/>
  <c r="Q165" i="1" s="1"/>
  <c r="O166" i="1"/>
  <c r="Q166" i="1" s="1"/>
  <c r="O167" i="1"/>
  <c r="O168" i="1"/>
  <c r="Q168" i="1" s="1"/>
  <c r="O169" i="1"/>
  <c r="Q169" i="1" s="1"/>
  <c r="O170" i="1"/>
  <c r="Q170" i="1" s="1"/>
  <c r="O171" i="1"/>
  <c r="O172" i="1"/>
  <c r="Q172" i="1" s="1"/>
  <c r="O173" i="1"/>
  <c r="Q173" i="1" s="1"/>
  <c r="O174" i="1"/>
  <c r="Q174" i="1" s="1"/>
  <c r="O175" i="1"/>
  <c r="O176" i="1"/>
  <c r="Q176" i="1" s="1"/>
  <c r="O177" i="1"/>
  <c r="Q177" i="1" s="1"/>
  <c r="O178" i="1"/>
  <c r="Q178" i="1" s="1"/>
  <c r="O179" i="1"/>
  <c r="O180" i="1"/>
  <c r="Q180" i="1" s="1"/>
  <c r="O181" i="1"/>
  <c r="Q181" i="1" s="1"/>
  <c r="O182" i="1"/>
  <c r="Q182" i="1" s="1"/>
  <c r="O183" i="1"/>
  <c r="O184" i="1"/>
  <c r="Q184" i="1" s="1"/>
  <c r="O185" i="1"/>
  <c r="Q185" i="1" s="1"/>
  <c r="O186" i="1"/>
  <c r="Q186" i="1" s="1"/>
  <c r="O187" i="1"/>
  <c r="O188" i="1"/>
  <c r="Q188" i="1" s="1"/>
  <c r="O189" i="1"/>
  <c r="Q189" i="1" s="1"/>
  <c r="O190" i="1"/>
  <c r="Q190" i="1" s="1"/>
  <c r="O191" i="1"/>
  <c r="O192" i="1"/>
  <c r="Q192" i="1" s="1"/>
  <c r="O193" i="1"/>
  <c r="Q193" i="1" s="1"/>
  <c r="O194" i="1"/>
  <c r="Q194" i="1" s="1"/>
  <c r="O195" i="1"/>
  <c r="O196" i="1"/>
  <c r="Q196" i="1" s="1"/>
  <c r="O197" i="1"/>
  <c r="Q197" i="1" s="1"/>
  <c r="O198" i="1"/>
  <c r="Q198" i="1" s="1"/>
  <c r="O199" i="1"/>
  <c r="O200" i="1"/>
  <c r="Q200" i="1" s="1"/>
  <c r="O201" i="1"/>
  <c r="Q201" i="1" s="1"/>
  <c r="O202" i="1"/>
  <c r="Q202" i="1" s="1"/>
  <c r="O203" i="1"/>
  <c r="O204" i="1"/>
  <c r="Q204" i="1" s="1"/>
  <c r="O205" i="1"/>
  <c r="Q205" i="1" s="1"/>
  <c r="O206" i="1"/>
  <c r="Q206" i="1" s="1"/>
  <c r="O207" i="1"/>
  <c r="O208" i="1"/>
  <c r="Q208" i="1" s="1"/>
  <c r="O209" i="1"/>
  <c r="Q209" i="1" s="1"/>
  <c r="O210" i="1"/>
  <c r="Q210" i="1" s="1"/>
  <c r="O211" i="1"/>
  <c r="O212" i="1"/>
  <c r="Q212" i="1" s="1"/>
  <c r="O213" i="1"/>
  <c r="Q213" i="1" s="1"/>
  <c r="O214" i="1"/>
  <c r="Q214" i="1" s="1"/>
  <c r="O215" i="1"/>
  <c r="O216" i="1"/>
  <c r="Q216" i="1" s="1"/>
  <c r="O217" i="1"/>
  <c r="Q217" i="1" s="1"/>
  <c r="O218" i="1"/>
  <c r="Q218" i="1" s="1"/>
  <c r="O219" i="1"/>
  <c r="O220" i="1"/>
  <c r="Q220" i="1" s="1"/>
  <c r="O221" i="1"/>
  <c r="Q221" i="1" s="1"/>
  <c r="O222" i="1"/>
  <c r="Q222" i="1" s="1"/>
  <c r="O223" i="1"/>
  <c r="O224" i="1"/>
  <c r="Q224" i="1" s="1"/>
  <c r="O225" i="1"/>
  <c r="Q225" i="1" s="1"/>
  <c r="O226" i="1"/>
  <c r="Q226" i="1" s="1"/>
  <c r="O227" i="1"/>
  <c r="O228" i="1"/>
  <c r="Q228" i="1" s="1"/>
  <c r="O229" i="1"/>
  <c r="Q229" i="1" s="1"/>
  <c r="O230" i="1"/>
  <c r="Q230" i="1" s="1"/>
  <c r="O231" i="1"/>
  <c r="O232" i="1"/>
  <c r="Q232" i="1" s="1"/>
  <c r="O233" i="1"/>
  <c r="Q233" i="1" s="1"/>
  <c r="O234" i="1"/>
  <c r="Q234" i="1" s="1"/>
  <c r="O235" i="1"/>
  <c r="O236" i="1"/>
  <c r="Q236" i="1" s="1"/>
  <c r="O237" i="1"/>
  <c r="Q237" i="1" s="1"/>
  <c r="O238" i="1"/>
  <c r="Q238" i="1" s="1"/>
  <c r="O239" i="1"/>
  <c r="O240" i="1"/>
  <c r="Q240" i="1" s="1"/>
  <c r="O241" i="1"/>
  <c r="Q241" i="1" s="1"/>
  <c r="O242" i="1"/>
  <c r="Q242" i="1" s="1"/>
  <c r="O243" i="1"/>
  <c r="O244" i="1"/>
  <c r="Q244" i="1" s="1"/>
  <c r="O245" i="1"/>
  <c r="Q245" i="1" s="1"/>
  <c r="O246" i="1"/>
  <c r="Q246" i="1" s="1"/>
  <c r="O247" i="1"/>
  <c r="O248" i="1"/>
  <c r="Q248" i="1" s="1"/>
  <c r="O249" i="1"/>
  <c r="Q249" i="1" s="1"/>
  <c r="O250" i="1"/>
  <c r="Q250" i="1" s="1"/>
  <c r="O251" i="1"/>
  <c r="O252" i="1"/>
  <c r="Q252" i="1" s="1"/>
  <c r="O253" i="1"/>
  <c r="Q253" i="1" s="1"/>
  <c r="O254" i="1"/>
  <c r="Q254" i="1" s="1"/>
  <c r="O255" i="1"/>
  <c r="O256" i="1"/>
  <c r="Q256" i="1" s="1"/>
  <c r="O257" i="1"/>
  <c r="Q257" i="1" s="1"/>
  <c r="O258" i="1"/>
  <c r="Q258" i="1" s="1"/>
  <c r="O259" i="1"/>
  <c r="O260" i="1"/>
  <c r="Q260" i="1" s="1"/>
  <c r="O261" i="1"/>
  <c r="Q261" i="1" s="1"/>
  <c r="O262" i="1"/>
  <c r="Q262" i="1" s="1"/>
  <c r="O263" i="1"/>
  <c r="O264" i="1"/>
  <c r="Q264" i="1" s="1"/>
  <c r="O265" i="1"/>
  <c r="Q265" i="1" s="1"/>
  <c r="O266" i="1"/>
  <c r="Q266" i="1" s="1"/>
  <c r="O267" i="1"/>
  <c r="O268" i="1"/>
  <c r="Q268" i="1" s="1"/>
  <c r="O269" i="1"/>
  <c r="Q269" i="1" s="1"/>
  <c r="O270" i="1"/>
  <c r="Q270" i="1" s="1"/>
  <c r="O271" i="1"/>
  <c r="O272" i="1"/>
  <c r="Q272" i="1" s="1"/>
  <c r="O273" i="1"/>
  <c r="Q273" i="1" s="1"/>
  <c r="O274" i="1"/>
  <c r="Q274" i="1" s="1"/>
  <c r="O275" i="1"/>
  <c r="O276" i="1"/>
  <c r="Q276" i="1" s="1"/>
  <c r="O277" i="1"/>
  <c r="Q277" i="1" s="1"/>
  <c r="O278" i="1"/>
  <c r="Q278" i="1" s="1"/>
  <c r="O279" i="1"/>
  <c r="O280" i="1"/>
  <c r="Q280" i="1" s="1"/>
  <c r="O281" i="1"/>
  <c r="Q281" i="1" s="1"/>
  <c r="O282" i="1"/>
  <c r="Q282" i="1" s="1"/>
  <c r="O283" i="1"/>
  <c r="O284" i="1"/>
  <c r="Q284" i="1" s="1"/>
  <c r="O285" i="1"/>
  <c r="Q285" i="1" s="1"/>
  <c r="O286" i="1"/>
  <c r="Q286" i="1" s="1"/>
  <c r="O287" i="1"/>
  <c r="O288" i="1"/>
  <c r="Q288" i="1" s="1"/>
  <c r="O289" i="1"/>
  <c r="Q289" i="1" s="1"/>
  <c r="O290" i="1"/>
  <c r="Q290" i="1" s="1"/>
  <c r="O291" i="1"/>
  <c r="O292" i="1"/>
  <c r="Q292" i="1" s="1"/>
  <c r="O293" i="1"/>
  <c r="Q293" i="1" s="1"/>
  <c r="O294" i="1"/>
  <c r="Q294" i="1" s="1"/>
  <c r="O295" i="1"/>
  <c r="O296" i="1"/>
  <c r="Q296" i="1" s="1"/>
  <c r="O297" i="1"/>
  <c r="Q297" i="1" s="1"/>
  <c r="O298" i="1"/>
  <c r="O299" i="1"/>
  <c r="O300" i="1"/>
  <c r="Q300" i="1" s="1"/>
  <c r="O301" i="1"/>
  <c r="Q301" i="1" s="1"/>
  <c r="R49" i="7" l="1"/>
  <c r="R17" i="7"/>
  <c r="R9" i="7"/>
  <c r="R41" i="7"/>
  <c r="R73" i="7"/>
  <c r="U25" i="7"/>
  <c r="R81" i="7"/>
  <c r="R33" i="7"/>
  <c r="R65" i="7"/>
  <c r="R25" i="7"/>
  <c r="R57" i="7"/>
  <c r="R89" i="7"/>
  <c r="Q295" i="1"/>
  <c r="R302" i="7"/>
  <c r="Q275" i="1"/>
  <c r="R282" i="7"/>
  <c r="Q255" i="1"/>
  <c r="R262" i="7"/>
  <c r="Q243" i="1"/>
  <c r="R250" i="7"/>
  <c r="Q227" i="1"/>
  <c r="R234" i="7"/>
  <c r="Q211" i="1"/>
  <c r="R218" i="7"/>
  <c r="Q195" i="1"/>
  <c r="R202" i="7"/>
  <c r="Q175" i="1"/>
  <c r="R182" i="7"/>
  <c r="Q155" i="1"/>
  <c r="R162" i="7"/>
  <c r="Q143" i="1"/>
  <c r="R150" i="7"/>
  <c r="Q131" i="1"/>
  <c r="R138" i="7"/>
  <c r="Q115" i="1"/>
  <c r="R122" i="7"/>
  <c r="Q99" i="1"/>
  <c r="R106" i="7"/>
  <c r="Q87" i="1"/>
  <c r="R94" i="7"/>
  <c r="R105" i="7"/>
  <c r="R121" i="7"/>
  <c r="R137" i="7"/>
  <c r="R153" i="7"/>
  <c r="R169" i="7"/>
  <c r="R185" i="7"/>
  <c r="R201" i="7"/>
  <c r="R217" i="7"/>
  <c r="R233" i="7"/>
  <c r="R249" i="7"/>
  <c r="R265" i="7"/>
  <c r="R281" i="7"/>
  <c r="R297" i="7"/>
  <c r="Q291" i="1"/>
  <c r="R298" i="7"/>
  <c r="Q283" i="1"/>
  <c r="R290" i="7"/>
  <c r="Q271" i="1"/>
  <c r="R278" i="7"/>
  <c r="Q263" i="1"/>
  <c r="R270" i="7"/>
  <c r="Q247" i="1"/>
  <c r="R254" i="7"/>
  <c r="Q235" i="1"/>
  <c r="R242" i="7"/>
  <c r="Q223" i="1"/>
  <c r="R230" i="7"/>
  <c r="Q215" i="1"/>
  <c r="R222" i="7"/>
  <c r="Q203" i="1"/>
  <c r="R210" i="7"/>
  <c r="Q191" i="1"/>
  <c r="R198" i="7"/>
  <c r="Q183" i="1"/>
  <c r="R190" i="7"/>
  <c r="Q171" i="1"/>
  <c r="R178" i="7"/>
  <c r="Q163" i="1"/>
  <c r="R170" i="7"/>
  <c r="Q151" i="1"/>
  <c r="R158" i="7"/>
  <c r="Q135" i="1"/>
  <c r="R142" i="7"/>
  <c r="Q123" i="1"/>
  <c r="R130" i="7"/>
  <c r="Q111" i="1"/>
  <c r="R118" i="7"/>
  <c r="Q103" i="1"/>
  <c r="R110" i="7"/>
  <c r="Q91" i="1"/>
  <c r="R98" i="7"/>
  <c r="Q83" i="1"/>
  <c r="R90" i="7"/>
  <c r="R50" i="7"/>
  <c r="R10" i="7"/>
  <c r="R26" i="7"/>
  <c r="R42" i="7"/>
  <c r="R58" i="7"/>
  <c r="R66" i="7"/>
  <c r="R82" i="7"/>
  <c r="R189" i="7"/>
  <c r="R205" i="7"/>
  <c r="R237" i="7"/>
  <c r="R269" i="7"/>
  <c r="R285" i="7"/>
  <c r="R13" i="7"/>
  <c r="R21" i="7"/>
  <c r="R29" i="7"/>
  <c r="R37" i="7"/>
  <c r="R45" i="7"/>
  <c r="R53" i="7"/>
  <c r="R61" i="7"/>
  <c r="R69" i="7"/>
  <c r="R77" i="7"/>
  <c r="R85" i="7"/>
  <c r="R97" i="7"/>
  <c r="R113" i="7"/>
  <c r="R129" i="7"/>
  <c r="R145" i="7"/>
  <c r="R161" i="7"/>
  <c r="R177" i="7"/>
  <c r="R193" i="7"/>
  <c r="R209" i="7"/>
  <c r="R225" i="7"/>
  <c r="R241" i="7"/>
  <c r="R257" i="7"/>
  <c r="R273" i="7"/>
  <c r="R289" i="7"/>
  <c r="Q299" i="1"/>
  <c r="R306" i="7"/>
  <c r="Q287" i="1"/>
  <c r="R294" i="7"/>
  <c r="Q279" i="1"/>
  <c r="R286" i="7"/>
  <c r="Q267" i="1"/>
  <c r="R274" i="7"/>
  <c r="Q259" i="1"/>
  <c r="R266" i="7"/>
  <c r="Q251" i="1"/>
  <c r="R258" i="7"/>
  <c r="Q239" i="1"/>
  <c r="R246" i="7"/>
  <c r="Q231" i="1"/>
  <c r="R238" i="7"/>
  <c r="Q219" i="1"/>
  <c r="R226" i="7"/>
  <c r="Q207" i="1"/>
  <c r="R214" i="7"/>
  <c r="Q199" i="1"/>
  <c r="R206" i="7"/>
  <c r="Q187" i="1"/>
  <c r="R194" i="7"/>
  <c r="Q179" i="1"/>
  <c r="R186" i="7"/>
  <c r="Q167" i="1"/>
  <c r="R174" i="7"/>
  <c r="Q159" i="1"/>
  <c r="R166" i="7"/>
  <c r="Q147" i="1"/>
  <c r="R154" i="7"/>
  <c r="Q139" i="1"/>
  <c r="R146" i="7"/>
  <c r="Q127" i="1"/>
  <c r="R134" i="7"/>
  <c r="Q119" i="1"/>
  <c r="R126" i="7"/>
  <c r="Q107" i="1"/>
  <c r="R114" i="7"/>
  <c r="Q95" i="1"/>
  <c r="R102" i="7"/>
  <c r="Q298" i="1"/>
  <c r="R305" i="7"/>
  <c r="R18" i="7"/>
  <c r="R34" i="7"/>
  <c r="R74" i="7"/>
  <c r="R93" i="7"/>
  <c r="R109" i="7"/>
  <c r="R125" i="7"/>
  <c r="R141" i="7"/>
  <c r="R157" i="7"/>
  <c r="R173" i="7"/>
  <c r="R221" i="7"/>
  <c r="R253" i="7"/>
  <c r="R301" i="7"/>
  <c r="R14" i="7"/>
  <c r="R22" i="7"/>
  <c r="R30" i="7"/>
  <c r="R38" i="7"/>
  <c r="R46" i="7"/>
  <c r="R54" i="7"/>
  <c r="R62" i="7"/>
  <c r="R70" i="7"/>
  <c r="R78" i="7"/>
  <c r="R86" i="7"/>
  <c r="R101" i="7"/>
  <c r="R117" i="7"/>
  <c r="R133" i="7"/>
  <c r="R149" i="7"/>
  <c r="R165" i="7"/>
  <c r="R181" i="7"/>
  <c r="R197" i="7"/>
  <c r="R213" i="7"/>
  <c r="R229" i="7"/>
  <c r="R245" i="7"/>
  <c r="R261" i="7"/>
  <c r="R277" i="7"/>
  <c r="R293" i="7"/>
  <c r="U13" i="7"/>
  <c r="R11" i="7"/>
  <c r="R15" i="7"/>
  <c r="R19" i="7"/>
  <c r="R23" i="7"/>
  <c r="R27" i="7"/>
  <c r="R31" i="7"/>
  <c r="R35" i="7"/>
  <c r="R39" i="7"/>
  <c r="R43" i="7"/>
  <c r="R47" i="7"/>
  <c r="R51" i="7"/>
  <c r="R55" i="7"/>
  <c r="R59" i="7"/>
  <c r="R63" i="7"/>
  <c r="R67" i="7"/>
  <c r="R71" i="7"/>
  <c r="R75" i="7"/>
  <c r="R79" i="7"/>
  <c r="R83" i="7"/>
  <c r="R87" i="7"/>
  <c r="R91" i="7"/>
  <c r="R95" i="7"/>
  <c r="R99" i="7"/>
  <c r="R103" i="7"/>
  <c r="R107" i="7"/>
  <c r="R111" i="7"/>
  <c r="R115" i="7"/>
  <c r="R119" i="7"/>
  <c r="R123" i="7"/>
  <c r="R127" i="7"/>
  <c r="R131" i="7"/>
  <c r="R135" i="7"/>
  <c r="R139" i="7"/>
  <c r="R143" i="7"/>
  <c r="R147" i="7"/>
  <c r="R151" i="7"/>
  <c r="R155" i="7"/>
  <c r="R159" i="7"/>
  <c r="R163" i="7"/>
  <c r="R167" i="7"/>
  <c r="R171" i="7"/>
  <c r="R175" i="7"/>
  <c r="R179" i="7"/>
  <c r="R183" i="7"/>
  <c r="R187" i="7"/>
  <c r="R191" i="7"/>
  <c r="R195" i="7"/>
  <c r="R199" i="7"/>
  <c r="R203" i="7"/>
  <c r="R207" i="7"/>
  <c r="R211" i="7"/>
  <c r="R215" i="7"/>
  <c r="R219" i="7"/>
  <c r="R223" i="7"/>
  <c r="R227" i="7"/>
  <c r="R231" i="7"/>
  <c r="R235" i="7"/>
  <c r="R239" i="7"/>
  <c r="R243" i="7"/>
  <c r="R247" i="7"/>
  <c r="R251" i="7"/>
  <c r="R255" i="7"/>
  <c r="R259" i="7"/>
  <c r="R263" i="7"/>
  <c r="R267" i="7"/>
  <c r="R271" i="7"/>
  <c r="R275" i="7"/>
  <c r="R279" i="7"/>
  <c r="R283" i="7"/>
  <c r="R287" i="7"/>
  <c r="R291" i="7"/>
  <c r="R295" i="7"/>
  <c r="R299" i="7"/>
  <c r="R303" i="7"/>
  <c r="R307" i="7"/>
  <c r="R12" i="7"/>
  <c r="R16" i="7"/>
  <c r="R20" i="7"/>
  <c r="R24" i="7"/>
  <c r="R28" i="7"/>
  <c r="R32" i="7"/>
  <c r="R36" i="7"/>
  <c r="R40" i="7"/>
  <c r="R44" i="7"/>
  <c r="R48" i="7"/>
  <c r="R52" i="7"/>
  <c r="R56" i="7"/>
  <c r="R60" i="7"/>
  <c r="R64" i="7"/>
  <c r="R68" i="7"/>
  <c r="R72" i="7"/>
  <c r="R76" i="7"/>
  <c r="R80" i="7"/>
  <c r="R84" i="7"/>
  <c r="R88" i="7"/>
  <c r="R92" i="7"/>
  <c r="R96" i="7"/>
  <c r="R100" i="7"/>
  <c r="R104" i="7"/>
  <c r="R108" i="7"/>
  <c r="R112" i="7"/>
  <c r="R116" i="7"/>
  <c r="R120" i="7"/>
  <c r="R124" i="7"/>
  <c r="R128" i="7"/>
  <c r="R132" i="7"/>
  <c r="R136" i="7"/>
  <c r="R140" i="7"/>
  <c r="R144" i="7"/>
  <c r="R148" i="7"/>
  <c r="R152" i="7"/>
  <c r="R156" i="7"/>
  <c r="R160" i="7"/>
  <c r="R164" i="7"/>
  <c r="R168" i="7"/>
  <c r="R172" i="7"/>
  <c r="R176" i="7"/>
  <c r="R180" i="7"/>
  <c r="R184" i="7"/>
  <c r="R188" i="7"/>
  <c r="R192" i="7"/>
  <c r="R196" i="7"/>
  <c r="R200" i="7"/>
  <c r="R204" i="7"/>
  <c r="R208" i="7"/>
  <c r="R212" i="7"/>
  <c r="R216" i="7"/>
  <c r="R220" i="7"/>
  <c r="R224" i="7"/>
  <c r="R228" i="7"/>
  <c r="R232" i="7"/>
  <c r="R236" i="7"/>
  <c r="R240" i="7"/>
  <c r="R244" i="7"/>
  <c r="R248" i="7"/>
  <c r="R252" i="7"/>
  <c r="R256" i="7"/>
  <c r="R260" i="7"/>
  <c r="R264" i="7"/>
  <c r="R268" i="7"/>
  <c r="R272" i="7"/>
  <c r="R276" i="7"/>
  <c r="R280" i="7"/>
  <c r="R284" i="7"/>
  <c r="R288" i="7"/>
  <c r="R292" i="7"/>
  <c r="R296" i="7"/>
  <c r="R300" i="7"/>
  <c r="R304" i="7"/>
  <c r="R308" i="7"/>
  <c r="U305" i="7"/>
  <c r="U297" i="7"/>
  <c r="U289" i="7"/>
  <c r="U281" i="7"/>
  <c r="U273" i="7"/>
  <c r="U265" i="7"/>
  <c r="U257" i="7"/>
  <c r="U249" i="7"/>
  <c r="U241" i="7"/>
  <c r="U233" i="7"/>
  <c r="U225" i="7"/>
  <c r="U217" i="7"/>
  <c r="U209" i="7"/>
  <c r="U201" i="7"/>
  <c r="U193" i="7"/>
  <c r="U185" i="7"/>
  <c r="U177" i="7"/>
  <c r="U169" i="7"/>
  <c r="U161" i="7"/>
  <c r="U153" i="7"/>
  <c r="U145" i="7"/>
  <c r="U137" i="7"/>
  <c r="U121" i="7"/>
  <c r="U105" i="7"/>
  <c r="U89" i="7"/>
  <c r="U73" i="7"/>
  <c r="U57" i="7"/>
  <c r="U41" i="7"/>
  <c r="U308" i="7"/>
  <c r="U300" i="7"/>
  <c r="U292" i="7"/>
  <c r="U284" i="7"/>
  <c r="U276" i="7"/>
  <c r="U268" i="7"/>
  <c r="U260" i="7"/>
  <c r="U252" i="7"/>
  <c r="U244" i="7"/>
  <c r="U236" i="7"/>
  <c r="U228" i="7"/>
  <c r="U220" i="7"/>
  <c r="U212" i="7"/>
  <c r="U204" i="7"/>
  <c r="U196" i="7"/>
  <c r="U188" i="7"/>
  <c r="U180" i="7"/>
  <c r="U172" i="7"/>
  <c r="U164" i="7"/>
  <c r="U156" i="7"/>
  <c r="U148" i="7"/>
  <c r="U140" i="7"/>
  <c r="U125" i="7"/>
  <c r="U109" i="7"/>
  <c r="U93" i="7"/>
  <c r="U77" i="7"/>
  <c r="U61" i="7"/>
  <c r="U45" i="7"/>
  <c r="U29" i="7"/>
  <c r="U10" i="7"/>
  <c r="U14" i="7"/>
  <c r="U18" i="7"/>
  <c r="U22" i="7"/>
  <c r="U26" i="7"/>
  <c r="U30" i="7"/>
  <c r="U34" i="7"/>
  <c r="U38" i="7"/>
  <c r="U42" i="7"/>
  <c r="U46" i="7"/>
  <c r="U50" i="7"/>
  <c r="U54" i="7"/>
  <c r="U58" i="7"/>
  <c r="U62" i="7"/>
  <c r="U66" i="7"/>
  <c r="U70" i="7"/>
  <c r="U74" i="7"/>
  <c r="U78" i="7"/>
  <c r="U82" i="7"/>
  <c r="U86" i="7"/>
  <c r="U90" i="7"/>
  <c r="U94" i="7"/>
  <c r="U98" i="7"/>
  <c r="U102" i="7"/>
  <c r="U106" i="7"/>
  <c r="U110" i="7"/>
  <c r="U114" i="7"/>
  <c r="U118" i="7"/>
  <c r="U122" i="7"/>
  <c r="U126" i="7"/>
  <c r="U130" i="7"/>
  <c r="U134" i="7"/>
  <c r="U138" i="7"/>
  <c r="U142" i="7"/>
  <c r="U146" i="7"/>
  <c r="U150" i="7"/>
  <c r="U154" i="7"/>
  <c r="U158" i="7"/>
  <c r="U162" i="7"/>
  <c r="U166" i="7"/>
  <c r="U170" i="7"/>
  <c r="U174" i="7"/>
  <c r="U178" i="7"/>
  <c r="U182" i="7"/>
  <c r="U186" i="7"/>
  <c r="U190" i="7"/>
  <c r="U194" i="7"/>
  <c r="U198" i="7"/>
  <c r="U202" i="7"/>
  <c r="U206" i="7"/>
  <c r="U210" i="7"/>
  <c r="U214" i="7"/>
  <c r="U218" i="7"/>
  <c r="U222" i="7"/>
  <c r="U226" i="7"/>
  <c r="U230" i="7"/>
  <c r="U234" i="7"/>
  <c r="U238" i="7"/>
  <c r="U242" i="7"/>
  <c r="U246" i="7"/>
  <c r="U250" i="7"/>
  <c r="U254" i="7"/>
  <c r="U258" i="7"/>
  <c r="U262" i="7"/>
  <c r="U266" i="7"/>
  <c r="U270" i="7"/>
  <c r="U274" i="7"/>
  <c r="U278" i="7"/>
  <c r="U282" i="7"/>
  <c r="U286" i="7"/>
  <c r="U290" i="7"/>
  <c r="U294" i="7"/>
  <c r="U298" i="7"/>
  <c r="U302" i="7"/>
  <c r="U306" i="7"/>
  <c r="U11" i="7"/>
  <c r="U15" i="7"/>
  <c r="U19" i="7"/>
  <c r="U23" i="7"/>
  <c r="U27" i="7"/>
  <c r="U31" i="7"/>
  <c r="U35" i="7"/>
  <c r="U39" i="7"/>
  <c r="U43" i="7"/>
  <c r="U47" i="7"/>
  <c r="U51" i="7"/>
  <c r="U55" i="7"/>
  <c r="U59" i="7"/>
  <c r="U63" i="7"/>
  <c r="U67" i="7"/>
  <c r="U71" i="7"/>
  <c r="U75" i="7"/>
  <c r="U79" i="7"/>
  <c r="U83" i="7"/>
  <c r="U87" i="7"/>
  <c r="U91" i="7"/>
  <c r="U95" i="7"/>
  <c r="U99" i="7"/>
  <c r="U103" i="7"/>
  <c r="U107" i="7"/>
  <c r="U111" i="7"/>
  <c r="U115" i="7"/>
  <c r="U119" i="7"/>
  <c r="U123" i="7"/>
  <c r="U127" i="7"/>
  <c r="U131" i="7"/>
  <c r="U135" i="7"/>
  <c r="U139" i="7"/>
  <c r="U143" i="7"/>
  <c r="U147" i="7"/>
  <c r="U151" i="7"/>
  <c r="U155" i="7"/>
  <c r="U159" i="7"/>
  <c r="U163" i="7"/>
  <c r="U167" i="7"/>
  <c r="U171" i="7"/>
  <c r="U175" i="7"/>
  <c r="U179" i="7"/>
  <c r="U183" i="7"/>
  <c r="U187" i="7"/>
  <c r="U191" i="7"/>
  <c r="U195" i="7"/>
  <c r="U199" i="7"/>
  <c r="U203" i="7"/>
  <c r="U207" i="7"/>
  <c r="U211" i="7"/>
  <c r="U215" i="7"/>
  <c r="U219" i="7"/>
  <c r="U223" i="7"/>
  <c r="U227" i="7"/>
  <c r="U231" i="7"/>
  <c r="U235" i="7"/>
  <c r="U239" i="7"/>
  <c r="U243" i="7"/>
  <c r="U247" i="7"/>
  <c r="U251" i="7"/>
  <c r="U255" i="7"/>
  <c r="U259" i="7"/>
  <c r="U263" i="7"/>
  <c r="U267" i="7"/>
  <c r="U271" i="7"/>
  <c r="U275" i="7"/>
  <c r="U279" i="7"/>
  <c r="U283" i="7"/>
  <c r="U287" i="7"/>
  <c r="U291" i="7"/>
  <c r="U295" i="7"/>
  <c r="U299" i="7"/>
  <c r="U303" i="7"/>
  <c r="U307" i="7"/>
  <c r="U12" i="7"/>
  <c r="U16" i="7"/>
  <c r="U20" i="7"/>
  <c r="U24" i="7"/>
  <c r="U28" i="7"/>
  <c r="U32" i="7"/>
  <c r="U36" i="7"/>
  <c r="U40" i="7"/>
  <c r="U44" i="7"/>
  <c r="U48" i="7"/>
  <c r="U52" i="7"/>
  <c r="U56" i="7"/>
  <c r="U60" i="7"/>
  <c r="U64" i="7"/>
  <c r="U68" i="7"/>
  <c r="U72" i="7"/>
  <c r="U76" i="7"/>
  <c r="U80" i="7"/>
  <c r="U84" i="7"/>
  <c r="U88" i="7"/>
  <c r="U92" i="7"/>
  <c r="U96" i="7"/>
  <c r="U100" i="7"/>
  <c r="U104" i="7"/>
  <c r="U108" i="7"/>
  <c r="U112" i="7"/>
  <c r="U116" i="7"/>
  <c r="U120" i="7"/>
  <c r="U124" i="7"/>
  <c r="U128" i="7"/>
  <c r="U132" i="7"/>
  <c r="U136" i="7"/>
  <c r="U304" i="7"/>
  <c r="U296" i="7"/>
  <c r="U288" i="7"/>
  <c r="U280" i="7"/>
  <c r="U272" i="7"/>
  <c r="U264" i="7"/>
  <c r="U256" i="7"/>
  <c r="U248" i="7"/>
  <c r="U240" i="7"/>
  <c r="U232" i="7"/>
  <c r="U224" i="7"/>
  <c r="U216" i="7"/>
  <c r="U208" i="7"/>
  <c r="U200" i="7"/>
  <c r="U192" i="7"/>
  <c r="U184" i="7"/>
  <c r="U176" i="7"/>
  <c r="U168" i="7"/>
  <c r="U160" i="7"/>
  <c r="U152" i="7"/>
  <c r="U144" i="7"/>
  <c r="U133" i="7"/>
  <c r="U117" i="7"/>
  <c r="U101" i="7"/>
  <c r="U85" i="7"/>
  <c r="U69" i="7"/>
  <c r="U53" i="7"/>
  <c r="U37" i="7"/>
  <c r="U21" i="7"/>
  <c r="U9" i="7"/>
  <c r="U301" i="7"/>
  <c r="U293" i="7"/>
  <c r="U285" i="7"/>
  <c r="U277" i="7"/>
  <c r="U269" i="7"/>
  <c r="U261" i="7"/>
  <c r="U253" i="7"/>
  <c r="U245" i="7"/>
  <c r="U237" i="7"/>
  <c r="U229" i="7"/>
  <c r="U221" i="7"/>
  <c r="U213" i="7"/>
  <c r="U205" i="7"/>
  <c r="U197" i="7"/>
  <c r="U189" i="7"/>
  <c r="U181" i="7"/>
  <c r="U173" i="7"/>
  <c r="U165" i="7"/>
  <c r="U157" i="7"/>
  <c r="U149" i="7"/>
  <c r="U141" i="7"/>
  <c r="U129" i="7"/>
  <c r="U113" i="7"/>
  <c r="U97" i="7"/>
  <c r="U81" i="7"/>
  <c r="U65" i="7"/>
  <c r="U49" i="7"/>
  <c r="U33" i="7"/>
  <c r="U17" i="7"/>
  <c r="C343" i="11"/>
  <c r="C344" i="11"/>
  <c r="C345" i="11"/>
  <c r="C346" i="11"/>
  <c r="C342" i="11"/>
  <c r="N124" i="11"/>
  <c r="N236" i="11"/>
  <c r="N222" i="11"/>
  <c r="N225" i="11"/>
  <c r="N66" i="11"/>
  <c r="N81" i="11"/>
  <c r="N295" i="11"/>
  <c r="N267" i="11"/>
  <c r="N58" i="11"/>
  <c r="N230" i="11"/>
  <c r="N32" i="11"/>
  <c r="N103" i="11"/>
  <c r="N99" i="11"/>
  <c r="N157" i="11"/>
  <c r="N73" i="11"/>
  <c r="N291" i="11"/>
  <c r="N161" i="11"/>
  <c r="N152" i="11"/>
  <c r="N240" i="11"/>
  <c r="N111" i="11"/>
  <c r="N78" i="11"/>
  <c r="N5" i="11"/>
  <c r="N210" i="11"/>
  <c r="N162" i="11"/>
  <c r="N232" i="11"/>
  <c r="N126" i="11"/>
  <c r="N238" i="11"/>
  <c r="N211" i="11"/>
  <c r="N250" i="11"/>
  <c r="N38" i="11"/>
  <c r="N294" i="11"/>
  <c r="N130" i="11"/>
  <c r="N194" i="11"/>
  <c r="N220" i="11"/>
  <c r="N69" i="11"/>
  <c r="N138" i="11"/>
  <c r="N237" i="11"/>
  <c r="N241" i="11"/>
  <c r="N64" i="11"/>
  <c r="N207" i="11"/>
  <c r="N164" i="11"/>
  <c r="N189" i="11"/>
  <c r="N293" i="11"/>
  <c r="N154" i="11"/>
  <c r="N247" i="11"/>
  <c r="N233" i="11"/>
  <c r="N35" i="11"/>
  <c r="N255" i="11"/>
  <c r="N91" i="11"/>
  <c r="N270" i="11"/>
  <c r="N14" i="11"/>
  <c r="N40" i="11"/>
  <c r="N9" i="11"/>
  <c r="N198" i="11"/>
  <c r="N23" i="11"/>
  <c r="N131" i="11"/>
  <c r="N151" i="11"/>
  <c r="N113" i="11"/>
  <c r="N53" i="11"/>
  <c r="N259" i="11"/>
  <c r="N98" i="11"/>
  <c r="N18" i="11"/>
  <c r="N243" i="11"/>
  <c r="N56" i="11"/>
  <c r="N171" i="11"/>
  <c r="N213" i="11"/>
  <c r="N19" i="11"/>
  <c r="N176" i="11"/>
  <c r="N85" i="11"/>
  <c r="N208" i="11"/>
  <c r="N258" i="11"/>
  <c r="N137" i="11"/>
  <c r="N296" i="11"/>
  <c r="N63" i="11"/>
  <c r="N246" i="11"/>
  <c r="N245" i="11"/>
  <c r="N79" i="11"/>
  <c r="N298" i="11"/>
  <c r="N149" i="11"/>
  <c r="N60" i="11"/>
  <c r="N178" i="11"/>
  <c r="N265" i="11"/>
  <c r="N62" i="11"/>
  <c r="N123" i="11"/>
  <c r="N249" i="11"/>
  <c r="N167" i="11"/>
  <c r="N61" i="11"/>
  <c r="N13" i="11"/>
  <c r="N276" i="11"/>
  <c r="N297" i="11"/>
  <c r="N292" i="11"/>
  <c r="N186" i="11"/>
  <c r="N280" i="11"/>
  <c r="N199" i="11"/>
  <c r="N181" i="11"/>
  <c r="N185" i="11"/>
  <c r="N116" i="11"/>
  <c r="N168" i="11"/>
  <c r="N89" i="11"/>
  <c r="N217" i="11"/>
  <c r="N266" i="11"/>
  <c r="N48" i="11"/>
  <c r="N288" i="11"/>
  <c r="N285" i="11"/>
  <c r="N251" i="11"/>
  <c r="N92" i="11"/>
  <c r="N235" i="11"/>
  <c r="N212" i="11"/>
  <c r="N140" i="11"/>
  <c r="N106" i="11"/>
  <c r="N125" i="11"/>
  <c r="N75" i="11"/>
  <c r="N112" i="11"/>
  <c r="N59" i="11"/>
  <c r="N4" i="11"/>
  <c r="N153" i="11"/>
  <c r="N218" i="11"/>
  <c r="N20" i="11"/>
  <c r="N196" i="11"/>
  <c r="N273" i="11"/>
  <c r="N184" i="11"/>
  <c r="N200" i="11"/>
  <c r="N193" i="11"/>
  <c r="N17" i="11"/>
  <c r="N160" i="11"/>
  <c r="N234" i="11"/>
  <c r="N104" i="11"/>
  <c r="N109" i="11"/>
  <c r="N24" i="11"/>
  <c r="N115" i="11"/>
  <c r="N34" i="11"/>
  <c r="N158" i="11"/>
  <c r="N107" i="11"/>
  <c r="N27" i="11"/>
  <c r="N135" i="11"/>
  <c r="N95" i="11"/>
  <c r="N287" i="11"/>
  <c r="N82" i="11"/>
  <c r="N77" i="11"/>
  <c r="N33" i="11"/>
  <c r="N256" i="11"/>
  <c r="N165" i="11"/>
  <c r="N28" i="11"/>
  <c r="N8" i="11"/>
  <c r="N282" i="11"/>
  <c r="N101" i="11"/>
  <c r="N226" i="11"/>
  <c r="N169" i="11"/>
  <c r="N134" i="11"/>
  <c r="N205" i="11"/>
  <c r="N121" i="11"/>
  <c r="N174" i="11"/>
  <c r="N93" i="11"/>
  <c r="N197" i="11"/>
  <c r="N173" i="11"/>
  <c r="N72" i="11"/>
  <c r="N223" i="11"/>
  <c r="N132" i="11"/>
  <c r="N68" i="11"/>
  <c r="N202" i="11"/>
  <c r="N147" i="11"/>
  <c r="N70" i="11"/>
  <c r="N300" i="11"/>
  <c r="N22" i="11"/>
  <c r="N10" i="11"/>
  <c r="N118" i="11"/>
  <c r="N190" i="11"/>
  <c r="N261" i="11"/>
  <c r="N133" i="11"/>
  <c r="N239" i="11"/>
  <c r="N299" i="11"/>
  <c r="N180" i="11"/>
  <c r="N100" i="11"/>
  <c r="N290" i="11"/>
  <c r="N201" i="11"/>
  <c r="N83" i="11"/>
  <c r="N155" i="11"/>
  <c r="N228" i="11"/>
  <c r="N284" i="11"/>
  <c r="N127" i="11"/>
  <c r="N263" i="11"/>
  <c r="N231" i="11"/>
  <c r="N274" i="11"/>
  <c r="N289" i="11"/>
  <c r="N257" i="11"/>
  <c r="N148" i="11"/>
  <c r="N254" i="11"/>
  <c r="N279" i="11"/>
  <c r="N244" i="11"/>
  <c r="N21" i="11"/>
  <c r="N30" i="11"/>
  <c r="N50" i="11"/>
  <c r="N86" i="11"/>
  <c r="N150" i="11"/>
  <c r="N3" i="11"/>
  <c r="N219" i="11"/>
  <c r="N141" i="11"/>
  <c r="N209" i="11"/>
  <c r="N42" i="11"/>
  <c r="N166" i="11"/>
  <c r="N108" i="11"/>
  <c r="N206" i="11"/>
  <c r="N122" i="11"/>
  <c r="N97" i="11"/>
  <c r="N51" i="11"/>
  <c r="N46" i="11"/>
  <c r="N44" i="11"/>
  <c r="N215" i="11"/>
  <c r="N182" i="11"/>
  <c r="N183" i="11"/>
  <c r="N16" i="11"/>
  <c r="N110" i="11"/>
  <c r="N12" i="11"/>
  <c r="N221" i="11"/>
  <c r="N268" i="11"/>
  <c r="N224" i="11"/>
  <c r="N25" i="11"/>
  <c r="N39" i="11"/>
  <c r="N227" i="11"/>
  <c r="N143" i="11"/>
  <c r="N195" i="11"/>
  <c r="N45" i="11"/>
  <c r="N52" i="11"/>
  <c r="N119" i="11"/>
  <c r="N187" i="11"/>
  <c r="N253" i="11"/>
  <c r="N275" i="11"/>
  <c r="N248" i="11"/>
  <c r="N172" i="11"/>
  <c r="N29" i="11"/>
  <c r="N94" i="11"/>
  <c r="N264" i="11"/>
  <c r="N11" i="11"/>
  <c r="N15" i="11"/>
  <c r="N139" i="11"/>
  <c r="N286" i="11"/>
  <c r="N136" i="11"/>
  <c r="N283" i="11"/>
  <c r="N271" i="11"/>
  <c r="N144" i="11"/>
  <c r="N80" i="11"/>
  <c r="N301" i="11"/>
  <c r="N142" i="11"/>
  <c r="N96" i="11"/>
  <c r="N49" i="11"/>
  <c r="N260" i="11"/>
  <c r="N120" i="11"/>
  <c r="N229" i="11"/>
  <c r="N37" i="11"/>
  <c r="N105" i="11"/>
  <c r="N6" i="11"/>
  <c r="N87" i="11"/>
  <c r="N31" i="11"/>
  <c r="N114" i="11"/>
  <c r="N41" i="11"/>
  <c r="N71" i="11"/>
  <c r="N277" i="11"/>
  <c r="N67" i="11"/>
  <c r="N129" i="11"/>
  <c r="N88" i="11"/>
  <c r="N43" i="11"/>
  <c r="N278" i="11"/>
  <c r="N281" i="11"/>
  <c r="N90" i="11"/>
  <c r="N216" i="11"/>
  <c r="N117" i="11"/>
  <c r="N269" i="11"/>
  <c r="N26" i="11"/>
  <c r="N188" i="11"/>
  <c r="N177" i="11"/>
  <c r="N102" i="11"/>
  <c r="N204" i="11"/>
  <c r="N170" i="11"/>
  <c r="N74" i="11"/>
  <c r="N252" i="11"/>
  <c r="N175" i="11"/>
  <c r="N84" i="11"/>
  <c r="N179" i="11"/>
  <c r="N7" i="11"/>
  <c r="N272" i="11"/>
  <c r="N36" i="11"/>
  <c r="N214" i="11"/>
  <c r="N47" i="11"/>
  <c r="N262" i="11"/>
  <c r="N128" i="11"/>
  <c r="N76" i="11"/>
  <c r="N156" i="11"/>
  <c r="N192" i="11"/>
  <c r="N242" i="11"/>
  <c r="N159" i="11"/>
  <c r="N57" i="11"/>
  <c r="N163" i="11"/>
  <c r="N145" i="11"/>
  <c r="N2" i="11"/>
  <c r="N191" i="11"/>
  <c r="N55" i="11"/>
  <c r="N65" i="11"/>
  <c r="N203" i="11"/>
  <c r="N146" i="11"/>
  <c r="N54" i="1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H61" i="2"/>
  <c r="H74" i="2"/>
  <c r="H20" i="2"/>
  <c r="H31" i="2"/>
  <c r="H4" i="2"/>
  <c r="H144" i="2"/>
  <c r="H54" i="2"/>
  <c r="H163" i="2"/>
  <c r="H19" i="2"/>
  <c r="H94" i="2"/>
  <c r="H12" i="2"/>
  <c r="H136" i="2"/>
  <c r="H167" i="2"/>
  <c r="H170" i="2"/>
  <c r="H46" i="2"/>
  <c r="H44" i="2"/>
  <c r="H63" i="2"/>
  <c r="H112" i="2"/>
  <c r="H45" i="2"/>
  <c r="H50" i="2"/>
  <c r="H23" i="2"/>
  <c r="H132" i="2"/>
  <c r="H172" i="2"/>
  <c r="H182" i="2"/>
  <c r="H131" i="2"/>
  <c r="H188" i="2"/>
  <c r="H7" i="2"/>
  <c r="H57" i="2"/>
  <c r="H143" i="2"/>
  <c r="H127" i="2"/>
  <c r="H83" i="2"/>
  <c r="H21" i="2"/>
  <c r="H130" i="2"/>
  <c r="H138" i="2"/>
  <c r="H120" i="2"/>
  <c r="H81" i="2"/>
  <c r="H129" i="2"/>
  <c r="H92" i="2"/>
  <c r="H121" i="2"/>
  <c r="H82" i="2"/>
  <c r="H77" i="2"/>
  <c r="H124" i="2"/>
  <c r="H194" i="2"/>
  <c r="H70" i="2"/>
  <c r="H36" i="2"/>
  <c r="H18" i="2"/>
  <c r="H196" i="2"/>
  <c r="H24" i="2"/>
  <c r="H134" i="2"/>
  <c r="H59" i="2"/>
  <c r="H192" i="2"/>
  <c r="H16" i="2"/>
  <c r="H34" i="2"/>
  <c r="H114" i="2"/>
  <c r="H48" i="2"/>
  <c r="H51" i="2"/>
  <c r="H88" i="2"/>
  <c r="H58" i="2"/>
  <c r="H15" i="2"/>
  <c r="H60" i="2"/>
  <c r="H56" i="2"/>
  <c r="H168" i="2"/>
  <c r="H166" i="2"/>
  <c r="H137" i="2"/>
  <c r="H176" i="2"/>
  <c r="H178" i="2"/>
  <c r="H8" i="2"/>
  <c r="H39" i="2"/>
  <c r="H52" i="2"/>
  <c r="H79" i="2"/>
  <c r="H90" i="2"/>
  <c r="H165" i="2"/>
  <c r="H105" i="2"/>
  <c r="H111" i="2"/>
  <c r="H32" i="2"/>
  <c r="H35" i="2"/>
  <c r="H11" i="2"/>
  <c r="H102" i="2"/>
  <c r="H135" i="2"/>
  <c r="H65" i="2"/>
  <c r="H25" i="2"/>
  <c r="H108" i="2"/>
  <c r="H154" i="2"/>
  <c r="H164" i="2"/>
  <c r="H27" i="2"/>
  <c r="H199" i="2"/>
  <c r="H141" i="2"/>
  <c r="H125" i="2"/>
  <c r="H33" i="2"/>
  <c r="H161" i="2"/>
  <c r="H160" i="2"/>
  <c r="H177" i="2"/>
  <c r="H119" i="2"/>
  <c r="H71" i="2"/>
  <c r="H30" i="2"/>
  <c r="H190" i="2"/>
  <c r="H37" i="2"/>
  <c r="H113" i="2"/>
  <c r="H198" i="2"/>
  <c r="H28" i="2"/>
  <c r="H123" i="2"/>
  <c r="H9" i="2"/>
  <c r="H185" i="2"/>
  <c r="H197" i="2"/>
  <c r="H89" i="2"/>
  <c r="H200" i="2"/>
  <c r="H158" i="2"/>
  <c r="H42" i="2"/>
  <c r="H62" i="2"/>
  <c r="H68" i="2"/>
  <c r="H117" i="2"/>
  <c r="H93" i="2"/>
  <c r="H95" i="2"/>
  <c r="H184" i="2"/>
  <c r="H174" i="2"/>
  <c r="H99" i="2"/>
  <c r="H55" i="2"/>
  <c r="H76" i="2"/>
  <c r="H86" i="2"/>
  <c r="H67" i="2"/>
  <c r="H110" i="2"/>
  <c r="H100" i="2"/>
  <c r="H193" i="2"/>
  <c r="H175" i="2"/>
  <c r="H17" i="2"/>
  <c r="H195" i="2"/>
  <c r="H14" i="2"/>
  <c r="H152" i="2"/>
  <c r="H69" i="2"/>
  <c r="H10" i="2"/>
  <c r="H103" i="2"/>
  <c r="H116" i="2"/>
  <c r="H87" i="2"/>
  <c r="H98" i="2"/>
  <c r="H189" i="2"/>
  <c r="H96" i="2"/>
  <c r="H91" i="2"/>
  <c r="H85" i="2"/>
  <c r="H73" i="2"/>
  <c r="H150" i="2"/>
  <c r="H169" i="2"/>
  <c r="H191" i="2"/>
  <c r="H187" i="2"/>
  <c r="H109" i="2"/>
  <c r="H122" i="2"/>
  <c r="H26" i="2"/>
  <c r="H106" i="2"/>
  <c r="H41" i="2"/>
  <c r="H181" i="2"/>
  <c r="H66" i="2"/>
  <c r="H104" i="2"/>
  <c r="H146" i="2"/>
  <c r="H153" i="2"/>
  <c r="H78" i="2"/>
  <c r="H84" i="2"/>
  <c r="H159" i="2"/>
  <c r="H97" i="2"/>
  <c r="H2" i="2"/>
  <c r="H147" i="2"/>
  <c r="H149" i="2"/>
  <c r="H148" i="2"/>
  <c r="H115" i="2"/>
  <c r="H142" i="2"/>
  <c r="H126" i="2"/>
  <c r="H49" i="2"/>
  <c r="H80" i="2"/>
  <c r="H133" i="2"/>
  <c r="H162" i="2"/>
  <c r="H145" i="2"/>
  <c r="H128" i="2"/>
  <c r="H3" i="2"/>
  <c r="H5" i="2"/>
  <c r="H29" i="2"/>
  <c r="H64" i="2"/>
  <c r="H13" i="2"/>
  <c r="H40" i="2"/>
  <c r="H101" i="2"/>
  <c r="H171" i="2"/>
  <c r="H155" i="2"/>
  <c r="H156" i="2"/>
  <c r="H183" i="2"/>
  <c r="H72" i="2"/>
  <c r="H157" i="2"/>
  <c r="H43" i="2"/>
  <c r="H47" i="2"/>
  <c r="H139" i="2"/>
  <c r="H38" i="2"/>
  <c r="H75" i="2"/>
  <c r="H53" i="2"/>
  <c r="H179" i="2"/>
  <c r="H22" i="2"/>
  <c r="H118" i="2"/>
  <c r="H107" i="2"/>
  <c r="H201" i="2"/>
  <c r="H140" i="2"/>
  <c r="H186" i="2"/>
  <c r="H173" i="2"/>
  <c r="H180" i="2"/>
  <c r="H151" i="2"/>
  <c r="H6" i="2"/>
  <c r="H72" i="4"/>
  <c r="H73" i="4"/>
  <c r="H71" i="4"/>
  <c r="H70" i="4"/>
  <c r="V18" i="7" l="1"/>
  <c r="V82" i="7"/>
  <c r="V210" i="7"/>
  <c r="I11" i="2"/>
  <c r="I23" i="2"/>
  <c r="I35" i="2"/>
  <c r="I47" i="2"/>
  <c r="I59" i="2"/>
  <c r="I71" i="2"/>
  <c r="I83" i="2"/>
  <c r="I95" i="2"/>
  <c r="I107" i="2"/>
  <c r="I119" i="2"/>
  <c r="I131" i="2"/>
  <c r="I143" i="2"/>
  <c r="I155" i="2"/>
  <c r="I167" i="2"/>
  <c r="I179" i="2"/>
  <c r="I191" i="2"/>
  <c r="I12" i="2"/>
  <c r="I24" i="2"/>
  <c r="I36" i="2"/>
  <c r="I48" i="2"/>
  <c r="I60" i="2"/>
  <c r="I72" i="2"/>
  <c r="I84" i="2"/>
  <c r="I96" i="2"/>
  <c r="I108" i="2"/>
  <c r="I120" i="2"/>
  <c r="I132" i="2"/>
  <c r="I144" i="2"/>
  <c r="I156" i="2"/>
  <c r="I168" i="2"/>
  <c r="I180" i="2"/>
  <c r="I192" i="2"/>
  <c r="K2" i="2"/>
  <c r="I13" i="2"/>
  <c r="I25" i="2"/>
  <c r="I37" i="2"/>
  <c r="I49" i="2"/>
  <c r="I61" i="2"/>
  <c r="I73" i="2"/>
  <c r="I85" i="2"/>
  <c r="I97" i="2"/>
  <c r="I109" i="2"/>
  <c r="I121" i="2"/>
  <c r="I133" i="2"/>
  <c r="I145" i="2"/>
  <c r="I157" i="2"/>
  <c r="I169" i="2"/>
  <c r="I181" i="2"/>
  <c r="I193" i="2"/>
  <c r="I2" i="2"/>
  <c r="I14" i="2"/>
  <c r="I26" i="2"/>
  <c r="I38" i="2"/>
  <c r="I50" i="2"/>
  <c r="I62" i="2"/>
  <c r="I74" i="2"/>
  <c r="I86" i="2"/>
  <c r="I98" i="2"/>
  <c r="I110" i="2"/>
  <c r="I122" i="2"/>
  <c r="I134" i="2"/>
  <c r="I146" i="2"/>
  <c r="I158" i="2"/>
  <c r="I170" i="2"/>
  <c r="I182" i="2"/>
  <c r="I194" i="2"/>
  <c r="I3" i="2"/>
  <c r="I15" i="2"/>
  <c r="I27" i="2"/>
  <c r="I39" i="2"/>
  <c r="I51" i="2"/>
  <c r="I63" i="2"/>
  <c r="I75" i="2"/>
  <c r="I87" i="2"/>
  <c r="I99" i="2"/>
  <c r="I111" i="2"/>
  <c r="I123" i="2"/>
  <c r="I135" i="2"/>
  <c r="I147" i="2"/>
  <c r="I159" i="2"/>
  <c r="I171" i="2"/>
  <c r="I183" i="2"/>
  <c r="I195" i="2"/>
  <c r="I4" i="2"/>
  <c r="I16" i="2"/>
  <c r="I28" i="2"/>
  <c r="I40" i="2"/>
  <c r="I52" i="2"/>
  <c r="I64" i="2"/>
  <c r="I76" i="2"/>
  <c r="I88" i="2"/>
  <c r="I100" i="2"/>
  <c r="I112" i="2"/>
  <c r="I124" i="2"/>
  <c r="I136" i="2"/>
  <c r="I148" i="2"/>
  <c r="I160" i="2"/>
  <c r="I172" i="2"/>
  <c r="I184" i="2"/>
  <c r="I196" i="2"/>
  <c r="I5" i="2"/>
  <c r="I17" i="2"/>
  <c r="I29" i="2"/>
  <c r="I41" i="2"/>
  <c r="I53" i="2"/>
  <c r="I65" i="2"/>
  <c r="I77" i="2"/>
  <c r="I89" i="2"/>
  <c r="I101" i="2"/>
  <c r="I113" i="2"/>
  <c r="I125" i="2"/>
  <c r="I137" i="2"/>
  <c r="I149" i="2"/>
  <c r="I161" i="2"/>
  <c r="I173" i="2"/>
  <c r="I185" i="2"/>
  <c r="I197" i="2"/>
  <c r="I6" i="2"/>
  <c r="I18" i="2"/>
  <c r="I30" i="2"/>
  <c r="I42" i="2"/>
  <c r="I54" i="2"/>
  <c r="I66" i="2"/>
  <c r="I78" i="2"/>
  <c r="I90" i="2"/>
  <c r="I102" i="2"/>
  <c r="I114" i="2"/>
  <c r="I126" i="2"/>
  <c r="I138" i="2"/>
  <c r="I150" i="2"/>
  <c r="I162" i="2"/>
  <c r="I174" i="2"/>
  <c r="I186" i="2"/>
  <c r="I198" i="2"/>
  <c r="I7" i="2"/>
  <c r="I19" i="2"/>
  <c r="I31" i="2"/>
  <c r="I43" i="2"/>
  <c r="I55" i="2"/>
  <c r="I67" i="2"/>
  <c r="I79" i="2"/>
  <c r="I91" i="2"/>
  <c r="I103" i="2"/>
  <c r="I115" i="2"/>
  <c r="I127" i="2"/>
  <c r="I139" i="2"/>
  <c r="I151" i="2"/>
  <c r="I163" i="2"/>
  <c r="I175" i="2"/>
  <c r="I187" i="2"/>
  <c r="I199" i="2"/>
  <c r="I8" i="2"/>
  <c r="I20" i="2"/>
  <c r="I32" i="2"/>
  <c r="I44" i="2"/>
  <c r="I56" i="2"/>
  <c r="I68" i="2"/>
  <c r="I80" i="2"/>
  <c r="I92" i="2"/>
  <c r="I104" i="2"/>
  <c r="I116" i="2"/>
  <c r="I128" i="2"/>
  <c r="I140" i="2"/>
  <c r="I152" i="2"/>
  <c r="I164" i="2"/>
  <c r="I176" i="2"/>
  <c r="I188" i="2"/>
  <c r="I200" i="2"/>
  <c r="I9" i="2"/>
  <c r="I21" i="2"/>
  <c r="I33" i="2"/>
  <c r="I45" i="2"/>
  <c r="I57" i="2"/>
  <c r="I69" i="2"/>
  <c r="I81" i="2"/>
  <c r="I93" i="2"/>
  <c r="I105" i="2"/>
  <c r="I117" i="2"/>
  <c r="I129" i="2"/>
  <c r="I141" i="2"/>
  <c r="I153" i="2"/>
  <c r="I165" i="2"/>
  <c r="I177" i="2"/>
  <c r="I189" i="2"/>
  <c r="I201" i="2"/>
  <c r="I10" i="2"/>
  <c r="I22" i="2"/>
  <c r="I34" i="2"/>
  <c r="I46" i="2"/>
  <c r="I58" i="2"/>
  <c r="I70" i="2"/>
  <c r="I82" i="2"/>
  <c r="I94" i="2"/>
  <c r="I106" i="2"/>
  <c r="I118" i="2"/>
  <c r="I130" i="2"/>
  <c r="I142" i="2"/>
  <c r="I154" i="2"/>
  <c r="I166" i="2"/>
  <c r="I178" i="2"/>
  <c r="I190" i="2"/>
  <c r="V12" i="7"/>
  <c r="V146" i="7"/>
  <c r="V162" i="7"/>
  <c r="V64" i="7"/>
  <c r="V234" i="7"/>
  <c r="V16" i="7"/>
  <c r="V34" i="7"/>
  <c r="V226" i="7"/>
  <c r="V32" i="7"/>
  <c r="V41" i="7"/>
  <c r="V50" i="7"/>
  <c r="V114" i="7"/>
  <c r="V178" i="7"/>
  <c r="V186" i="7"/>
  <c r="V25" i="7"/>
  <c r="V98" i="7"/>
  <c r="V48" i="7"/>
  <c r="V57" i="7"/>
  <c r="V66" i="7"/>
  <c r="V130" i="7"/>
  <c r="V194" i="7"/>
  <c r="V28" i="7"/>
  <c r="V44" i="7"/>
  <c r="V60" i="7"/>
  <c r="V21" i="7"/>
  <c r="V37" i="7"/>
  <c r="V53" i="7"/>
  <c r="V14" i="7"/>
  <c r="V30" i="7"/>
  <c r="V46" i="7"/>
  <c r="V62" i="7"/>
  <c r="V78" i="7"/>
  <c r="V94" i="7"/>
  <c r="V110" i="7"/>
  <c r="V126" i="7"/>
  <c r="V142" i="7"/>
  <c r="V158" i="7"/>
  <c r="V174" i="7"/>
  <c r="V190" i="7"/>
  <c r="V206" i="7"/>
  <c r="V222" i="7"/>
  <c r="V238" i="7"/>
  <c r="V246" i="7"/>
  <c r="V262" i="7"/>
  <c r="V278" i="7"/>
  <c r="V294" i="7"/>
  <c r="V282" i="7"/>
  <c r="V250" i="7"/>
  <c r="V266" i="7"/>
  <c r="V20" i="7"/>
  <c r="V36" i="7"/>
  <c r="V52" i="7"/>
  <c r="V13" i="7"/>
  <c r="V29" i="7"/>
  <c r="V45" i="7"/>
  <c r="V61" i="7"/>
  <c r="V22" i="7"/>
  <c r="V38" i="7"/>
  <c r="V54" i="7"/>
  <c r="V70" i="7"/>
  <c r="V86" i="7"/>
  <c r="V102" i="7"/>
  <c r="V118" i="7"/>
  <c r="V134" i="7"/>
  <c r="V150" i="7"/>
  <c r="V166" i="7"/>
  <c r="V182" i="7"/>
  <c r="V198" i="7"/>
  <c r="V214" i="7"/>
  <c r="V230" i="7"/>
  <c r="W10" i="7"/>
  <c r="W14" i="7"/>
  <c r="W18" i="7"/>
  <c r="W22" i="7"/>
  <c r="W26" i="7"/>
  <c r="W30" i="7"/>
  <c r="W34" i="7"/>
  <c r="W38" i="7"/>
  <c r="W42" i="7"/>
  <c r="W46" i="7"/>
  <c r="W50" i="7"/>
  <c r="W54" i="7"/>
  <c r="W58" i="7"/>
  <c r="W62" i="7"/>
  <c r="W66" i="7"/>
  <c r="W70" i="7"/>
  <c r="W74" i="7"/>
  <c r="W78" i="7"/>
  <c r="W82" i="7"/>
  <c r="W86" i="7"/>
  <c r="W90" i="7"/>
  <c r="W94" i="7"/>
  <c r="W98" i="7"/>
  <c r="W102" i="7"/>
  <c r="W106" i="7"/>
  <c r="W110" i="7"/>
  <c r="W114" i="7"/>
  <c r="W118" i="7"/>
  <c r="W122" i="7"/>
  <c r="W126" i="7"/>
  <c r="W130" i="7"/>
  <c r="W134" i="7"/>
  <c r="W138" i="7"/>
  <c r="W142" i="7"/>
  <c r="W146" i="7"/>
  <c r="W150" i="7"/>
  <c r="W154" i="7"/>
  <c r="W158" i="7"/>
  <c r="W162" i="7"/>
  <c r="W166" i="7"/>
  <c r="W170" i="7"/>
  <c r="W174" i="7"/>
  <c r="W178" i="7"/>
  <c r="W182" i="7"/>
  <c r="W186" i="7"/>
  <c r="W190" i="7"/>
  <c r="W194" i="7"/>
  <c r="W198" i="7"/>
  <c r="W202" i="7"/>
  <c r="W206" i="7"/>
  <c r="W210" i="7"/>
  <c r="W214" i="7"/>
  <c r="W218" i="7"/>
  <c r="W222" i="7"/>
  <c r="W226" i="7"/>
  <c r="W230" i="7"/>
  <c r="W234" i="7"/>
  <c r="W238" i="7"/>
  <c r="W242" i="7"/>
  <c r="W246" i="7"/>
  <c r="W250" i="7"/>
  <c r="W254" i="7"/>
  <c r="W258" i="7"/>
  <c r="W262" i="7"/>
  <c r="W266" i="7"/>
  <c r="W270" i="7"/>
  <c r="W274" i="7"/>
  <c r="W278" i="7"/>
  <c r="W282" i="7"/>
  <c r="W286" i="7"/>
  <c r="W290" i="7"/>
  <c r="W294" i="7"/>
  <c r="W298" i="7"/>
  <c r="W302" i="7"/>
  <c r="W306" i="7"/>
  <c r="V9" i="7"/>
  <c r="V23" i="7"/>
  <c r="V39" i="7"/>
  <c r="V55" i="7"/>
  <c r="V67" i="7"/>
  <c r="V72" i="7"/>
  <c r="V77" i="7"/>
  <c r="V83" i="7"/>
  <c r="V88" i="7"/>
  <c r="V93" i="7"/>
  <c r="W11" i="7"/>
  <c r="W15" i="7"/>
  <c r="W19" i="7"/>
  <c r="W23" i="7"/>
  <c r="W27" i="7"/>
  <c r="W31" i="7"/>
  <c r="W35" i="7"/>
  <c r="W39" i="7"/>
  <c r="W43" i="7"/>
  <c r="W47" i="7"/>
  <c r="W51" i="7"/>
  <c r="W55" i="7"/>
  <c r="W59" i="7"/>
  <c r="W63" i="7"/>
  <c r="W67" i="7"/>
  <c r="W71" i="7"/>
  <c r="W75" i="7"/>
  <c r="W79" i="7"/>
  <c r="W83" i="7"/>
  <c r="W87" i="7"/>
  <c r="W91" i="7"/>
  <c r="W95" i="7"/>
  <c r="W99" i="7"/>
  <c r="W103" i="7"/>
  <c r="W107" i="7"/>
  <c r="W111" i="7"/>
  <c r="W115" i="7"/>
  <c r="W119" i="7"/>
  <c r="W123" i="7"/>
  <c r="W127" i="7"/>
  <c r="W131" i="7"/>
  <c r="W135" i="7"/>
  <c r="W139" i="7"/>
  <c r="W143" i="7"/>
  <c r="W147" i="7"/>
  <c r="W151" i="7"/>
  <c r="W155" i="7"/>
  <c r="W159" i="7"/>
  <c r="W163" i="7"/>
  <c r="W167" i="7"/>
  <c r="W171" i="7"/>
  <c r="W175" i="7"/>
  <c r="W179" i="7"/>
  <c r="W183" i="7"/>
  <c r="W187" i="7"/>
  <c r="W191" i="7"/>
  <c r="W195" i="7"/>
  <c r="W199" i="7"/>
  <c r="W203" i="7"/>
  <c r="W207" i="7"/>
  <c r="W211" i="7"/>
  <c r="W215" i="7"/>
  <c r="W219" i="7"/>
  <c r="W223" i="7"/>
  <c r="W227" i="7"/>
  <c r="W231" i="7"/>
  <c r="W235" i="7"/>
  <c r="W239" i="7"/>
  <c r="W243" i="7"/>
  <c r="W247" i="7"/>
  <c r="W251" i="7"/>
  <c r="W255" i="7"/>
  <c r="W259" i="7"/>
  <c r="W263" i="7"/>
  <c r="W267" i="7"/>
  <c r="W271" i="7"/>
  <c r="W275" i="7"/>
  <c r="W279" i="7"/>
  <c r="W283" i="7"/>
  <c r="W287" i="7"/>
  <c r="W291" i="7"/>
  <c r="W295" i="7"/>
  <c r="W299" i="7"/>
  <c r="W303" i="7"/>
  <c r="W307" i="7"/>
  <c r="W12" i="7"/>
  <c r="W20" i="7"/>
  <c r="W28" i="7"/>
  <c r="W36" i="7"/>
  <c r="W44" i="7"/>
  <c r="W52" i="7"/>
  <c r="W60" i="7"/>
  <c r="W68" i="7"/>
  <c r="W76" i="7"/>
  <c r="W84" i="7"/>
  <c r="W92" i="7"/>
  <c r="W100" i="7"/>
  <c r="W108" i="7"/>
  <c r="W116" i="7"/>
  <c r="W124" i="7"/>
  <c r="W132" i="7"/>
  <c r="W140" i="7"/>
  <c r="W148" i="7"/>
  <c r="W156" i="7"/>
  <c r="W164" i="7"/>
  <c r="W172" i="7"/>
  <c r="W180" i="7"/>
  <c r="W188" i="7"/>
  <c r="W196" i="7"/>
  <c r="W204" i="7"/>
  <c r="W212" i="7"/>
  <c r="W220" i="7"/>
  <c r="W228" i="7"/>
  <c r="W236" i="7"/>
  <c r="W244" i="7"/>
  <c r="W252" i="7"/>
  <c r="W260" i="7"/>
  <c r="W268" i="7"/>
  <c r="W276" i="7"/>
  <c r="W284" i="7"/>
  <c r="W292" i="7"/>
  <c r="W300" i="7"/>
  <c r="W308" i="7"/>
  <c r="V19" i="7"/>
  <c r="V43" i="7"/>
  <c r="V63" i="7"/>
  <c r="W13" i="7"/>
  <c r="W21" i="7"/>
  <c r="W29" i="7"/>
  <c r="W37" i="7"/>
  <c r="W45" i="7"/>
  <c r="W53" i="7"/>
  <c r="W61" i="7"/>
  <c r="W69" i="7"/>
  <c r="W77" i="7"/>
  <c r="W85" i="7"/>
  <c r="W93" i="7"/>
  <c r="W101" i="7"/>
  <c r="W109" i="7"/>
  <c r="W117" i="7"/>
  <c r="W125" i="7"/>
  <c r="W133" i="7"/>
  <c r="W141" i="7"/>
  <c r="W149" i="7"/>
  <c r="W157" i="7"/>
  <c r="W165" i="7"/>
  <c r="W173" i="7"/>
  <c r="W181" i="7"/>
  <c r="W189" i="7"/>
  <c r="W197" i="7"/>
  <c r="W205" i="7"/>
  <c r="W213" i="7"/>
  <c r="W221" i="7"/>
  <c r="W229" i="7"/>
  <c r="W237" i="7"/>
  <c r="W245" i="7"/>
  <c r="W253" i="7"/>
  <c r="W261" i="7"/>
  <c r="W269" i="7"/>
  <c r="W277" i="7"/>
  <c r="W285" i="7"/>
  <c r="W293" i="7"/>
  <c r="W301" i="7"/>
  <c r="W9" i="7"/>
  <c r="V27" i="7"/>
  <c r="V47" i="7"/>
  <c r="V65" i="7"/>
  <c r="V73" i="7"/>
  <c r="V80" i="7"/>
  <c r="V87" i="7"/>
  <c r="V95" i="7"/>
  <c r="V100" i="7"/>
  <c r="V105" i="7"/>
  <c r="V111" i="7"/>
  <c r="V116" i="7"/>
  <c r="V121" i="7"/>
  <c r="V127" i="7"/>
  <c r="V132" i="7"/>
  <c r="V137" i="7"/>
  <c r="V143" i="7"/>
  <c r="V148" i="7"/>
  <c r="V153" i="7"/>
  <c r="V159" i="7"/>
  <c r="V164" i="7"/>
  <c r="V169" i="7"/>
  <c r="V175" i="7"/>
  <c r="V180" i="7"/>
  <c r="V185" i="7"/>
  <c r="V191" i="7"/>
  <c r="V196" i="7"/>
  <c r="V201" i="7"/>
  <c r="V207" i="7"/>
  <c r="V212" i="7"/>
  <c r="V217" i="7"/>
  <c r="V223" i="7"/>
  <c r="V228" i="7"/>
  <c r="V233" i="7"/>
  <c r="V239" i="7"/>
  <c r="V244" i="7"/>
  <c r="V249" i="7"/>
  <c r="V255" i="7"/>
  <c r="V260" i="7"/>
  <c r="V265" i="7"/>
  <c r="V271" i="7"/>
  <c r="V276" i="7"/>
  <c r="V281" i="7"/>
  <c r="V287" i="7"/>
  <c r="V292" i="7"/>
  <c r="V297" i="7"/>
  <c r="V303" i="7"/>
  <c r="V308" i="7"/>
  <c r="W16" i="7"/>
  <c r="W32" i="7"/>
  <c r="W48" i="7"/>
  <c r="W64" i="7"/>
  <c r="X64" i="7" s="1"/>
  <c r="W80" i="7"/>
  <c r="W96" i="7"/>
  <c r="W112" i="7"/>
  <c r="W128" i="7"/>
  <c r="W144" i="7"/>
  <c r="W160" i="7"/>
  <c r="W176" i="7"/>
  <c r="W192" i="7"/>
  <c r="W208" i="7"/>
  <c r="W224" i="7"/>
  <c r="W240" i="7"/>
  <c r="W256" i="7"/>
  <c r="W272" i="7"/>
  <c r="W288" i="7"/>
  <c r="W304" i="7"/>
  <c r="V31" i="7"/>
  <c r="V68" i="7"/>
  <c r="V76" i="7"/>
  <c r="V85" i="7"/>
  <c r="V96" i="7"/>
  <c r="V103" i="7"/>
  <c r="V109" i="7"/>
  <c r="V117" i="7"/>
  <c r="V124" i="7"/>
  <c r="V131" i="7"/>
  <c r="V139" i="7"/>
  <c r="V145" i="7"/>
  <c r="V152" i="7"/>
  <c r="V160" i="7"/>
  <c r="V167" i="7"/>
  <c r="V173" i="7"/>
  <c r="V181" i="7"/>
  <c r="V188" i="7"/>
  <c r="V195" i="7"/>
  <c r="V203" i="7"/>
  <c r="V209" i="7"/>
  <c r="V216" i="7"/>
  <c r="V224" i="7"/>
  <c r="V231" i="7"/>
  <c r="V237" i="7"/>
  <c r="V245" i="7"/>
  <c r="V252" i="7"/>
  <c r="V259" i="7"/>
  <c r="V267" i="7"/>
  <c r="V273" i="7"/>
  <c r="V280" i="7"/>
  <c r="V288" i="7"/>
  <c r="V295" i="7"/>
  <c r="V301" i="7"/>
  <c r="W17" i="7"/>
  <c r="W33" i="7"/>
  <c r="W49" i="7"/>
  <c r="W65" i="7"/>
  <c r="W81" i="7"/>
  <c r="W97" i="7"/>
  <c r="W113" i="7"/>
  <c r="W129" i="7"/>
  <c r="W145" i="7"/>
  <c r="W161" i="7"/>
  <c r="W177" i="7"/>
  <c r="W193" i="7"/>
  <c r="W209" i="7"/>
  <c r="W225" i="7"/>
  <c r="W241" i="7"/>
  <c r="W257" i="7"/>
  <c r="W273" i="7"/>
  <c r="W289" i="7"/>
  <c r="W305" i="7"/>
  <c r="V35" i="7"/>
  <c r="V69" i="7"/>
  <c r="V79" i="7"/>
  <c r="V89" i="7"/>
  <c r="V97" i="7"/>
  <c r="V104" i="7"/>
  <c r="V112" i="7"/>
  <c r="V119" i="7"/>
  <c r="V125" i="7"/>
  <c r="V133" i="7"/>
  <c r="V140" i="7"/>
  <c r="V147" i="7"/>
  <c r="V155" i="7"/>
  <c r="V161" i="7"/>
  <c r="V168" i="7"/>
  <c r="V176" i="7"/>
  <c r="V183" i="7"/>
  <c r="V189" i="7"/>
  <c r="V197" i="7"/>
  <c r="V204" i="7"/>
  <c r="V211" i="7"/>
  <c r="V219" i="7"/>
  <c r="V225" i="7"/>
  <c r="V232" i="7"/>
  <c r="V240" i="7"/>
  <c r="V247" i="7"/>
  <c r="V253" i="7"/>
  <c r="V261" i="7"/>
  <c r="V268" i="7"/>
  <c r="V275" i="7"/>
  <c r="V283" i="7"/>
  <c r="V289" i="7"/>
  <c r="V296" i="7"/>
  <c r="V304" i="7"/>
  <c r="W24" i="7"/>
  <c r="W40" i="7"/>
  <c r="W56" i="7"/>
  <c r="W72" i="7"/>
  <c r="W88" i="7"/>
  <c r="W104" i="7"/>
  <c r="W120" i="7"/>
  <c r="W136" i="7"/>
  <c r="W152" i="7"/>
  <c r="W168" i="7"/>
  <c r="W184" i="7"/>
  <c r="W200" i="7"/>
  <c r="W216" i="7"/>
  <c r="W232" i="7"/>
  <c r="W248" i="7"/>
  <c r="W264" i="7"/>
  <c r="W280" i="7"/>
  <c r="W296" i="7"/>
  <c r="V11" i="7"/>
  <c r="V51" i="7"/>
  <c r="V71" i="7"/>
  <c r="V81" i="7"/>
  <c r="V91" i="7"/>
  <c r="V99" i="7"/>
  <c r="V107" i="7"/>
  <c r="V113" i="7"/>
  <c r="V120" i="7"/>
  <c r="V128" i="7"/>
  <c r="V135" i="7"/>
  <c r="V141" i="7"/>
  <c r="V149" i="7"/>
  <c r="V156" i="7"/>
  <c r="V163" i="7"/>
  <c r="V171" i="7"/>
  <c r="V177" i="7"/>
  <c r="V184" i="7"/>
  <c r="V192" i="7"/>
  <c r="V199" i="7"/>
  <c r="V205" i="7"/>
  <c r="V213" i="7"/>
  <c r="V220" i="7"/>
  <c r="V227" i="7"/>
  <c r="V235" i="7"/>
  <c r="V241" i="7"/>
  <c r="V248" i="7"/>
  <c r="V256" i="7"/>
  <c r="V263" i="7"/>
  <c r="V269" i="7"/>
  <c r="V277" i="7"/>
  <c r="V284" i="7"/>
  <c r="V291" i="7"/>
  <c r="V299" i="7"/>
  <c r="V305" i="7"/>
  <c r="W25" i="7"/>
  <c r="W41" i="7"/>
  <c r="W57" i="7"/>
  <c r="W73" i="7"/>
  <c r="W89" i="7"/>
  <c r="W105" i="7"/>
  <c r="W121" i="7"/>
  <c r="W137" i="7"/>
  <c r="W153" i="7"/>
  <c r="W169" i="7"/>
  <c r="W185" i="7"/>
  <c r="W201" i="7"/>
  <c r="W217" i="7"/>
  <c r="W233" i="7"/>
  <c r="W249" i="7"/>
  <c r="W265" i="7"/>
  <c r="W281" i="7"/>
  <c r="W297" i="7"/>
  <c r="V15" i="7"/>
  <c r="V92" i="7"/>
  <c r="V123" i="7"/>
  <c r="V151" i="7"/>
  <c r="V179" i="7"/>
  <c r="V208" i="7"/>
  <c r="V236" i="7"/>
  <c r="V264" i="7"/>
  <c r="V293" i="7"/>
  <c r="V59" i="7"/>
  <c r="V101" i="7"/>
  <c r="V129" i="7"/>
  <c r="V157" i="7"/>
  <c r="V187" i="7"/>
  <c r="V215" i="7"/>
  <c r="V243" i="7"/>
  <c r="V272" i="7"/>
  <c r="V300" i="7"/>
  <c r="V84" i="7"/>
  <c r="V144" i="7"/>
  <c r="V172" i="7"/>
  <c r="V200" i="7"/>
  <c r="V229" i="7"/>
  <c r="V257" i="7"/>
  <c r="V285" i="7"/>
  <c r="V75" i="7"/>
  <c r="V108" i="7"/>
  <c r="V136" i="7"/>
  <c r="V165" i="7"/>
  <c r="V193" i="7"/>
  <c r="V221" i="7"/>
  <c r="V251" i="7"/>
  <c r="V279" i="7"/>
  <c r="V307" i="7"/>
  <c r="V115" i="7"/>
  <c r="V254" i="7"/>
  <c r="V270" i="7"/>
  <c r="V286" i="7"/>
  <c r="V302" i="7"/>
  <c r="V298" i="7"/>
  <c r="V24" i="7"/>
  <c r="V40" i="7"/>
  <c r="V56" i="7"/>
  <c r="V17" i="7"/>
  <c r="V33" i="7"/>
  <c r="V49" i="7"/>
  <c r="V10" i="7"/>
  <c r="V26" i="7"/>
  <c r="V42" i="7"/>
  <c r="V58" i="7"/>
  <c r="V74" i="7"/>
  <c r="V90" i="7"/>
  <c r="V106" i="7"/>
  <c r="V122" i="7"/>
  <c r="V138" i="7"/>
  <c r="V154" i="7"/>
  <c r="V170" i="7"/>
  <c r="V202" i="7"/>
  <c r="V218" i="7"/>
  <c r="V242" i="7"/>
  <c r="V258" i="7"/>
  <c r="V274" i="7"/>
  <c r="V290" i="7"/>
  <c r="V306" i="7"/>
  <c r="X18" i="7" l="1"/>
  <c r="X25" i="7"/>
  <c r="X29" i="7"/>
  <c r="X23" i="7"/>
  <c r="X234" i="7"/>
  <c r="X37" i="7"/>
  <c r="X186" i="7"/>
  <c r="X82" i="7"/>
  <c r="X20" i="7"/>
  <c r="X210" i="7"/>
  <c r="X48" i="7"/>
  <c r="X294" i="7"/>
  <c r="X21" i="7"/>
  <c r="X178" i="7"/>
  <c r="X12" i="7"/>
  <c r="X158" i="7"/>
  <c r="X190" i="7"/>
  <c r="X57" i="7"/>
  <c r="X32" i="7"/>
  <c r="X194" i="7"/>
  <c r="X174" i="7"/>
  <c r="X281" i="7"/>
  <c r="X77" i="7"/>
  <c r="X217" i="7"/>
  <c r="X45" i="7"/>
  <c r="X62" i="7"/>
  <c r="X94" i="7"/>
  <c r="X206" i="7"/>
  <c r="X238" i="7"/>
  <c r="X46" i="7"/>
  <c r="X282" i="7"/>
  <c r="X67" i="7"/>
  <c r="X166" i="7"/>
  <c r="X41" i="7"/>
  <c r="X110" i="7"/>
  <c r="X230" i="7"/>
  <c r="X38" i="7"/>
  <c r="X222" i="7"/>
  <c r="X126" i="7"/>
  <c r="X30" i="7"/>
  <c r="X16" i="7"/>
  <c r="X28" i="7"/>
  <c r="X146" i="7"/>
  <c r="X78" i="7"/>
  <c r="X162" i="7"/>
  <c r="X153" i="7"/>
  <c r="X266" i="7"/>
  <c r="X44" i="7"/>
  <c r="X278" i="7"/>
  <c r="X88" i="7"/>
  <c r="X102" i="7"/>
  <c r="X9" i="7"/>
  <c r="X105" i="7"/>
  <c r="X52" i="7"/>
  <c r="X89" i="7"/>
  <c r="X14" i="7"/>
  <c r="X168" i="7"/>
  <c r="X142" i="7"/>
  <c r="X104" i="7"/>
  <c r="X241" i="7"/>
  <c r="X276" i="7"/>
  <c r="X212" i="7"/>
  <c r="X148" i="7"/>
  <c r="X43" i="7"/>
  <c r="X280" i="7"/>
  <c r="X297" i="7"/>
  <c r="X233" i="7"/>
  <c r="X169" i="7"/>
  <c r="X40" i="7"/>
  <c r="X305" i="7"/>
  <c r="X49" i="7"/>
  <c r="X192" i="7"/>
  <c r="X128" i="7"/>
  <c r="X269" i="7"/>
  <c r="X173" i="7"/>
  <c r="X109" i="7"/>
  <c r="X219" i="7"/>
  <c r="X27" i="7"/>
  <c r="X161" i="7"/>
  <c r="X296" i="7"/>
  <c r="X301" i="7"/>
  <c r="X205" i="7"/>
  <c r="X13" i="7"/>
  <c r="X299" i="7"/>
  <c r="X283" i="7"/>
  <c r="X251" i="7"/>
  <c r="X235" i="7"/>
  <c r="X203" i="7"/>
  <c r="X187" i="7"/>
  <c r="X155" i="7"/>
  <c r="X139" i="7"/>
  <c r="X107" i="7"/>
  <c r="X91" i="7"/>
  <c r="X75" i="7"/>
  <c r="X59" i="7"/>
  <c r="X11" i="7"/>
  <c r="X286" i="7"/>
  <c r="X270" i="7"/>
  <c r="X254" i="7"/>
  <c r="X73" i="7"/>
  <c r="X216" i="7"/>
  <c r="X24" i="7"/>
  <c r="X97" i="7"/>
  <c r="X33" i="7"/>
  <c r="X304" i="7"/>
  <c r="X240" i="7"/>
  <c r="X293" i="7"/>
  <c r="X165" i="7"/>
  <c r="X133" i="7"/>
  <c r="X69" i="7"/>
  <c r="X268" i="7"/>
  <c r="X172" i="7"/>
  <c r="X76" i="7"/>
  <c r="X279" i="7"/>
  <c r="X263" i="7"/>
  <c r="X247" i="7"/>
  <c r="X183" i="7"/>
  <c r="X167" i="7"/>
  <c r="X151" i="7"/>
  <c r="X103" i="7"/>
  <c r="X55" i="7"/>
  <c r="X298" i="7"/>
  <c r="X170" i="7"/>
  <c r="X154" i="7"/>
  <c r="X106" i="7"/>
  <c r="X90" i="7"/>
  <c r="X42" i="7"/>
  <c r="X26" i="7"/>
  <c r="X177" i="7"/>
  <c r="X249" i="7"/>
  <c r="X185" i="7"/>
  <c r="X121" i="7"/>
  <c r="X273" i="7"/>
  <c r="X160" i="7"/>
  <c r="X83" i="7"/>
  <c r="X214" i="7"/>
  <c r="X150" i="7"/>
  <c r="X86" i="7"/>
  <c r="X22" i="7"/>
  <c r="X113" i="7"/>
  <c r="X232" i="7"/>
  <c r="X256" i="7"/>
  <c r="X116" i="7"/>
  <c r="X171" i="7"/>
  <c r="X123" i="7"/>
  <c r="X302" i="7"/>
  <c r="X201" i="7"/>
  <c r="X261" i="7"/>
  <c r="X229" i="7"/>
  <c r="X101" i="7"/>
  <c r="X300" i="7"/>
  <c r="X204" i="7"/>
  <c r="X231" i="7"/>
  <c r="X199" i="7"/>
  <c r="X135" i="7"/>
  <c r="X71" i="7"/>
  <c r="X39" i="7"/>
  <c r="X202" i="7"/>
  <c r="X138" i="7"/>
  <c r="X74" i="7"/>
  <c r="X10" i="7"/>
  <c r="X264" i="7"/>
  <c r="X200" i="7"/>
  <c r="X136" i="7"/>
  <c r="X72" i="7"/>
  <c r="X209" i="7"/>
  <c r="X145" i="7"/>
  <c r="X81" i="7"/>
  <c r="X17" i="7"/>
  <c r="X288" i="7"/>
  <c r="X224" i="7"/>
  <c r="X96" i="7"/>
  <c r="X285" i="7"/>
  <c r="X253" i="7"/>
  <c r="X221" i="7"/>
  <c r="X189" i="7"/>
  <c r="X157" i="7"/>
  <c r="X125" i="7"/>
  <c r="X93" i="7"/>
  <c r="X61" i="7"/>
  <c r="X292" i="7"/>
  <c r="X260" i="7"/>
  <c r="X228" i="7"/>
  <c r="X196" i="7"/>
  <c r="X164" i="7"/>
  <c r="X132" i="7"/>
  <c r="X100" i="7"/>
  <c r="X68" i="7"/>
  <c r="X36" i="7"/>
  <c r="X307" i="7"/>
  <c r="X291" i="7"/>
  <c r="X275" i="7"/>
  <c r="X259" i="7"/>
  <c r="X243" i="7"/>
  <c r="X227" i="7"/>
  <c r="X211" i="7"/>
  <c r="X195" i="7"/>
  <c r="X179" i="7"/>
  <c r="X163" i="7"/>
  <c r="X147" i="7"/>
  <c r="X131" i="7"/>
  <c r="X115" i="7"/>
  <c r="X99" i="7"/>
  <c r="X51" i="7"/>
  <c r="X35" i="7"/>
  <c r="X19" i="7"/>
  <c r="X262" i="7"/>
  <c r="X246" i="7"/>
  <c r="X198" i="7"/>
  <c r="X182" i="7"/>
  <c r="X134" i="7"/>
  <c r="X118" i="7"/>
  <c r="X70" i="7"/>
  <c r="X54" i="7"/>
  <c r="X237" i="7"/>
  <c r="X141" i="7"/>
  <c r="X308" i="7"/>
  <c r="X244" i="7"/>
  <c r="X180" i="7"/>
  <c r="X84" i="7"/>
  <c r="X267" i="7"/>
  <c r="X265" i="7"/>
  <c r="X137" i="7"/>
  <c r="X152" i="7"/>
  <c r="X289" i="7"/>
  <c r="X225" i="7"/>
  <c r="X176" i="7"/>
  <c r="X112" i="7"/>
  <c r="X197" i="7"/>
  <c r="X236" i="7"/>
  <c r="X140" i="7"/>
  <c r="X108" i="7"/>
  <c r="X295" i="7"/>
  <c r="X215" i="7"/>
  <c r="X119" i="7"/>
  <c r="X87" i="7"/>
  <c r="X250" i="7"/>
  <c r="X218" i="7"/>
  <c r="X122" i="7"/>
  <c r="X58" i="7"/>
  <c r="X248" i="7"/>
  <c r="X184" i="7"/>
  <c r="X120" i="7"/>
  <c r="X56" i="7"/>
  <c r="X257" i="7"/>
  <c r="X193" i="7"/>
  <c r="X129" i="7"/>
  <c r="X65" i="7"/>
  <c r="X272" i="7"/>
  <c r="X208" i="7"/>
  <c r="X144" i="7"/>
  <c r="X80" i="7"/>
  <c r="X277" i="7"/>
  <c r="X245" i="7"/>
  <c r="X213" i="7"/>
  <c r="X181" i="7"/>
  <c r="X149" i="7"/>
  <c r="X117" i="7"/>
  <c r="X85" i="7"/>
  <c r="X53" i="7"/>
  <c r="X284" i="7"/>
  <c r="X252" i="7"/>
  <c r="X220" i="7"/>
  <c r="X188" i="7"/>
  <c r="X156" i="7"/>
  <c r="X124" i="7"/>
  <c r="X92" i="7"/>
  <c r="X60" i="7"/>
  <c r="X303" i="7"/>
  <c r="X287" i="7"/>
  <c r="X271" i="7"/>
  <c r="X255" i="7"/>
  <c r="X239" i="7"/>
  <c r="X223" i="7"/>
  <c r="X207" i="7"/>
  <c r="X191" i="7"/>
  <c r="X175" i="7"/>
  <c r="X159" i="7"/>
  <c r="X143" i="7"/>
  <c r="X127" i="7"/>
  <c r="X111" i="7"/>
  <c r="X95" i="7"/>
  <c r="X79" i="7"/>
  <c r="X63" i="7"/>
  <c r="X47" i="7"/>
  <c r="X31" i="7"/>
  <c r="X15" i="7"/>
  <c r="X306" i="7"/>
  <c r="X290" i="7"/>
  <c r="X274" i="7"/>
  <c r="X258" i="7"/>
  <c r="X242" i="7"/>
  <c r="X226" i="7"/>
  <c r="X130" i="7"/>
  <c r="X114" i="7"/>
  <c r="X98" i="7"/>
  <c r="X66" i="7"/>
  <c r="X50" i="7"/>
  <c r="X34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F787D8-010D-4B56-AC9A-0CAFD8FBE8CE}" keepAlive="1" name="Query - DataScienceProject1 xlsx" description="Connection to the 'DataScienceProject1 xlsx' query in the workbook." type="5" refreshedVersion="8" background="1" saveData="1">
    <dbPr connection="Provider=Microsoft.Mashup.OleDb.1;Data Source=$Workbook$;Location=&quot;DataScienceProject1 xlsx&quot;;Extended Properties=&quot;&quot;" command="SELECT * FROM [DataScienceProject1 xlsx]"/>
  </connection>
  <connection id="2" xr16:uid="{6ADFD899-5FA1-4AEB-A4A3-A2B521DF0B86}" keepAlive="1" name="Query - Spotify social media performace data  (2) xlsx" description="Connection to the 'Spotify social media performace data  (2) xlsx' query in the workbook." type="5" refreshedVersion="8" background="1" saveData="1">
    <dbPr connection="Provider=Microsoft.Mashup.OleDb.1;Data Source=$Workbook$;Location=&quot;Spotify social media performace data  (2) xlsx&quot;;Extended Properties=&quot;&quot;" command="SELECT * FROM [Spotify social media performace data  (2) xlsx]"/>
  </connection>
</connections>
</file>

<file path=xl/sharedStrings.xml><?xml version="1.0" encoding="utf-8"?>
<sst xmlns="http://schemas.openxmlformats.org/spreadsheetml/2006/main" count="6405" uniqueCount="486">
  <si>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</si>
  <si>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</si>
  <si>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</si>
  <si>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</si>
  <si>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</si>
  <si>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</si>
  <si>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</si>
  <si>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</si>
  <si>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</si>
  <si>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</si>
  <si>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</si>
  <si>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</si>
  <si>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</si>
  <si>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</si>
  <si>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</si>
  <si>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</si>
  <si>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</si>
  <si>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</si>
  <si>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</si>
  <si>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</si>
  <si>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</si>
  <si>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</si>
  <si>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</si>
  <si>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</si>
  <si>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</si>
  <si>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</si>
  <si>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</si>
  <si>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</si>
  <si>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</si>
  <si>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</si>
  <si>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</si>
  <si>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</si>
  <si>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</si>
  <si>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</si>
  <si>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</si>
  <si>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</si>
  <si>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</si>
  <si>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</si>
  <si>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</si>
  <si>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</si>
  <si>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</si>
  <si>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</si>
  <si>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</si>
  <si>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</si>
  <si>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</si>
  <si>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</si>
  <si>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</si>
  <si>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</si>
  <si>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</si>
  <si>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</si>
  <si>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</si>
  <si>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</si>
  <si>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</si>
  <si>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</si>
  <si>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</si>
  <si>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</si>
  <si>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</si>
  <si>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</si>
  <si>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</si>
  <si>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</si>
  <si>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</si>
  <si>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</si>
  <si>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</si>
  <si>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</si>
  <si>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</si>
  <si>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</si>
  <si>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</si>
  <si>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</si>
  <si>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</si>
  <si>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</si>
  <si>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</si>
  <si>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</si>
  <si>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</si>
  <si>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</si>
  <si>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</si>
  <si>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</si>
  <si>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</si>
  <si>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</si>
  <si>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</si>
  <si>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</si>
  <si>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</si>
  <si>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</si>
  <si>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</si>
  <si>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</si>
  <si>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</si>
  <si>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</si>
  <si>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</si>
  <si>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</si>
  <si>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</si>
  <si>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</si>
  <si>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</si>
  <si>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</si>
  <si>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</si>
  <si>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</si>
  <si>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</si>
  <si>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</si>
  <si>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</si>
  <si>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</si>
  <si>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</si>
  <si>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</si>
  <si>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</si>
  <si>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</si>
  <si>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</si>
  <si>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</si>
  <si>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</si>
  <si>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</si>
  <si>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</si>
  <si>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</si>
  <si>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</si>
  <si>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</si>
  <si>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</si>
  <si>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</si>
  <si>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</si>
  <si>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</si>
  <si>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</si>
  <si>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</si>
  <si>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</si>
  <si>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</si>
  <si>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</si>
  <si>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</si>
  <si>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</si>
  <si>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</si>
  <si>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</si>
  <si>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</si>
  <si>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</si>
  <si>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</si>
  <si>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</si>
  <si>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</si>
  <si>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</si>
  <si>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</si>
  <si>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</si>
  <si>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</si>
  <si>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</si>
  <si>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</si>
  <si>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</si>
  <si>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</si>
  <si>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</si>
  <si>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</si>
  <si>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</si>
  <si>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</si>
  <si>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</si>
  <si>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</si>
  <si>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</si>
  <si>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</si>
  <si>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</si>
  <si>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</si>
  <si>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</si>
  <si>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</si>
  <si>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</si>
  <si>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</si>
  <si>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</si>
  <si>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</si>
  <si>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</si>
  <si>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</si>
  <si>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</si>
  <si>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</si>
  <si>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</si>
  <si>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</si>
  <si>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</si>
  <si>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</si>
  <si>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</si>
  <si>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</si>
  <si>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</si>
  <si>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</si>
  <si>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</si>
  <si>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</si>
  <si>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</si>
  <si>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</si>
  <si>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</si>
  <si>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</si>
  <si>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</si>
  <si>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</si>
  <si>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</si>
  <si>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</si>
  <si>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</si>
  <si>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</si>
  <si>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</si>
  <si>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</si>
  <si>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</si>
  <si>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</si>
  <si>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</si>
  <si>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</si>
  <si>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</si>
  <si>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</si>
  <si>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</si>
  <si>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</si>
  <si>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</si>
  <si>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</si>
  <si>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</si>
  <si>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</si>
  <si>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</si>
  <si>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</si>
  <si>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</si>
  <si>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</si>
  <si>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</si>
  <si>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</si>
  <si>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</si>
  <si>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</si>
  <si>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</si>
  <si>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</si>
  <si>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</si>
  <si>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</si>
  <si>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</si>
  <si>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</si>
  <si>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</si>
  <si>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</si>
  <si>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</si>
  <si>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</si>
  <si>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</si>
  <si>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</si>
  <si>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</si>
  <si>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</si>
  <si>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</si>
  <si>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</si>
  <si>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</si>
  <si>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</si>
  <si>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</si>
  <si>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</si>
  <si>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</si>
  <si>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</si>
  <si>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</si>
  <si>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</si>
  <si>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</si>
  <si>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</si>
  <si>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</si>
  <si>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</si>
  <si>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</si>
  <si>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</si>
  <si>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</si>
  <si>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</si>
  <si>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</si>
  <si>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</si>
  <si>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</si>
  <si>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</si>
  <si>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</si>
  <si>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</si>
  <si>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</si>
  <si>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</si>
  <si>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</si>
  <si>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</si>
  <si>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</si>
  <si>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</si>
  <si>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</si>
  <si>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</si>
  <si>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</si>
  <si>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</si>
  <si>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</si>
  <si>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</si>
  <si>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</si>
  <si>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</si>
  <si>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</si>
  <si>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</si>
  <si>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</si>
  <si>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</si>
  <si>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</si>
  <si>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</si>
  <si>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</si>
  <si>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</si>
  <si>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</si>
  <si>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</si>
  <si>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</si>
  <si>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</si>
  <si>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</si>
  <si>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</si>
  <si>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</si>
  <si>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</si>
  <si>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</si>
  <si>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</si>
  <si>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</si>
  <si>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</si>
  <si>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</si>
  <si>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</si>
  <si>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</si>
  <si>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</si>
  <si>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</si>
  <si>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</si>
  <si>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</si>
  <si>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</si>
  <si>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</si>
  <si>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</si>
  <si>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</si>
  <si>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</si>
  <si>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</si>
  <si>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</si>
  <si>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</si>
  <si>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</si>
  <si>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</si>
  <si>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</si>
  <si>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</si>
  <si>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</si>
  <si>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</si>
  <si>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</si>
  <si>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</si>
  <si>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</si>
  <si>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</si>
  <si>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</si>
  <si>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</si>
  <si>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</si>
  <si>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</si>
  <si>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</si>
  <si>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</si>
  <si>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</si>
  <si>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</si>
  <si>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</si>
  <si>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</si>
  <si>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</si>
  <si>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</si>
  <si>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</si>
  <si>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</si>
  <si>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</si>
  <si>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</si>
  <si>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</si>
  <si>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</si>
  <si>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</si>
  <si>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</si>
  <si>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</si>
  <si>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</si>
  <si>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</si>
  <si>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</si>
  <si>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</si>
  <si>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</si>
  <si>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</si>
  <si>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</si>
  <si>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</si>
  <si>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</si>
  <si>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</si>
  <si>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</si>
  <si>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</si>
  <si>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</si>
  <si>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</si>
  <si>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</si>
  <si>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</si>
  <si>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</si>
  <si>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</si>
  <si>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</si>
  <si>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</si>
  <si>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</si>
  <si>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</si>
  <si>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</si>
  <si>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</si>
  <si>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</si>
  <si>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</si>
  <si>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</si>
  <si>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</si>
  <si>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</si>
  <si>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</si>
  <si>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</si>
  <si>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</si>
  <si>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</si>
  <si>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</si>
  <si>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</si>
  <si>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</si>
  <si>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</si>
  <si>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</si>
  <si>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</si>
  <si>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</si>
  <si>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</si>
  <si>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</si>
  <si>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</si>
  <si>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</si>
  <si>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</si>
  <si>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</si>
  <si>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</si>
  <si>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</si>
  <si>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</si>
  <si>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</si>
  <si>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</si>
  <si>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</si>
  <si>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</si>
  <si>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</si>
  <si>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</si>
  <si>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</si>
  <si>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</si>
  <si>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Net_Followers</t>
  </si>
  <si>
    <t>Row Labels</t>
  </si>
  <si>
    <t>Grand Total</t>
  </si>
  <si>
    <t>Column Labels</t>
  </si>
  <si>
    <t>Sum of Net_Followers</t>
  </si>
  <si>
    <t>Sum of Top performer</t>
  </si>
  <si>
    <t>#MusicForEveryone</t>
  </si>
  <si>
    <t>#SpotifyWrapped</t>
  </si>
  <si>
    <t>NA</t>
  </si>
  <si>
    <t>Sum of Engagement_Rate</t>
  </si>
  <si>
    <t>Average of Engagement_Rate</t>
  </si>
  <si>
    <t>Count of Engagement_Rate</t>
  </si>
  <si>
    <t>Count of Platform</t>
  </si>
  <si>
    <t>% of Total Engagement</t>
  </si>
  <si>
    <t>Sum of Ad_Spend</t>
  </si>
  <si>
    <t>Sum of Likes</t>
  </si>
  <si>
    <t>Sum of Shares</t>
  </si>
  <si>
    <t>Sum of Comments</t>
  </si>
  <si>
    <t>Sum of Clicks</t>
  </si>
  <si>
    <t>Average of Clicks</t>
  </si>
  <si>
    <t>Ranking</t>
  </si>
  <si>
    <t xml:space="preserve"> Average impressions, likes, clicks per campaign</t>
  </si>
  <si>
    <t>Average of Impressions</t>
  </si>
  <si>
    <t>Average of Likes</t>
  </si>
  <si>
    <t>Sum of Impressions</t>
  </si>
  <si>
    <t>Total impressions, likes, clicks per campaign</t>
  </si>
  <si>
    <t>Net_Engagement</t>
  </si>
  <si>
    <t>Column</t>
  </si>
  <si>
    <t>ROI</t>
  </si>
  <si>
    <t>Average_During</t>
  </si>
  <si>
    <t>Uplift</t>
  </si>
  <si>
    <t>Sum of Uplift</t>
  </si>
  <si>
    <t>Sum of ROI</t>
  </si>
  <si>
    <t>Sum of Average-Before</t>
  </si>
  <si>
    <t>Sum of Average_During</t>
  </si>
  <si>
    <t>Average_Before</t>
  </si>
  <si>
    <t>Corelation</t>
  </si>
  <si>
    <t>6-Jan</t>
  </si>
  <si>
    <t>13-Jan</t>
  </si>
  <si>
    <t>20-Jan</t>
  </si>
  <si>
    <t>27-Jan</t>
  </si>
  <si>
    <t>3-Feb</t>
  </si>
  <si>
    <t>10-Feb</t>
  </si>
  <si>
    <t>17-Feb</t>
  </si>
  <si>
    <t>24-Feb</t>
  </si>
  <si>
    <t>3-Mar</t>
  </si>
  <si>
    <t>10-Mar</t>
  </si>
  <si>
    <t>17-Mar</t>
  </si>
  <si>
    <t>24-Mar</t>
  </si>
  <si>
    <t>31-Mar</t>
  </si>
  <si>
    <t>7-Apr</t>
  </si>
  <si>
    <t>14-Apr</t>
  </si>
  <si>
    <t>21-Apr</t>
  </si>
  <si>
    <t>28-Apr</t>
  </si>
  <si>
    <t>5-May</t>
  </si>
  <si>
    <t>12-May</t>
  </si>
  <si>
    <t>19-May</t>
  </si>
  <si>
    <t>26-May</t>
  </si>
  <si>
    <t>2-Jun</t>
  </si>
  <si>
    <t>3-Jun</t>
  </si>
  <si>
    <t>9-Jun</t>
  </si>
  <si>
    <t>10-Jun</t>
  </si>
  <si>
    <t>16-Jun</t>
  </si>
  <si>
    <t>17-Jun</t>
  </si>
  <si>
    <t>23-Jun</t>
  </si>
  <si>
    <t>24-Jun</t>
  </si>
  <si>
    <t>30-Jun</t>
  </si>
  <si>
    <t>1-Jul</t>
  </si>
  <si>
    <t>7-Jul</t>
  </si>
  <si>
    <t>8-Jul</t>
  </si>
  <si>
    <t>14-Jul</t>
  </si>
  <si>
    <t>15-Jul</t>
  </si>
  <si>
    <t>21-Jul</t>
  </si>
  <si>
    <t>22-Jul</t>
  </si>
  <si>
    <t>28-Jul</t>
  </si>
  <si>
    <t>29-Jul</t>
  </si>
  <si>
    <t>4-Aug</t>
  </si>
  <si>
    <t>5-Aug</t>
  </si>
  <si>
    <t>11-Aug</t>
  </si>
  <si>
    <t>12-Aug</t>
  </si>
  <si>
    <t>18-Aug</t>
  </si>
  <si>
    <t>19-Aug</t>
  </si>
  <si>
    <t>25-Aug</t>
  </si>
  <si>
    <t>26-Aug</t>
  </si>
  <si>
    <t>1-Sep</t>
  </si>
  <si>
    <t>2-Sep</t>
  </si>
  <si>
    <t>8-Sep</t>
  </si>
  <si>
    <t>9-Sep</t>
  </si>
  <si>
    <t>16-Sep</t>
  </si>
  <si>
    <t>23-Sep</t>
  </si>
  <si>
    <t>30-Sep</t>
  </si>
  <si>
    <t>7-Oct</t>
  </si>
  <si>
    <t>14-Oct</t>
  </si>
  <si>
    <t>21-Oct</t>
  </si>
  <si>
    <t>28-Oct</t>
  </si>
  <si>
    <t>4-Nov</t>
  </si>
  <si>
    <t>11-Nov</t>
  </si>
  <si>
    <t>18-Nov</t>
  </si>
  <si>
    <t>25-Nov</t>
  </si>
  <si>
    <t>2-Dec</t>
  </si>
  <si>
    <t>9-Dec</t>
  </si>
  <si>
    <t>16-Dec</t>
  </si>
  <si>
    <t>23-Dec</t>
  </si>
  <si>
    <t>30-Dec</t>
  </si>
  <si>
    <t>Sum of Total_Followers</t>
  </si>
  <si>
    <t>Hashtags 1</t>
  </si>
  <si>
    <t>Hashtags seprate</t>
  </si>
  <si>
    <t xml:space="preserve">Task 1: Data Preprocessing and Cleaning </t>
  </si>
  <si>
    <t xml:space="preserve">● Eliminate duplicate post entries </t>
  </si>
  <si>
    <t>● Ensure numeric columns (likes, impressions, ad spend, downloads) are correctly formatted</t>
  </si>
  <si>
    <t>● Split multi-hashtag columns into separate entries</t>
  </si>
  <si>
    <t xml:space="preserve">● Standardize date and platform formats </t>
  </si>
  <si>
    <t xml:space="preserve">Details for Sum of Total_Followers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</si>
</sst>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yyyy\-mm\-dd;@"/>
    <numFmt numFmtId="166" formatCode="0000"/>
    <numFmt numFmtId="167" formatCode="000"/>
    <numFmt numFmtId="168" formatCode="00000"/>
    <numFmt numFmtId="169" formatCode="0.000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000000"/>
      <name val="&quot;Aptos Narrow&quot;"/>
    </font>
    <font>
      <b/>
      <sz val="11"/>
      <color theme="0"/>
      <name val="Calibri"/>
      <family val="2"/>
      <scheme val="minor"/>
    </font>
    <font>
      <sz val="11"/>
      <color theme="0"/>
      <name val="&quot;Aptos Narrow&quot;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2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0">
    <xf numFmtId="0" fontId="0" fillId="0" borderId="0" xfId="0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0" xfId="0" applyFont="1" applyBorder="1" applyAlignment="1">
      <alignment horizontal="center" vertical="top"/>
    </xf>
    <xf numFmtId="0" fontId="6" fillId="0" borderId="0" xfId="0" applyFont="1" applyAlignment="1">
      <alignment horizontal="center"/>
    </xf>
    <xf numFmtId="169" fontId="0" fillId="0" borderId="0" xfId="0" applyNumberFormat="1" applyAlignment="1">
      <alignment horizontal="center"/>
    </xf>
    <xf numFmtId="0" fontId="2" fillId="0" borderId="1" xfId="0" applyFont="1" applyBorder="1"/>
    <xf numFmtId="0" fontId="11" fillId="3" borderId="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9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11" xfId="0" applyFont="1" applyFill="1" applyBorder="1"/>
    <xf numFmtId="165" fontId="12" fillId="3" borderId="11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2" fillId="2" borderId="11" xfId="0" applyFont="1" applyFill="1" applyBorder="1"/>
    <xf numFmtId="165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2" fontId="2" fillId="2" borderId="13" xfId="0" applyNumberFormat="1" applyFont="1" applyFill="1" applyBorder="1" applyAlignment="1">
      <alignment horizontal="center"/>
    </xf>
    <xf numFmtId="0" fontId="2" fillId="0" borderId="11" xfId="0" applyFont="1" applyBorder="1"/>
    <xf numFmtId="165" fontId="2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12" xfId="0" applyNumberFormat="1" applyFont="1" applyBorder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13" fillId="0" borderId="0" xfId="0" applyFont="1"/>
    <xf numFmtId="165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7" borderId="0" xfId="0" applyFont="1" applyFill="1" applyAlignment="1">
      <alignment horizontal="center"/>
    </xf>
    <xf numFmtId="0" fontId="16" fillId="7" borderId="0" xfId="0" applyFont="1" applyFill="1"/>
    <xf numFmtId="0" fontId="15" fillId="7" borderId="0" xfId="0" applyFont="1" applyFill="1"/>
    <xf numFmtId="165" fontId="15" fillId="7" borderId="0" xfId="0" applyNumberFormat="1" applyFont="1" applyFill="1" applyAlignment="1">
      <alignment horizontal="center"/>
    </xf>
    <xf numFmtId="0" fontId="17" fillId="7" borderId="0" xfId="0" applyFont="1" applyFill="1"/>
    <xf numFmtId="0" fontId="17" fillId="6" borderId="0" xfId="0" applyFont="1" applyFill="1"/>
    <xf numFmtId="0" fontId="15" fillId="6" borderId="0" xfId="0" applyFont="1" applyFill="1"/>
    <xf numFmtId="165" fontId="15" fillId="6" borderId="0" xfId="0" applyNumberFormat="1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6" borderId="0" xfId="0" applyFill="1"/>
    <xf numFmtId="165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15" fillId="0" borderId="0" xfId="0" applyFont="1"/>
    <xf numFmtId="0" fontId="14" fillId="0" borderId="0" xfId="0" pivotButton="1" applyFont="1"/>
    <xf numFmtId="0" fontId="14" fillId="0" borderId="0" xfId="0" applyFont="1" applyAlignment="1">
      <alignment horizontal="left"/>
    </xf>
    <xf numFmtId="1" fontId="14" fillId="0" borderId="0" xfId="0" applyNumberFormat="1" applyFont="1" applyAlignment="1">
      <alignment horizontal="center"/>
    </xf>
    <xf numFmtId="0" fontId="18" fillId="0" borderId="0" xfId="0" pivotButton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9" fillId="0" borderId="0" xfId="0" pivotButton="1" applyFont="1"/>
    <xf numFmtId="0" fontId="19" fillId="0" borderId="0" xfId="0" applyFont="1"/>
    <xf numFmtId="0" fontId="19" fillId="0" borderId="0" xfId="0" applyFont="1" applyAlignment="1">
      <alignment horizontal="left"/>
    </xf>
    <xf numFmtId="2" fontId="19" fillId="0" borderId="0" xfId="0" applyNumberFormat="1" applyFont="1" applyAlignment="1">
      <alignment horizontal="center"/>
    </xf>
    <xf numFmtId="9" fontId="20" fillId="4" borderId="14" xfId="1" applyFont="1" applyFill="1" applyBorder="1" applyAlignment="1">
      <alignment horizontal="center"/>
    </xf>
    <xf numFmtId="0" fontId="19" fillId="0" borderId="0" xfId="0" pivotButton="1" applyFont="1" applyAlignment="1">
      <alignment horizontal="center"/>
    </xf>
    <xf numFmtId="0" fontId="19" fillId="0" borderId="0" xfId="0" applyFont="1" applyAlignment="1">
      <alignment horizontal="center"/>
    </xf>
    <xf numFmtId="0" fontId="20" fillId="4" borderId="0" xfId="0" applyFont="1" applyFill="1" applyAlignment="1">
      <alignment horizontal="center"/>
    </xf>
    <xf numFmtId="10" fontId="21" fillId="8" borderId="0" xfId="1" applyNumberFormat="1" applyFont="1" applyFill="1" applyAlignment="1">
      <alignment horizontal="center"/>
    </xf>
    <xf numFmtId="0" fontId="23" fillId="0" borderId="0" xfId="0" applyFont="1"/>
    <xf numFmtId="0" fontId="0" fillId="9" borderId="0" xfId="0" applyFill="1"/>
    <xf numFmtId="0" fontId="24" fillId="0" borderId="0" xfId="0" pivotButton="1" applyFont="1"/>
    <xf numFmtId="0" fontId="24" fillId="0" borderId="0" xfId="0" applyFont="1"/>
    <xf numFmtId="0" fontId="24" fillId="0" borderId="0" xfId="0" applyFont="1" applyAlignment="1">
      <alignment horizontal="left"/>
    </xf>
    <xf numFmtId="2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19" fillId="0" borderId="0" xfId="0" applyFont="1" applyAlignment="1">
      <alignment horizontal="left" indent="1"/>
    </xf>
    <xf numFmtId="0" fontId="19" fillId="0" borderId="2" xfId="0" pivotButton="1" applyFont="1" applyBorder="1"/>
    <xf numFmtId="0" fontId="19" fillId="0" borderId="3" xfId="0" pivotButton="1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/>
    <xf numFmtId="1" fontId="19" fillId="0" borderId="0" xfId="0" applyNumberFormat="1" applyFont="1" applyAlignment="1">
      <alignment horizontal="center"/>
    </xf>
    <xf numFmtId="1" fontId="19" fillId="0" borderId="6" xfId="0" applyNumberFormat="1" applyFont="1" applyBorder="1" applyAlignment="1">
      <alignment horizontal="center"/>
    </xf>
    <xf numFmtId="0" fontId="19" fillId="0" borderId="7" xfId="0" applyFont="1" applyBorder="1"/>
    <xf numFmtId="1" fontId="19" fillId="0" borderId="8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/>
    </xf>
    <xf numFmtId="0" fontId="19" fillId="0" borderId="2" xfId="0" applyFont="1" applyBorder="1"/>
    <xf numFmtId="1" fontId="19" fillId="0" borderId="3" xfId="0" applyNumberFormat="1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0" fontId="19" fillId="0" borderId="2" xfId="0" pivotButton="1" applyFont="1" applyBorder="1" applyAlignment="1">
      <alignment horizontal="center"/>
    </xf>
    <xf numFmtId="0" fontId="19" fillId="0" borderId="3" xfId="0" pivotButton="1" applyFont="1" applyBorder="1" applyAlignment="1">
      <alignment horizontal="left"/>
    </xf>
    <xf numFmtId="0" fontId="19" fillId="0" borderId="5" xfId="0" applyFont="1" applyBorder="1" applyAlignment="1">
      <alignment horizontal="left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10" fontId="19" fillId="0" borderId="0" xfId="0" applyNumberFormat="1" applyFont="1" applyAlignment="1">
      <alignment horizontal="center"/>
    </xf>
    <xf numFmtId="2" fontId="19" fillId="0" borderId="0" xfId="0" applyNumberFormat="1" applyFont="1"/>
    <xf numFmtId="10" fontId="19" fillId="0" borderId="0" xfId="0" applyNumberFormat="1" applyFont="1"/>
    <xf numFmtId="169" fontId="19" fillId="0" borderId="0" xfId="0" applyNumberFormat="1" applyFont="1" applyAlignment="1">
      <alignment horizontal="center"/>
    </xf>
    <xf numFmtId="0" fontId="22" fillId="10" borderId="2" xfId="0" applyFont="1" applyFill="1" applyBorder="1"/>
    <xf numFmtId="0" fontId="22" fillId="10" borderId="3" xfId="0" applyFont="1" applyFill="1" applyBorder="1"/>
    <xf numFmtId="0" fontId="22" fillId="10" borderId="4" xfId="0" applyFont="1" applyFill="1" applyBorder="1"/>
    <xf numFmtId="0" fontId="0" fillId="0" borderId="0" xfId="0" applyNumberFormat="1"/>
    <xf numFmtId="14" fontId="0" fillId="0" borderId="0" xfId="0" applyNumberFormat="1"/>
    <xf numFmtId="0" fontId="22" fillId="0" borderId="0" xfId="0" applyFont="1"/>
  </cellXfs>
  <cellStyles count="2">
    <cellStyle name="Normal" xfId="0" builtinId="0"/>
    <cellStyle name="Percent" xfId="1" builtinId="5"/>
  </cellStyles>
  <dxfs count="25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5" formatCode="yyyy\-mm\-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yyyy\-mm\-dd;@"/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5" formatCode="yyyy\-mm\-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" formatCode="0"/>
    </dxf>
    <dxf>
      <alignment horizontal="general"/>
    </dxf>
    <dxf>
      <alignment horizontal="general"/>
    </dxf>
    <dxf>
      <alignment horizontal="general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4" formatCode="0.00%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65" formatCode="yyyy\-mm\-dd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numFmt numFmtId="1" formatCode="0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;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;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0.0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yyyy\-mm\-dd;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66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project(ritesh vikrant).xlsx]Task3!PivotTable5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Bahnschrift Ligh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Bahnschrift Ligh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Bahnschrift Light" panose="020B0502040204020203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Task3!$B$16:$B$17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Task3!$A$18:$A$84</c:f>
              <c:strCache>
                <c:ptCount val="67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2025-05-19</c:v>
                </c:pt>
                <c:pt idx="51">
                  <c:v>2025-05-26</c:v>
                </c:pt>
                <c:pt idx="52">
                  <c:v>2025-06-02</c:v>
                </c:pt>
                <c:pt idx="53">
                  <c:v>2025-06-09</c:v>
                </c:pt>
                <c:pt idx="54">
                  <c:v>2025-06-16</c:v>
                </c:pt>
                <c:pt idx="55">
                  <c:v>2025-06-23</c:v>
                </c:pt>
                <c:pt idx="56">
                  <c:v>2025-06-30</c:v>
                </c:pt>
                <c:pt idx="57">
                  <c:v>2025-07-07</c:v>
                </c:pt>
                <c:pt idx="58">
                  <c:v>2025-07-14</c:v>
                </c:pt>
                <c:pt idx="59">
                  <c:v>2025-07-21</c:v>
                </c:pt>
                <c:pt idx="60">
                  <c:v>2025-07-28</c:v>
                </c:pt>
                <c:pt idx="61">
                  <c:v>2025-08-04</c:v>
                </c:pt>
                <c:pt idx="62">
                  <c:v>2025-08-11</c:v>
                </c:pt>
                <c:pt idx="63">
                  <c:v>2025-08-18</c:v>
                </c:pt>
                <c:pt idx="64">
                  <c:v>2025-08-25</c:v>
                </c:pt>
                <c:pt idx="65">
                  <c:v>2025-09-01</c:v>
                </c:pt>
                <c:pt idx="66">
                  <c:v>2025-09-08</c:v>
                </c:pt>
              </c:strCache>
            </c:strRef>
          </c:cat>
          <c:val>
            <c:numRef>
              <c:f>Task3!$B$18:$B$84</c:f>
              <c:numCache>
                <c:formatCode>General</c:formatCode>
                <c:ptCount val="67"/>
                <c:pt idx="0">
                  <c:v>1334</c:v>
                </c:pt>
                <c:pt idx="1">
                  <c:v>928</c:v>
                </c:pt>
                <c:pt idx="2">
                  <c:v>590</c:v>
                </c:pt>
                <c:pt idx="3">
                  <c:v>612</c:v>
                </c:pt>
                <c:pt idx="4">
                  <c:v>714</c:v>
                </c:pt>
                <c:pt idx="5">
                  <c:v>667</c:v>
                </c:pt>
                <c:pt idx="6">
                  <c:v>359</c:v>
                </c:pt>
                <c:pt idx="7">
                  <c:v>792</c:v>
                </c:pt>
                <c:pt idx="8">
                  <c:v>869</c:v>
                </c:pt>
                <c:pt idx="9">
                  <c:v>1353</c:v>
                </c:pt>
                <c:pt idx="10">
                  <c:v>977</c:v>
                </c:pt>
                <c:pt idx="11">
                  <c:v>909</c:v>
                </c:pt>
                <c:pt idx="12">
                  <c:v>1022</c:v>
                </c:pt>
                <c:pt idx="13">
                  <c:v>515</c:v>
                </c:pt>
                <c:pt idx="14">
                  <c:v>637</c:v>
                </c:pt>
                <c:pt idx="15">
                  <c:v>471</c:v>
                </c:pt>
                <c:pt idx="16">
                  <c:v>1113</c:v>
                </c:pt>
                <c:pt idx="17">
                  <c:v>1132</c:v>
                </c:pt>
                <c:pt idx="18">
                  <c:v>559</c:v>
                </c:pt>
                <c:pt idx="19">
                  <c:v>892</c:v>
                </c:pt>
                <c:pt idx="20">
                  <c:v>948</c:v>
                </c:pt>
                <c:pt idx="21">
                  <c:v>1174</c:v>
                </c:pt>
                <c:pt idx="22">
                  <c:v>1202</c:v>
                </c:pt>
                <c:pt idx="23">
                  <c:v>1204</c:v>
                </c:pt>
                <c:pt idx="24">
                  <c:v>676</c:v>
                </c:pt>
                <c:pt idx="25">
                  <c:v>450</c:v>
                </c:pt>
                <c:pt idx="26">
                  <c:v>808</c:v>
                </c:pt>
                <c:pt idx="27">
                  <c:v>611</c:v>
                </c:pt>
                <c:pt idx="28">
                  <c:v>1117</c:v>
                </c:pt>
                <c:pt idx="29">
                  <c:v>567</c:v>
                </c:pt>
                <c:pt idx="30">
                  <c:v>413</c:v>
                </c:pt>
                <c:pt idx="31">
                  <c:v>443</c:v>
                </c:pt>
                <c:pt idx="32">
                  <c:v>467</c:v>
                </c:pt>
                <c:pt idx="33">
                  <c:v>442</c:v>
                </c:pt>
                <c:pt idx="34">
                  <c:v>341</c:v>
                </c:pt>
                <c:pt idx="35">
                  <c:v>735</c:v>
                </c:pt>
                <c:pt idx="36">
                  <c:v>915</c:v>
                </c:pt>
                <c:pt idx="37">
                  <c:v>724</c:v>
                </c:pt>
                <c:pt idx="38">
                  <c:v>378</c:v>
                </c:pt>
                <c:pt idx="39">
                  <c:v>1279</c:v>
                </c:pt>
                <c:pt idx="40">
                  <c:v>545</c:v>
                </c:pt>
                <c:pt idx="41">
                  <c:v>564</c:v>
                </c:pt>
                <c:pt idx="42">
                  <c:v>565</c:v>
                </c:pt>
                <c:pt idx="43">
                  <c:v>436</c:v>
                </c:pt>
                <c:pt idx="44">
                  <c:v>1337</c:v>
                </c:pt>
                <c:pt idx="45">
                  <c:v>690</c:v>
                </c:pt>
                <c:pt idx="46">
                  <c:v>353</c:v>
                </c:pt>
                <c:pt idx="47">
                  <c:v>983</c:v>
                </c:pt>
                <c:pt idx="48">
                  <c:v>919</c:v>
                </c:pt>
                <c:pt idx="49">
                  <c:v>576</c:v>
                </c:pt>
                <c:pt idx="50">
                  <c:v>932</c:v>
                </c:pt>
                <c:pt idx="51">
                  <c:v>1041</c:v>
                </c:pt>
                <c:pt idx="52">
                  <c:v>354</c:v>
                </c:pt>
                <c:pt idx="53">
                  <c:v>730</c:v>
                </c:pt>
                <c:pt idx="54">
                  <c:v>698</c:v>
                </c:pt>
                <c:pt idx="55">
                  <c:v>320</c:v>
                </c:pt>
                <c:pt idx="56">
                  <c:v>485</c:v>
                </c:pt>
                <c:pt idx="57">
                  <c:v>831</c:v>
                </c:pt>
                <c:pt idx="58">
                  <c:v>1274</c:v>
                </c:pt>
                <c:pt idx="59">
                  <c:v>951</c:v>
                </c:pt>
                <c:pt idx="60">
                  <c:v>567</c:v>
                </c:pt>
                <c:pt idx="61">
                  <c:v>667</c:v>
                </c:pt>
                <c:pt idx="62">
                  <c:v>896</c:v>
                </c:pt>
                <c:pt idx="63">
                  <c:v>333</c:v>
                </c:pt>
                <c:pt idx="64">
                  <c:v>960</c:v>
                </c:pt>
                <c:pt idx="65">
                  <c:v>872</c:v>
                </c:pt>
                <c:pt idx="66">
                  <c:v>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02-47D6-AA3F-69452C9E0F77}"/>
            </c:ext>
          </c:extLst>
        </c:ser>
        <c:ser>
          <c:idx val="1"/>
          <c:order val="1"/>
          <c:tx>
            <c:strRef>
              <c:f>Task3!$C$16:$C$17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Task3!$A$18:$A$84</c:f>
              <c:strCache>
                <c:ptCount val="67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2025-05-19</c:v>
                </c:pt>
                <c:pt idx="51">
                  <c:v>2025-05-26</c:v>
                </c:pt>
                <c:pt idx="52">
                  <c:v>2025-06-02</c:v>
                </c:pt>
                <c:pt idx="53">
                  <c:v>2025-06-09</c:v>
                </c:pt>
                <c:pt idx="54">
                  <c:v>2025-06-16</c:v>
                </c:pt>
                <c:pt idx="55">
                  <c:v>2025-06-23</c:v>
                </c:pt>
                <c:pt idx="56">
                  <c:v>2025-06-30</c:v>
                </c:pt>
                <c:pt idx="57">
                  <c:v>2025-07-07</c:v>
                </c:pt>
                <c:pt idx="58">
                  <c:v>2025-07-14</c:v>
                </c:pt>
                <c:pt idx="59">
                  <c:v>2025-07-21</c:v>
                </c:pt>
                <c:pt idx="60">
                  <c:v>2025-07-28</c:v>
                </c:pt>
                <c:pt idx="61">
                  <c:v>2025-08-04</c:v>
                </c:pt>
                <c:pt idx="62">
                  <c:v>2025-08-11</c:v>
                </c:pt>
                <c:pt idx="63">
                  <c:v>2025-08-18</c:v>
                </c:pt>
                <c:pt idx="64">
                  <c:v>2025-08-25</c:v>
                </c:pt>
                <c:pt idx="65">
                  <c:v>2025-09-01</c:v>
                </c:pt>
                <c:pt idx="66">
                  <c:v>2025-09-08</c:v>
                </c:pt>
              </c:strCache>
            </c:strRef>
          </c:cat>
          <c:val>
            <c:numRef>
              <c:f>Task3!$C$18:$C$84</c:f>
              <c:numCache>
                <c:formatCode>General</c:formatCode>
                <c:ptCount val="67"/>
                <c:pt idx="0">
                  <c:v>909</c:v>
                </c:pt>
                <c:pt idx="1">
                  <c:v>1397</c:v>
                </c:pt>
                <c:pt idx="2">
                  <c:v>1283</c:v>
                </c:pt>
                <c:pt idx="3">
                  <c:v>1121</c:v>
                </c:pt>
                <c:pt idx="4">
                  <c:v>595</c:v>
                </c:pt>
                <c:pt idx="5">
                  <c:v>1371</c:v>
                </c:pt>
                <c:pt idx="6">
                  <c:v>1098</c:v>
                </c:pt>
                <c:pt idx="7">
                  <c:v>364</c:v>
                </c:pt>
                <c:pt idx="8">
                  <c:v>414</c:v>
                </c:pt>
                <c:pt idx="9">
                  <c:v>582</c:v>
                </c:pt>
                <c:pt idx="10">
                  <c:v>1191</c:v>
                </c:pt>
                <c:pt idx="11">
                  <c:v>382</c:v>
                </c:pt>
                <c:pt idx="12">
                  <c:v>262</c:v>
                </c:pt>
                <c:pt idx="13">
                  <c:v>956</c:v>
                </c:pt>
                <c:pt idx="14">
                  <c:v>1268</c:v>
                </c:pt>
                <c:pt idx="15">
                  <c:v>1291</c:v>
                </c:pt>
                <c:pt idx="16">
                  <c:v>1198</c:v>
                </c:pt>
                <c:pt idx="17">
                  <c:v>844</c:v>
                </c:pt>
                <c:pt idx="18">
                  <c:v>554</c:v>
                </c:pt>
                <c:pt idx="19">
                  <c:v>536</c:v>
                </c:pt>
                <c:pt idx="20">
                  <c:v>762</c:v>
                </c:pt>
                <c:pt idx="21">
                  <c:v>464</c:v>
                </c:pt>
                <c:pt idx="22">
                  <c:v>1390</c:v>
                </c:pt>
                <c:pt idx="23">
                  <c:v>532</c:v>
                </c:pt>
                <c:pt idx="24">
                  <c:v>577</c:v>
                </c:pt>
                <c:pt idx="25">
                  <c:v>683</c:v>
                </c:pt>
                <c:pt idx="26">
                  <c:v>871</c:v>
                </c:pt>
                <c:pt idx="27">
                  <c:v>405</c:v>
                </c:pt>
                <c:pt idx="28">
                  <c:v>477</c:v>
                </c:pt>
                <c:pt idx="29">
                  <c:v>1133</c:v>
                </c:pt>
                <c:pt idx="30">
                  <c:v>1387</c:v>
                </c:pt>
                <c:pt idx="31">
                  <c:v>1283</c:v>
                </c:pt>
                <c:pt idx="32">
                  <c:v>1354</c:v>
                </c:pt>
                <c:pt idx="33">
                  <c:v>546</c:v>
                </c:pt>
                <c:pt idx="34">
                  <c:v>869</c:v>
                </c:pt>
                <c:pt idx="35">
                  <c:v>523</c:v>
                </c:pt>
                <c:pt idx="36">
                  <c:v>1108</c:v>
                </c:pt>
                <c:pt idx="37">
                  <c:v>463</c:v>
                </c:pt>
                <c:pt idx="38">
                  <c:v>636</c:v>
                </c:pt>
                <c:pt idx="39">
                  <c:v>1006</c:v>
                </c:pt>
                <c:pt idx="40">
                  <c:v>1005</c:v>
                </c:pt>
                <c:pt idx="41">
                  <c:v>496</c:v>
                </c:pt>
                <c:pt idx="42">
                  <c:v>813</c:v>
                </c:pt>
                <c:pt idx="43">
                  <c:v>978</c:v>
                </c:pt>
                <c:pt idx="44">
                  <c:v>1014</c:v>
                </c:pt>
                <c:pt idx="45">
                  <c:v>1335</c:v>
                </c:pt>
                <c:pt idx="46">
                  <c:v>486</c:v>
                </c:pt>
                <c:pt idx="47">
                  <c:v>581</c:v>
                </c:pt>
                <c:pt idx="48">
                  <c:v>676</c:v>
                </c:pt>
                <c:pt idx="49">
                  <c:v>447</c:v>
                </c:pt>
                <c:pt idx="50">
                  <c:v>1356</c:v>
                </c:pt>
                <c:pt idx="51">
                  <c:v>1184</c:v>
                </c:pt>
                <c:pt idx="52">
                  <c:v>1126</c:v>
                </c:pt>
                <c:pt idx="53">
                  <c:v>578</c:v>
                </c:pt>
                <c:pt idx="54">
                  <c:v>325</c:v>
                </c:pt>
                <c:pt idx="55">
                  <c:v>544</c:v>
                </c:pt>
                <c:pt idx="56">
                  <c:v>1234</c:v>
                </c:pt>
                <c:pt idx="57">
                  <c:v>1033</c:v>
                </c:pt>
                <c:pt idx="58">
                  <c:v>428</c:v>
                </c:pt>
                <c:pt idx="59">
                  <c:v>604</c:v>
                </c:pt>
                <c:pt idx="60">
                  <c:v>1282</c:v>
                </c:pt>
                <c:pt idx="61">
                  <c:v>499</c:v>
                </c:pt>
                <c:pt idx="62">
                  <c:v>702</c:v>
                </c:pt>
                <c:pt idx="63">
                  <c:v>647</c:v>
                </c:pt>
                <c:pt idx="64">
                  <c:v>1168</c:v>
                </c:pt>
                <c:pt idx="65">
                  <c:v>302</c:v>
                </c:pt>
                <c:pt idx="66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02-47D6-AA3F-69452C9E0F77}"/>
            </c:ext>
          </c:extLst>
        </c:ser>
        <c:ser>
          <c:idx val="2"/>
          <c:order val="2"/>
          <c:tx>
            <c:strRef>
              <c:f>Task3!$D$16:$D$17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Task3!$A$18:$A$84</c:f>
              <c:strCache>
                <c:ptCount val="67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  <c:pt idx="50">
                  <c:v>2025-05-19</c:v>
                </c:pt>
                <c:pt idx="51">
                  <c:v>2025-05-26</c:v>
                </c:pt>
                <c:pt idx="52">
                  <c:v>2025-06-02</c:v>
                </c:pt>
                <c:pt idx="53">
                  <c:v>2025-06-09</c:v>
                </c:pt>
                <c:pt idx="54">
                  <c:v>2025-06-16</c:v>
                </c:pt>
                <c:pt idx="55">
                  <c:v>2025-06-23</c:v>
                </c:pt>
                <c:pt idx="56">
                  <c:v>2025-06-30</c:v>
                </c:pt>
                <c:pt idx="57">
                  <c:v>2025-07-07</c:v>
                </c:pt>
                <c:pt idx="58">
                  <c:v>2025-07-14</c:v>
                </c:pt>
                <c:pt idx="59">
                  <c:v>2025-07-21</c:v>
                </c:pt>
                <c:pt idx="60">
                  <c:v>2025-07-28</c:v>
                </c:pt>
                <c:pt idx="61">
                  <c:v>2025-08-04</c:v>
                </c:pt>
                <c:pt idx="62">
                  <c:v>2025-08-11</c:v>
                </c:pt>
                <c:pt idx="63">
                  <c:v>2025-08-18</c:v>
                </c:pt>
                <c:pt idx="64">
                  <c:v>2025-08-25</c:v>
                </c:pt>
                <c:pt idx="65">
                  <c:v>2025-09-01</c:v>
                </c:pt>
                <c:pt idx="66">
                  <c:v>2025-09-08</c:v>
                </c:pt>
              </c:strCache>
            </c:strRef>
          </c:cat>
          <c:val>
            <c:numRef>
              <c:f>Task3!$D$18:$D$84</c:f>
              <c:numCache>
                <c:formatCode>General</c:formatCode>
                <c:ptCount val="67"/>
                <c:pt idx="0">
                  <c:v>1176</c:v>
                </c:pt>
                <c:pt idx="1">
                  <c:v>452</c:v>
                </c:pt>
                <c:pt idx="2">
                  <c:v>1302</c:v>
                </c:pt>
                <c:pt idx="3">
                  <c:v>700</c:v>
                </c:pt>
                <c:pt idx="4">
                  <c:v>1117</c:v>
                </c:pt>
                <c:pt idx="5">
                  <c:v>1117</c:v>
                </c:pt>
                <c:pt idx="6">
                  <c:v>912</c:v>
                </c:pt>
                <c:pt idx="7">
                  <c:v>1125</c:v>
                </c:pt>
                <c:pt idx="8">
                  <c:v>849</c:v>
                </c:pt>
                <c:pt idx="9">
                  <c:v>758</c:v>
                </c:pt>
                <c:pt idx="10">
                  <c:v>904</c:v>
                </c:pt>
                <c:pt idx="11">
                  <c:v>1009</c:v>
                </c:pt>
                <c:pt idx="12">
                  <c:v>1166</c:v>
                </c:pt>
                <c:pt idx="13">
                  <c:v>1031</c:v>
                </c:pt>
                <c:pt idx="14">
                  <c:v>725</c:v>
                </c:pt>
                <c:pt idx="15">
                  <c:v>400</c:v>
                </c:pt>
                <c:pt idx="16">
                  <c:v>474</c:v>
                </c:pt>
                <c:pt idx="17">
                  <c:v>1175</c:v>
                </c:pt>
                <c:pt idx="18">
                  <c:v>1225</c:v>
                </c:pt>
                <c:pt idx="19">
                  <c:v>1242</c:v>
                </c:pt>
                <c:pt idx="20">
                  <c:v>1082</c:v>
                </c:pt>
                <c:pt idx="21">
                  <c:v>543</c:v>
                </c:pt>
                <c:pt idx="22">
                  <c:v>984</c:v>
                </c:pt>
                <c:pt idx="23">
                  <c:v>1058</c:v>
                </c:pt>
                <c:pt idx="24">
                  <c:v>682</c:v>
                </c:pt>
                <c:pt idx="25">
                  <c:v>1154</c:v>
                </c:pt>
                <c:pt idx="26">
                  <c:v>704</c:v>
                </c:pt>
                <c:pt idx="27">
                  <c:v>382</c:v>
                </c:pt>
                <c:pt idx="28">
                  <c:v>1099</c:v>
                </c:pt>
                <c:pt idx="29">
                  <c:v>850</c:v>
                </c:pt>
                <c:pt idx="30">
                  <c:v>537</c:v>
                </c:pt>
                <c:pt idx="31">
                  <c:v>725</c:v>
                </c:pt>
                <c:pt idx="32">
                  <c:v>520</c:v>
                </c:pt>
                <c:pt idx="33">
                  <c:v>844</c:v>
                </c:pt>
                <c:pt idx="34">
                  <c:v>718</c:v>
                </c:pt>
                <c:pt idx="35">
                  <c:v>422</c:v>
                </c:pt>
                <c:pt idx="36">
                  <c:v>338</c:v>
                </c:pt>
                <c:pt idx="37">
                  <c:v>356</c:v>
                </c:pt>
                <c:pt idx="38">
                  <c:v>699</c:v>
                </c:pt>
                <c:pt idx="39">
                  <c:v>478</c:v>
                </c:pt>
                <c:pt idx="40">
                  <c:v>765</c:v>
                </c:pt>
                <c:pt idx="41">
                  <c:v>1128</c:v>
                </c:pt>
                <c:pt idx="42">
                  <c:v>1301</c:v>
                </c:pt>
                <c:pt idx="43">
                  <c:v>1367</c:v>
                </c:pt>
                <c:pt idx="44">
                  <c:v>940</c:v>
                </c:pt>
                <c:pt idx="45">
                  <c:v>1191</c:v>
                </c:pt>
                <c:pt idx="46">
                  <c:v>889</c:v>
                </c:pt>
                <c:pt idx="47">
                  <c:v>814</c:v>
                </c:pt>
                <c:pt idx="48">
                  <c:v>459</c:v>
                </c:pt>
                <c:pt idx="49">
                  <c:v>377</c:v>
                </c:pt>
                <c:pt idx="50">
                  <c:v>1281</c:v>
                </c:pt>
                <c:pt idx="51">
                  <c:v>684</c:v>
                </c:pt>
                <c:pt idx="52">
                  <c:v>569</c:v>
                </c:pt>
                <c:pt idx="53">
                  <c:v>935</c:v>
                </c:pt>
                <c:pt idx="54">
                  <c:v>994</c:v>
                </c:pt>
                <c:pt idx="55">
                  <c:v>520</c:v>
                </c:pt>
                <c:pt idx="56">
                  <c:v>596</c:v>
                </c:pt>
                <c:pt idx="57">
                  <c:v>805</c:v>
                </c:pt>
                <c:pt idx="58">
                  <c:v>952</c:v>
                </c:pt>
                <c:pt idx="59">
                  <c:v>1139</c:v>
                </c:pt>
                <c:pt idx="60">
                  <c:v>1387</c:v>
                </c:pt>
                <c:pt idx="61">
                  <c:v>523</c:v>
                </c:pt>
                <c:pt idx="62">
                  <c:v>749</c:v>
                </c:pt>
                <c:pt idx="63">
                  <c:v>839</c:v>
                </c:pt>
                <c:pt idx="64">
                  <c:v>518</c:v>
                </c:pt>
                <c:pt idx="65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02-47D6-AA3F-69452C9E0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610848"/>
        <c:axId val="273612768"/>
      </c:lineChart>
      <c:catAx>
        <c:axId val="27361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Bahnschrift Ligh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73612768"/>
        <c:crosses val="autoZero"/>
        <c:auto val="1"/>
        <c:lblAlgn val="ctr"/>
        <c:lblOffset val="100"/>
        <c:noMultiLvlLbl val="0"/>
      </c:catAx>
      <c:valAx>
        <c:axId val="2736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Bahnschrift Ligh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7361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Bahnschrift Light" panose="020B050204020402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rgbClr val="00B0F0"/>
        </a:gs>
        <a:gs pos="0">
          <a:srgbClr val="00B0F0"/>
        </a:gs>
        <a:gs pos="87000">
          <a:schemeClr val="bg1"/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98500">
        <a:schemeClr val="tx1">
          <a:alpha val="45000"/>
        </a:schemeClr>
      </a:glow>
      <a:softEdge rad="31750"/>
    </a:effectLst>
    <a:scene3d>
      <a:camera prst="orthographicFront"/>
      <a:lightRig rig="threePt" dir="t"/>
    </a:scene3d>
    <a:sp3d prstMaterial="matte">
      <a:bevelT w="114300" prst="hardEdge"/>
      <a:bevelB prst="convex"/>
    </a:sp3d>
  </c:spPr>
  <c:txPr>
    <a:bodyPr/>
    <a:lstStyle/>
    <a:p>
      <a:pPr>
        <a:defRPr b="1" i="0" baseline="0">
          <a:solidFill>
            <a:sysClr val="windowText" lastClr="000000"/>
          </a:solidFill>
          <a:latin typeface="Bahnschrift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Impressions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ChillVibes</c:v>
              </c:pt>
              <c:pt idx="1">
                <c:v>IndieWave</c:v>
              </c:pt>
              <c:pt idx="2">
                <c:v>SummerBeats</c:v>
              </c:pt>
              <c:pt idx="3">
                <c:v>Wrapped2024</c:v>
              </c:pt>
            </c:strLit>
          </c:cat>
          <c:val>
            <c:numLit>
              <c:formatCode>General</c:formatCode>
              <c:ptCount val="4"/>
              <c:pt idx="0">
                <c:v>6331868</c:v>
              </c:pt>
              <c:pt idx="1">
                <c:v>4039305</c:v>
              </c:pt>
              <c:pt idx="2">
                <c:v>1233853</c:v>
              </c:pt>
              <c:pt idx="3">
                <c:v>865406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39D-4E35-B234-165DD1B8843C}"/>
            </c:ext>
          </c:extLst>
        </c:ser>
        <c:ser>
          <c:idx val="1"/>
          <c:order val="1"/>
          <c:tx>
            <c:v>Sum of Clicks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ChillVibes</c:v>
              </c:pt>
              <c:pt idx="1">
                <c:v>IndieWave</c:v>
              </c:pt>
              <c:pt idx="2">
                <c:v>SummerBeats</c:v>
              </c:pt>
              <c:pt idx="3">
                <c:v>Wrapped2024</c:v>
              </c:pt>
            </c:strLit>
          </c:cat>
          <c:val>
            <c:numLit>
              <c:formatCode>General</c:formatCode>
              <c:ptCount val="4"/>
              <c:pt idx="0">
                <c:v>28708</c:v>
              </c:pt>
              <c:pt idx="1">
                <c:v>18717</c:v>
              </c:pt>
              <c:pt idx="2">
                <c:v>5557</c:v>
              </c:pt>
              <c:pt idx="3">
                <c:v>4614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39D-4E35-B234-165DD1B8843C}"/>
            </c:ext>
          </c:extLst>
        </c:ser>
        <c:ser>
          <c:idx val="2"/>
          <c:order val="2"/>
          <c:tx>
            <c:v>Sum of Likes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1096878006736112E-2"/>
                      <c:h val="4.82014982020799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535-40A9-9386-FBD260B097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ChillVibes</c:v>
              </c:pt>
              <c:pt idx="1">
                <c:v>IndieWave</c:v>
              </c:pt>
              <c:pt idx="2">
                <c:v>SummerBeats</c:v>
              </c:pt>
              <c:pt idx="3">
                <c:v>Wrapped2024</c:v>
              </c:pt>
            </c:strLit>
          </c:cat>
          <c:val>
            <c:numLit>
              <c:formatCode>General</c:formatCode>
              <c:ptCount val="4"/>
              <c:pt idx="0">
                <c:v>471034</c:v>
              </c:pt>
              <c:pt idx="1">
                <c:v>274455</c:v>
              </c:pt>
              <c:pt idx="2">
                <c:v>89871</c:v>
              </c:pt>
              <c:pt idx="3">
                <c:v>61815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39D-4E35-B234-165DD1B884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690751184"/>
        <c:axId val="690747824"/>
      </c:lineChart>
      <c:catAx>
        <c:axId val="69075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47824"/>
        <c:crosses val="autoZero"/>
        <c:auto val="1"/>
        <c:lblAlgn val="ctr"/>
        <c:lblOffset val="100"/>
        <c:noMultiLvlLbl val="0"/>
      </c:catAx>
      <c:valAx>
        <c:axId val="69074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7511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>
      <a:noFill/>
    </a:ln>
    <a:effectLst/>
  </c:spPr>
  <c:txPr>
    <a:bodyPr/>
    <a:lstStyle/>
    <a:p>
      <a:pPr>
        <a:defRPr sz="16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project(ritesh vikrant).xlsx]Task5!PivotTable6</c:name>
    <c:fmtId val="8"/>
  </c:pivotSource>
  <c:chart>
    <c:autoTitleDeleted val="1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Task5!$B$6</c:f>
              <c:strCache>
                <c:ptCount val="1"/>
                <c:pt idx="0">
                  <c:v>Average of Clicks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Task5!$A$7:$A$11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Task5!$B$7:$B$11</c:f>
              <c:numCache>
                <c:formatCode>0</c:formatCode>
                <c:ptCount val="4"/>
                <c:pt idx="0">
                  <c:v>186.41558441558442</c:v>
                </c:pt>
                <c:pt idx="1">
                  <c:v>199.11702127659575</c:v>
                </c:pt>
                <c:pt idx="2">
                  <c:v>191.62068965517241</c:v>
                </c:pt>
                <c:pt idx="3">
                  <c:v>200.60869565217391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8-4F30-B70F-E8EAAE8054DC}"/>
            </c:ext>
          </c:extLst>
        </c:ser>
        <c:ser>
          <c:idx val="1"/>
          <c:order val="1"/>
          <c:tx>
            <c:strRef>
              <c:f>Task5!$C$6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Task5!$A$7:$A$11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Task5!$C$7:$C$11</c:f>
              <c:numCache>
                <c:formatCode>0</c:formatCode>
                <c:ptCount val="4"/>
                <c:pt idx="0">
                  <c:v>41116.025974025972</c:v>
                </c:pt>
                <c:pt idx="1">
                  <c:v>42971.329787234041</c:v>
                </c:pt>
                <c:pt idx="2">
                  <c:v>42546.65517241379</c:v>
                </c:pt>
                <c:pt idx="3">
                  <c:v>37626.34782608696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D8-4F30-B70F-E8EAAE8054DC}"/>
            </c:ext>
          </c:extLst>
        </c:ser>
        <c:ser>
          <c:idx val="2"/>
          <c:order val="2"/>
          <c:tx>
            <c:strRef>
              <c:f>Task5!$D$6</c:f>
              <c:strCache>
                <c:ptCount val="1"/>
                <c:pt idx="0">
                  <c:v>Average of Likes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Task5!$A$7:$A$11</c:f>
              <c:strCache>
                <c:ptCount val="4"/>
                <c:pt idx="0">
                  <c:v>ChillVibes</c:v>
                </c:pt>
                <c:pt idx="1">
                  <c:v>IndieWave</c:v>
                </c:pt>
                <c:pt idx="2">
                  <c:v>SummerBeats</c:v>
                </c:pt>
                <c:pt idx="3">
                  <c:v>Wrapped2024</c:v>
                </c:pt>
              </c:strCache>
            </c:strRef>
          </c:cat>
          <c:val>
            <c:numRef>
              <c:f>Task5!$D$7:$D$11</c:f>
              <c:numCache>
                <c:formatCode>0</c:formatCode>
                <c:ptCount val="4"/>
                <c:pt idx="0">
                  <c:v>3058.6623376623374</c:v>
                </c:pt>
                <c:pt idx="1">
                  <c:v>2919.7340425531916</c:v>
                </c:pt>
                <c:pt idx="2">
                  <c:v>3099</c:v>
                </c:pt>
                <c:pt idx="3">
                  <c:v>2687.608695652174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D8-4F30-B70F-E8EAAE8054D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3070735"/>
        <c:axId val="193070255"/>
      </c:lineChart>
      <c:catAx>
        <c:axId val="19307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70255"/>
        <c:crosses val="autoZero"/>
        <c:auto val="1"/>
        <c:lblAlgn val="ctr"/>
        <c:lblOffset val="100"/>
        <c:noMultiLvlLbl val="0"/>
      </c:catAx>
      <c:valAx>
        <c:axId val="19307025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93070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project(ritesh vikrant).xlsx]Task6!PivotTable5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Task6!$B$4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Task6!$A$5:$A$72</c:f>
              <c:strCache>
                <c:ptCount val="67"/>
                <c:pt idx="0">
                  <c:v>4-Nov</c:v>
                </c:pt>
                <c:pt idx="1">
                  <c:v>19-May</c:v>
                </c:pt>
                <c:pt idx="2">
                  <c:v>3-Jun</c:v>
                </c:pt>
                <c:pt idx="3">
                  <c:v>7-Apr</c:v>
                </c:pt>
                <c:pt idx="4">
                  <c:v>28-Jul</c:v>
                </c:pt>
                <c:pt idx="5">
                  <c:v>14-Apr</c:v>
                </c:pt>
                <c:pt idx="6">
                  <c:v>17-Jun</c:v>
                </c:pt>
                <c:pt idx="7">
                  <c:v>8-Jul</c:v>
                </c:pt>
                <c:pt idx="8">
                  <c:v>30-Sep</c:v>
                </c:pt>
                <c:pt idx="9">
                  <c:v>12-Aug</c:v>
                </c:pt>
                <c:pt idx="10">
                  <c:v>26-May</c:v>
                </c:pt>
                <c:pt idx="11">
                  <c:v>11-Nov</c:v>
                </c:pt>
                <c:pt idx="12">
                  <c:v>21-Oct</c:v>
                </c:pt>
                <c:pt idx="13">
                  <c:v>23-Sep</c:v>
                </c:pt>
                <c:pt idx="14">
                  <c:v>31-Mar</c:v>
                </c:pt>
                <c:pt idx="15">
                  <c:v>10-Jun</c:v>
                </c:pt>
                <c:pt idx="16">
                  <c:v>3-Mar</c:v>
                </c:pt>
                <c:pt idx="17">
                  <c:v>21-Jul</c:v>
                </c:pt>
                <c:pt idx="18">
                  <c:v>5-Aug</c:v>
                </c:pt>
                <c:pt idx="19">
                  <c:v>16-Dec</c:v>
                </c:pt>
                <c:pt idx="20">
                  <c:v>24-Mar</c:v>
                </c:pt>
                <c:pt idx="21">
                  <c:v>14-Oct</c:v>
                </c:pt>
                <c:pt idx="22">
                  <c:v>7-Jul</c:v>
                </c:pt>
                <c:pt idx="23">
                  <c:v>14-Jul</c:v>
                </c:pt>
                <c:pt idx="24">
                  <c:v>25-Aug</c:v>
                </c:pt>
                <c:pt idx="25">
                  <c:v>9-Sep</c:v>
                </c:pt>
                <c:pt idx="26">
                  <c:v>23-Dec</c:v>
                </c:pt>
                <c:pt idx="27">
                  <c:v>2-Sep</c:v>
                </c:pt>
                <c:pt idx="28">
                  <c:v>6-Jan</c:v>
                </c:pt>
                <c:pt idx="29">
                  <c:v>26-Aug</c:v>
                </c:pt>
                <c:pt idx="30">
                  <c:v>24-Jun</c:v>
                </c:pt>
                <c:pt idx="31">
                  <c:v>1-Jul</c:v>
                </c:pt>
                <c:pt idx="32">
                  <c:v>2-Dec</c:v>
                </c:pt>
                <c:pt idx="33">
                  <c:v>28-Apr</c:v>
                </c:pt>
                <c:pt idx="34">
                  <c:v>15-Jul</c:v>
                </c:pt>
                <c:pt idx="35">
                  <c:v>10-Feb</c:v>
                </c:pt>
                <c:pt idx="36">
                  <c:v>11-Aug</c:v>
                </c:pt>
                <c:pt idx="37">
                  <c:v>13-Jan</c:v>
                </c:pt>
                <c:pt idx="38">
                  <c:v>7-Oct</c:v>
                </c:pt>
                <c:pt idx="39">
                  <c:v>30-Dec</c:v>
                </c:pt>
                <c:pt idx="40">
                  <c:v>30-Jun</c:v>
                </c:pt>
                <c:pt idx="41">
                  <c:v>10-Mar</c:v>
                </c:pt>
                <c:pt idx="42">
                  <c:v>19-Aug</c:v>
                </c:pt>
                <c:pt idx="43">
                  <c:v>25-Nov</c:v>
                </c:pt>
                <c:pt idx="44">
                  <c:v>22-Jul</c:v>
                </c:pt>
                <c:pt idx="45">
                  <c:v>9-Jun</c:v>
                </c:pt>
                <c:pt idx="46">
                  <c:v>17-Mar</c:v>
                </c:pt>
                <c:pt idx="47">
                  <c:v>28-Oct</c:v>
                </c:pt>
                <c:pt idx="48">
                  <c:v>16-Sep</c:v>
                </c:pt>
                <c:pt idx="49">
                  <c:v>29-Jul</c:v>
                </c:pt>
                <c:pt idx="50">
                  <c:v>5-May</c:v>
                </c:pt>
                <c:pt idx="51">
                  <c:v>2-Jun</c:v>
                </c:pt>
                <c:pt idx="52">
                  <c:v>16-Jun</c:v>
                </c:pt>
                <c:pt idx="53">
                  <c:v>18-Nov</c:v>
                </c:pt>
                <c:pt idx="54">
                  <c:v>27-Jan</c:v>
                </c:pt>
                <c:pt idx="55">
                  <c:v>20-Jan</c:v>
                </c:pt>
                <c:pt idx="56">
                  <c:v>18-Aug</c:v>
                </c:pt>
                <c:pt idx="57">
                  <c:v>21-Apr</c:v>
                </c:pt>
                <c:pt idx="58">
                  <c:v>24-Feb</c:v>
                </c:pt>
                <c:pt idx="59">
                  <c:v>4-Aug</c:v>
                </c:pt>
                <c:pt idx="60">
                  <c:v>3-Feb</c:v>
                </c:pt>
                <c:pt idx="61">
                  <c:v>17-Feb</c:v>
                </c:pt>
                <c:pt idx="62">
                  <c:v>8-Sep</c:v>
                </c:pt>
                <c:pt idx="63">
                  <c:v>1-Sep</c:v>
                </c:pt>
                <c:pt idx="64">
                  <c:v>12-May</c:v>
                </c:pt>
                <c:pt idx="65">
                  <c:v>9-Dec</c:v>
                </c:pt>
                <c:pt idx="66">
                  <c:v>23-Jun</c:v>
                </c:pt>
              </c:strCache>
            </c:strRef>
          </c:cat>
          <c:val>
            <c:numRef>
              <c:f>Task6!$B$5:$B$72</c:f>
              <c:numCache>
                <c:formatCode>General</c:formatCode>
                <c:ptCount val="67"/>
                <c:pt idx="0">
                  <c:v>3576</c:v>
                </c:pt>
                <c:pt idx="1">
                  <c:v>3569</c:v>
                </c:pt>
                <c:pt idx="2">
                  <c:v>3419</c:v>
                </c:pt>
                <c:pt idx="3">
                  <c:v>3291</c:v>
                </c:pt>
                <c:pt idx="4">
                  <c:v>3236</c:v>
                </c:pt>
                <c:pt idx="5">
                  <c:v>3216</c:v>
                </c:pt>
                <c:pt idx="6">
                  <c:v>3175</c:v>
                </c:pt>
                <c:pt idx="7">
                  <c:v>3155</c:v>
                </c:pt>
                <c:pt idx="8">
                  <c:v>3151</c:v>
                </c:pt>
                <c:pt idx="9">
                  <c:v>3072</c:v>
                </c:pt>
                <c:pt idx="10">
                  <c:v>2909</c:v>
                </c:pt>
                <c:pt idx="11">
                  <c:v>2794</c:v>
                </c:pt>
                <c:pt idx="12">
                  <c:v>2792</c:v>
                </c:pt>
                <c:pt idx="13">
                  <c:v>2785</c:v>
                </c:pt>
                <c:pt idx="14">
                  <c:v>2781</c:v>
                </c:pt>
                <c:pt idx="15">
                  <c:v>2777</c:v>
                </c:pt>
                <c:pt idx="16">
                  <c:v>2763</c:v>
                </c:pt>
                <c:pt idx="17">
                  <c:v>2694</c:v>
                </c:pt>
                <c:pt idx="18">
                  <c:v>2693</c:v>
                </c:pt>
                <c:pt idx="19">
                  <c:v>2693</c:v>
                </c:pt>
                <c:pt idx="20">
                  <c:v>2679</c:v>
                </c:pt>
                <c:pt idx="21">
                  <c:v>2670</c:v>
                </c:pt>
                <c:pt idx="22">
                  <c:v>2669</c:v>
                </c:pt>
                <c:pt idx="23">
                  <c:v>2654</c:v>
                </c:pt>
                <c:pt idx="24">
                  <c:v>2646</c:v>
                </c:pt>
                <c:pt idx="25">
                  <c:v>2630</c:v>
                </c:pt>
                <c:pt idx="26">
                  <c:v>2550</c:v>
                </c:pt>
                <c:pt idx="27">
                  <c:v>2502</c:v>
                </c:pt>
                <c:pt idx="28">
                  <c:v>2451</c:v>
                </c:pt>
                <c:pt idx="29">
                  <c:v>2450</c:v>
                </c:pt>
                <c:pt idx="30">
                  <c:v>2433</c:v>
                </c:pt>
                <c:pt idx="31">
                  <c:v>2426</c:v>
                </c:pt>
                <c:pt idx="32">
                  <c:v>2383</c:v>
                </c:pt>
                <c:pt idx="33">
                  <c:v>2378</c:v>
                </c:pt>
                <c:pt idx="34">
                  <c:v>2369</c:v>
                </c:pt>
                <c:pt idx="35">
                  <c:v>2361</c:v>
                </c:pt>
                <c:pt idx="36">
                  <c:v>2347</c:v>
                </c:pt>
                <c:pt idx="37">
                  <c:v>2341</c:v>
                </c:pt>
                <c:pt idx="38">
                  <c:v>2338</c:v>
                </c:pt>
                <c:pt idx="39">
                  <c:v>2337</c:v>
                </c:pt>
                <c:pt idx="40">
                  <c:v>2315</c:v>
                </c:pt>
                <c:pt idx="41">
                  <c:v>2315</c:v>
                </c:pt>
                <c:pt idx="42">
                  <c:v>2300</c:v>
                </c:pt>
                <c:pt idx="43">
                  <c:v>2287</c:v>
                </c:pt>
                <c:pt idx="44">
                  <c:v>2281</c:v>
                </c:pt>
                <c:pt idx="45">
                  <c:v>2243</c:v>
                </c:pt>
                <c:pt idx="46">
                  <c:v>2188</c:v>
                </c:pt>
                <c:pt idx="47">
                  <c:v>2181</c:v>
                </c:pt>
                <c:pt idx="48">
                  <c:v>2162</c:v>
                </c:pt>
                <c:pt idx="49">
                  <c:v>2132</c:v>
                </c:pt>
                <c:pt idx="50">
                  <c:v>2054</c:v>
                </c:pt>
                <c:pt idx="51">
                  <c:v>2049</c:v>
                </c:pt>
                <c:pt idx="52">
                  <c:v>2017</c:v>
                </c:pt>
                <c:pt idx="53">
                  <c:v>1935</c:v>
                </c:pt>
                <c:pt idx="54">
                  <c:v>1928</c:v>
                </c:pt>
                <c:pt idx="55">
                  <c:v>1832</c:v>
                </c:pt>
                <c:pt idx="56">
                  <c:v>1819</c:v>
                </c:pt>
                <c:pt idx="57">
                  <c:v>1728</c:v>
                </c:pt>
                <c:pt idx="58">
                  <c:v>1713</c:v>
                </c:pt>
                <c:pt idx="59">
                  <c:v>1689</c:v>
                </c:pt>
                <c:pt idx="60">
                  <c:v>1680</c:v>
                </c:pt>
                <c:pt idx="61">
                  <c:v>1543</c:v>
                </c:pt>
                <c:pt idx="62">
                  <c:v>1436</c:v>
                </c:pt>
                <c:pt idx="63">
                  <c:v>1424</c:v>
                </c:pt>
                <c:pt idx="64">
                  <c:v>1400</c:v>
                </c:pt>
                <c:pt idx="65">
                  <c:v>1398</c:v>
                </c:pt>
                <c:pt idx="66">
                  <c:v>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6-432E-BD02-2949CF830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710784"/>
        <c:axId val="125711744"/>
      </c:lineChart>
      <c:catAx>
        <c:axId val="125710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1744"/>
        <c:crosses val="autoZero"/>
        <c:auto val="1"/>
        <c:lblAlgn val="ctr"/>
        <c:lblOffset val="100"/>
        <c:noMultiLvlLbl val="0"/>
      </c:catAx>
      <c:valAx>
        <c:axId val="1257117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1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335</xdr:row>
      <xdr:rowOff>121921</xdr:rowOff>
    </xdr:from>
    <xdr:to>
      <xdr:col>3</xdr:col>
      <xdr:colOff>946906</xdr:colOff>
      <xdr:row>338</xdr:row>
      <xdr:rowOff>121921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2421CB-EB47-B043-A2E5-3DFEF28CD795}"/>
            </a:ext>
          </a:extLst>
        </xdr:cNvPr>
        <xdr:cNvSpPr txBox="1"/>
      </xdr:nvSpPr>
      <xdr:spPr>
        <a:xfrm>
          <a:off x="0" y="8656321"/>
          <a:ext cx="4919466" cy="54864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bg1"/>
              </a:solidFill>
            </a:rPr>
            <a:t>Highlight Top-performing hashtags using ranking formulas</a:t>
          </a:r>
        </a:p>
      </xdr:txBody>
    </xdr:sp>
    <xdr:clientData/>
  </xdr:twoCellAnchor>
  <xdr:twoCellAnchor>
    <xdr:from>
      <xdr:col>16</xdr:col>
      <xdr:colOff>566351</xdr:colOff>
      <xdr:row>2</xdr:row>
      <xdr:rowOff>180203</xdr:rowOff>
    </xdr:from>
    <xdr:to>
      <xdr:col>20</xdr:col>
      <xdr:colOff>373277</xdr:colOff>
      <xdr:row>4</xdr:row>
      <xdr:rowOff>154461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5E30228-66E2-CFB9-B55F-73F94F569FEE}"/>
            </a:ext>
          </a:extLst>
        </xdr:cNvPr>
        <xdr:cNvSpPr txBox="1"/>
      </xdr:nvSpPr>
      <xdr:spPr>
        <a:xfrm>
          <a:off x="22950101" y="566352"/>
          <a:ext cx="2651554" cy="3604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15</xdr:col>
      <xdr:colOff>360405</xdr:colOff>
      <xdr:row>3</xdr:row>
      <xdr:rowOff>25744</xdr:rowOff>
    </xdr:from>
    <xdr:to>
      <xdr:col>21</xdr:col>
      <xdr:colOff>360405</xdr:colOff>
      <xdr:row>5</xdr:row>
      <xdr:rowOff>141588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92002C5-D662-622C-3AAE-DAA2DBAD8E16}"/>
            </a:ext>
          </a:extLst>
        </xdr:cNvPr>
        <xdr:cNvSpPr/>
      </xdr:nvSpPr>
      <xdr:spPr>
        <a:xfrm>
          <a:off x="22139189" y="604967"/>
          <a:ext cx="4247635" cy="50199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15</xdr:col>
      <xdr:colOff>411892</xdr:colOff>
      <xdr:row>3</xdr:row>
      <xdr:rowOff>64359</xdr:rowOff>
    </xdr:from>
    <xdr:to>
      <xdr:col>21</xdr:col>
      <xdr:colOff>366703</xdr:colOff>
      <xdr:row>5</xdr:row>
      <xdr:rowOff>167331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F2E88F-2C31-A300-45B7-5E3EA85CD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0676" y="643582"/>
          <a:ext cx="4202446" cy="489121"/>
        </a:xfrm>
        <a:prstGeom prst="rect">
          <a:avLst/>
        </a:prstGeom>
      </xdr:spPr>
    </xdr:pic>
    <xdr:clientData/>
  </xdr:twoCellAnchor>
  <xdr:twoCellAnchor>
    <xdr:from>
      <xdr:col>14</xdr:col>
      <xdr:colOff>77229</xdr:colOff>
      <xdr:row>3</xdr:row>
      <xdr:rowOff>154460</xdr:rowOff>
    </xdr:from>
    <xdr:to>
      <xdr:col>15</xdr:col>
      <xdr:colOff>321790</xdr:colOff>
      <xdr:row>5</xdr:row>
      <xdr:rowOff>12872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6A3FF45D-6662-9EFE-F57B-C823832DA920}"/>
            </a:ext>
          </a:extLst>
        </xdr:cNvPr>
        <xdr:cNvSpPr/>
      </xdr:nvSpPr>
      <xdr:spPr>
        <a:xfrm>
          <a:off x="21251047" y="733683"/>
          <a:ext cx="849527" cy="244561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321</xdr:row>
      <xdr:rowOff>50800</xdr:rowOff>
    </xdr:from>
    <xdr:to>
      <xdr:col>3</xdr:col>
      <xdr:colOff>172720</xdr:colOff>
      <xdr:row>325</xdr:row>
      <xdr:rowOff>132080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F48CE5-ACB6-94D9-5DF0-E8F046E0DA51}"/>
            </a:ext>
          </a:extLst>
        </xdr:cNvPr>
        <xdr:cNvSpPr txBox="1"/>
      </xdr:nvSpPr>
      <xdr:spPr>
        <a:xfrm>
          <a:off x="0" y="5720080"/>
          <a:ext cx="4145280" cy="812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Create Pivot Table showing: </a:t>
          </a:r>
          <a:endParaRPr lang="en-US" sz="2000">
            <a:solidFill>
              <a:schemeClr val="bg1"/>
            </a:solidFill>
            <a:effectLst/>
          </a:endParaRPr>
        </a:p>
        <a:p>
          <a:r>
            <a:rPr lang="en-US" sz="2000">
              <a:solidFill>
                <a:schemeClr val="bg1"/>
              </a:solidFill>
            </a:rPr>
            <a:t>Average Clicks per post by Hashtag </a:t>
          </a:r>
        </a:p>
      </xdr:txBody>
    </xdr:sp>
    <xdr:clientData/>
  </xdr:twoCellAnchor>
  <xdr:twoCellAnchor>
    <xdr:from>
      <xdr:col>0</xdr:col>
      <xdr:colOff>71120</xdr:colOff>
      <xdr:row>301</xdr:row>
      <xdr:rowOff>172720</xdr:rowOff>
    </xdr:from>
    <xdr:to>
      <xdr:col>5</xdr:col>
      <xdr:colOff>193040</xdr:colOff>
      <xdr:row>304</xdr:row>
      <xdr:rowOff>132080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70E5E9-81C9-197D-D2D8-562E5B1F8535}"/>
            </a:ext>
          </a:extLst>
        </xdr:cNvPr>
        <xdr:cNvSpPr txBox="1"/>
      </xdr:nvSpPr>
      <xdr:spPr>
        <a:xfrm>
          <a:off x="71120" y="2184400"/>
          <a:ext cx="8239760" cy="508000"/>
        </a:xfrm>
        <a:prstGeom prst="rect">
          <a:avLst/>
        </a:prstGeom>
        <a:solidFill>
          <a:schemeClr val="accent2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</a:rPr>
            <a:t>Total Likes, Shares, Comments by Content Type (e.g., Text, Story) and Platform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304701</xdr:colOff>
      <xdr:row>19</xdr:row>
      <xdr:rowOff>131703</xdr:rowOff>
    </xdr:from>
    <xdr:to>
      <xdr:col>10</xdr:col>
      <xdr:colOff>677334</xdr:colOff>
      <xdr:row>51</xdr:row>
      <xdr:rowOff>103481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930F4B-9174-161A-9842-B5364B0D5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62664</xdr:colOff>
      <xdr:row>1</xdr:row>
      <xdr:rowOff>1</xdr:rowOff>
    </xdr:from>
    <xdr:to>
      <xdr:col>4</xdr:col>
      <xdr:colOff>564443</xdr:colOff>
      <xdr:row>2</xdr:row>
      <xdr:rowOff>131704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5EFC247-D1F4-2EDB-CC66-B8977C2E8CBB}"/>
            </a:ext>
          </a:extLst>
        </xdr:cNvPr>
        <xdr:cNvSpPr txBox="1"/>
      </xdr:nvSpPr>
      <xdr:spPr>
        <a:xfrm>
          <a:off x="62664" y="178742"/>
          <a:ext cx="6061557" cy="310443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</a:rPr>
            <a:t>Determine which platform yields highest engagement</a:t>
          </a:r>
        </a:p>
      </xdr:txBody>
    </xdr:sp>
    <xdr:clientData/>
  </xdr:twoCellAnchor>
  <xdr:twoCellAnchor>
    <xdr:from>
      <xdr:col>0</xdr:col>
      <xdr:colOff>985</xdr:colOff>
      <xdr:row>11</xdr:row>
      <xdr:rowOff>143514</xdr:rowOff>
    </xdr:from>
    <xdr:to>
      <xdr:col>4</xdr:col>
      <xdr:colOff>235187</xdr:colOff>
      <xdr:row>14</xdr:row>
      <xdr:rowOff>75259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CBE2BE-2977-2368-03FC-4D1BC5C4D5AB}"/>
            </a:ext>
          </a:extLst>
        </xdr:cNvPr>
        <xdr:cNvSpPr txBox="1"/>
      </xdr:nvSpPr>
      <xdr:spPr>
        <a:xfrm>
          <a:off x="985" y="2128477"/>
          <a:ext cx="6038572" cy="46796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>
              <a:solidFill>
                <a:schemeClr val="bg1"/>
              </a:solidFill>
            </a:rPr>
            <a:t>Compare weekly follower growth rates across platforms</a:t>
          </a:r>
        </a:p>
      </xdr:txBody>
    </xdr:sp>
    <xdr:clientData/>
  </xdr:twoCellAnchor>
  <xdr:twoCellAnchor>
    <xdr:from>
      <xdr:col>4</xdr:col>
      <xdr:colOff>313198</xdr:colOff>
      <xdr:row>15</xdr:row>
      <xdr:rowOff>122297</xdr:rowOff>
    </xdr:from>
    <xdr:to>
      <xdr:col>7</xdr:col>
      <xdr:colOff>2057400</xdr:colOff>
      <xdr:row>19</xdr:row>
      <xdr:rowOff>3002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84996F5-CFA1-B6CF-61D6-2F51CBDFE9AB}"/>
            </a:ext>
          </a:extLst>
        </xdr:cNvPr>
        <xdr:cNvSpPr txBox="1"/>
      </xdr:nvSpPr>
      <xdr:spPr>
        <a:xfrm>
          <a:off x="6126169" y="2909040"/>
          <a:ext cx="7295917" cy="620933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>
              <a:solidFill>
                <a:schemeClr val="tx1"/>
              </a:solidFill>
            </a:rPr>
            <a:t>Visualize Ad Spend vs. Engagement using charts</a:t>
          </a:r>
        </a:p>
      </xdr:txBody>
    </xdr:sp>
    <xdr:clientData/>
  </xdr:twoCellAnchor>
  <xdr:twoCellAnchor>
    <xdr:from>
      <xdr:col>14</xdr:col>
      <xdr:colOff>839704</xdr:colOff>
      <xdr:row>28</xdr:row>
      <xdr:rowOff>25066</xdr:rowOff>
    </xdr:from>
    <xdr:to>
      <xdr:col>14</xdr:col>
      <xdr:colOff>1366085</xdr:colOff>
      <xdr:row>32</xdr:row>
      <xdr:rowOff>0</xdr:rowOff>
    </xdr:to>
    <xdr:sp macro="" textlink="">
      <xdr:nvSpPr>
        <xdr:cNvPr id="8" name="Arrow: Down 7">
          <a:extLst>
            <a:ext uri="{FF2B5EF4-FFF2-40B4-BE49-F238E27FC236}">
              <a16:creationId xmlns:a16="http://schemas.microsoft.com/office/drawing/2014/main" id="{D9969A3E-B001-4DBE-7BC4-E5048291A535}"/>
            </a:ext>
          </a:extLst>
        </xdr:cNvPr>
        <xdr:cNvSpPr/>
      </xdr:nvSpPr>
      <xdr:spPr>
        <a:xfrm>
          <a:off x="23574375" y="1541546"/>
          <a:ext cx="526381" cy="7269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538230</xdr:colOff>
      <xdr:row>62</xdr:row>
      <xdr:rowOff>134797</xdr:rowOff>
    </xdr:from>
    <xdr:to>
      <xdr:col>8</xdr:col>
      <xdr:colOff>959554</xdr:colOff>
      <xdr:row>65</xdr:row>
      <xdr:rowOff>150518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1B8C01B-8F92-0F60-66EE-820D3D41F43B}"/>
            </a:ext>
          </a:extLst>
        </xdr:cNvPr>
        <xdr:cNvSpPr txBox="1"/>
      </xdr:nvSpPr>
      <xdr:spPr>
        <a:xfrm>
          <a:off x="6098008" y="11931686"/>
          <a:ext cx="9170213" cy="551943"/>
        </a:xfrm>
        <a:prstGeom prst="rect">
          <a:avLst/>
        </a:prstGeom>
        <a:solidFill>
          <a:sysClr val="window" lastClr="FFFFFF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ysClr val="windowText" lastClr="000000"/>
              </a:solidFill>
            </a:rPr>
            <a:t>Recommend focusing on 1–2 platforms or continuing multi-platform justify with data</a:t>
          </a:r>
        </a:p>
      </xdr:txBody>
    </xdr:sp>
    <xdr:clientData/>
  </xdr:twoCellAnchor>
  <xdr:twoCellAnchor>
    <xdr:from>
      <xdr:col>5</xdr:col>
      <xdr:colOff>49789</xdr:colOff>
      <xdr:row>80</xdr:row>
      <xdr:rowOff>140384</xdr:rowOff>
    </xdr:from>
    <xdr:to>
      <xdr:col>7</xdr:col>
      <xdr:colOff>3119764</xdr:colOff>
      <xdr:row>94</xdr:row>
      <xdr:rowOff>82249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35FAD10-F997-BD2E-F63B-A7EEE1391FA1}"/>
            </a:ext>
          </a:extLst>
        </xdr:cNvPr>
        <xdr:cNvSpPr/>
      </xdr:nvSpPr>
      <xdr:spPr>
        <a:xfrm>
          <a:off x="6559446" y="16196813"/>
          <a:ext cx="7925004" cy="2532665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With emphasis on Twitter and Instagram being the most effective approach as these two platforms alone are responsible for approximately 80% of overall engagement. Emphasizing these two sites maximizes efficiency, allows for more targeted audiences and optimized content, and yields greatest return on effort. YouTube, which has a meager 20% engagement, can be kept at a bare minimum unless video content is a central element in strategy.</a:t>
          </a:r>
          <a:endParaRPr lang="en-IN" sz="2800">
            <a:solidFill>
              <a:sysClr val="windowText" lastClr="000000"/>
            </a:solidFill>
            <a:effectLst/>
          </a:endParaRPr>
        </a:p>
        <a:p>
          <a:pPr algn="l"/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2318926</xdr:colOff>
      <xdr:row>74</xdr:row>
      <xdr:rowOff>143463</xdr:rowOff>
    </xdr:from>
    <xdr:to>
      <xdr:col>6</xdr:col>
      <xdr:colOff>3036240</xdr:colOff>
      <xdr:row>80</xdr:row>
      <xdr:rowOff>23518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41EA001E-8898-AFA8-962E-D2509722EC91}"/>
            </a:ext>
          </a:extLst>
        </xdr:cNvPr>
        <xdr:cNvSpPr/>
      </xdr:nvSpPr>
      <xdr:spPr>
        <a:xfrm>
          <a:off x="10136482" y="14696722"/>
          <a:ext cx="717314" cy="952500"/>
        </a:xfrm>
        <a:prstGeom prst="down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11</xdr:row>
      <xdr:rowOff>29481</xdr:rowOff>
    </xdr:from>
    <xdr:to>
      <xdr:col>2</xdr:col>
      <xdr:colOff>1251858</xdr:colOff>
      <xdr:row>13</xdr:row>
      <xdr:rowOff>81643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A3FCDAE-3A18-2984-341A-8B3608AE975B}"/>
            </a:ext>
          </a:extLst>
        </xdr:cNvPr>
        <xdr:cNvSpPr txBox="1"/>
      </xdr:nvSpPr>
      <xdr:spPr>
        <a:xfrm>
          <a:off x="1" y="2932338"/>
          <a:ext cx="7211786" cy="415019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ysClr val="windowText" lastClr="000000"/>
              </a:solidFill>
            </a:rPr>
            <a:t>Compare content types (Text, Story,Reel) performance across platforms</a:t>
          </a:r>
        </a:p>
      </xdr:txBody>
    </xdr:sp>
    <xdr:clientData/>
  </xdr:twoCellAnchor>
  <xdr:twoCellAnchor>
    <xdr:from>
      <xdr:col>0</xdr:col>
      <xdr:colOff>0</xdr:colOff>
      <xdr:row>26</xdr:row>
      <xdr:rowOff>154213</xdr:rowOff>
    </xdr:from>
    <xdr:to>
      <xdr:col>1</xdr:col>
      <xdr:colOff>3256643</xdr:colOff>
      <xdr:row>29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B90AB9-2BD3-B260-40E3-E12F87C680AE}"/>
            </a:ext>
          </a:extLst>
        </xdr:cNvPr>
        <xdr:cNvSpPr txBox="1"/>
      </xdr:nvSpPr>
      <xdr:spPr>
        <a:xfrm>
          <a:off x="0" y="7075713"/>
          <a:ext cx="5860143" cy="390073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ysClr val="windowText" lastClr="000000"/>
              </a:solidFill>
            </a:rPr>
            <a:t>Recommend optimal content type-platform combinations</a:t>
          </a:r>
        </a:p>
      </xdr:txBody>
    </xdr:sp>
    <xdr:clientData/>
  </xdr:twoCellAnchor>
  <xdr:twoCellAnchor>
    <xdr:from>
      <xdr:col>0</xdr:col>
      <xdr:colOff>2</xdr:colOff>
      <xdr:row>0</xdr:row>
      <xdr:rowOff>34018</xdr:rowOff>
    </xdr:from>
    <xdr:to>
      <xdr:col>1</xdr:col>
      <xdr:colOff>3256644</xdr:colOff>
      <xdr:row>2</xdr:row>
      <xdr:rowOff>53553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DAD7E6-168C-B215-26C9-6AEF66F2C142}"/>
            </a:ext>
          </a:extLst>
        </xdr:cNvPr>
        <xdr:cNvSpPr txBox="1"/>
      </xdr:nvSpPr>
      <xdr:spPr>
        <a:xfrm>
          <a:off x="2" y="34018"/>
          <a:ext cx="5860142" cy="418678"/>
        </a:xfrm>
        <a:prstGeom prst="rect">
          <a:avLst/>
        </a:prstGeom>
        <a:solidFill>
          <a:sysClr val="window" lastClr="FFFFFF"/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ysClr val="windowText" lastClr="000000"/>
              </a:solidFill>
            </a:rPr>
            <a:t>Most frequent hashtags and average engagement for each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592667</xdr:colOff>
      <xdr:row>24</xdr:row>
      <xdr:rowOff>266096</xdr:rowOff>
    </xdr:from>
    <xdr:to>
      <xdr:col>14</xdr:col>
      <xdr:colOff>387047</xdr:colOff>
      <xdr:row>43</xdr:row>
      <xdr:rowOff>193524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C3B4ED-9ACD-47F0-8C37-14A3F9697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532095</xdr:colOff>
      <xdr:row>5</xdr:row>
      <xdr:rowOff>255837</xdr:rowOff>
    </xdr:from>
    <xdr:to>
      <xdr:col>14</xdr:col>
      <xdr:colOff>411238</xdr:colOff>
      <xdr:row>21</xdr:row>
      <xdr:rowOff>278190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673CFE-285F-FF1F-7A1A-0B6761BC7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0</xdr:row>
      <xdr:rowOff>20935</xdr:rowOff>
    </xdr:from>
    <xdr:to>
      <xdr:col>3</xdr:col>
      <xdr:colOff>399144</xdr:colOff>
      <xdr:row>2</xdr:row>
      <xdr:rowOff>278191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59FA946-3E39-966A-2127-8343E2442767}"/>
            </a:ext>
          </a:extLst>
        </xdr:cNvPr>
        <xdr:cNvSpPr txBox="1"/>
      </xdr:nvSpPr>
      <xdr:spPr>
        <a:xfrm>
          <a:off x="1" y="20935"/>
          <a:ext cx="7499048" cy="862018"/>
        </a:xfrm>
        <a:prstGeom prst="rect">
          <a:avLst/>
        </a:prstGeom>
        <a:solidFill>
          <a:sysClr val="window" lastClr="FFFFFF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ysClr val="windowText" lastClr="000000"/>
              </a:solidFill>
            </a:rPr>
            <a:t>Compute: </a:t>
          </a:r>
        </a:p>
        <a:p>
          <a:r>
            <a:rPr lang="en-US" sz="2400" b="1">
              <a:solidFill>
                <a:sysClr val="windowText" lastClr="000000"/>
              </a:solidFill>
            </a:rPr>
            <a:t>Total &amp; average impressions, likes, clicks per campaign</a:t>
          </a:r>
        </a:p>
      </xdr:txBody>
    </xdr:sp>
    <xdr:clientData/>
  </xdr:twoCellAnchor>
  <xdr:twoCellAnchor>
    <xdr:from>
      <xdr:col>0</xdr:col>
      <xdr:colOff>24190</xdr:colOff>
      <xdr:row>52</xdr:row>
      <xdr:rowOff>241906</xdr:rowOff>
    </xdr:from>
    <xdr:to>
      <xdr:col>3</xdr:col>
      <xdr:colOff>2078054</xdr:colOff>
      <xdr:row>54</xdr:row>
      <xdr:rowOff>290287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7AC909-EDBC-1EFC-B15A-C2E69B2336AB}"/>
            </a:ext>
          </a:extLst>
        </xdr:cNvPr>
        <xdr:cNvSpPr txBox="1"/>
      </xdr:nvSpPr>
      <xdr:spPr>
        <a:xfrm>
          <a:off x="24190" y="15965716"/>
          <a:ext cx="9153769" cy="653142"/>
        </a:xfrm>
        <a:prstGeom prst="rect">
          <a:avLst/>
        </a:prstGeom>
        <a:solidFill>
          <a:sysClr val="window" lastClr="FFFFFF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ysClr val="windowText" lastClr="000000"/>
              </a:solidFill>
            </a:rPr>
            <a:t>Campaign with highest ROI (engagement/ad spend)</a:t>
          </a:r>
        </a:p>
      </xdr:txBody>
    </xdr:sp>
    <xdr:clientData/>
  </xdr:twoCellAnchor>
  <xdr:twoCellAnchor>
    <xdr:from>
      <xdr:col>0</xdr:col>
      <xdr:colOff>29773</xdr:colOff>
      <xdr:row>36</xdr:row>
      <xdr:rowOff>35357</xdr:rowOff>
    </xdr:from>
    <xdr:to>
      <xdr:col>4</xdr:col>
      <xdr:colOff>798287</xdr:colOff>
      <xdr:row>45</xdr:row>
      <xdr:rowOff>64136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8A2242C-1810-0676-FBA7-C9E93C0CB1D7}"/>
            </a:ext>
          </a:extLst>
        </xdr:cNvPr>
        <xdr:cNvSpPr/>
      </xdr:nvSpPr>
      <xdr:spPr>
        <a:xfrm>
          <a:off x="29773" y="6699833"/>
          <a:ext cx="11400228" cy="1661636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400" b="1">
              <a:solidFill>
                <a:sysClr val="windowText" lastClr="000000"/>
              </a:solidFill>
            </a:rPr>
            <a:t>1.Max(Net</a:t>
          </a:r>
          <a:r>
            <a:rPr lang="en-US" sz="2400" b="1" baseline="0">
              <a:solidFill>
                <a:sysClr val="windowText" lastClr="000000"/>
              </a:solidFill>
            </a:rPr>
            <a:t> Followers)=</a:t>
          </a:r>
          <a:r>
            <a:rPr lang="en-US" sz="2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1397</a:t>
          </a:r>
          <a:br>
            <a:rPr lang="en-US" sz="2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lang="en-US" sz="2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2.Max(Total</a:t>
          </a:r>
          <a:r>
            <a:rPr lang="en-US" sz="2400" b="1" i="0" u="none" strike="noStrik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Followers)=</a:t>
          </a:r>
          <a:r>
            <a:rPr lang="en-US" sz="2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397607</a:t>
          </a:r>
          <a:r>
            <a:rPr lang="en-US" sz="2400" b="1">
              <a:solidFill>
                <a:sysClr val="windowText" lastClr="000000"/>
              </a:solidFill>
              <a:effectLst/>
            </a:rPr>
            <a:t> </a:t>
          </a:r>
          <a:br>
            <a:rPr lang="en-US" sz="2400" b="1">
              <a:solidFill>
                <a:sysClr val="windowText" lastClr="000000"/>
              </a:solidFill>
              <a:effectLst/>
            </a:rPr>
          </a:br>
          <a:r>
            <a:rPr lang="en-US" sz="2400" b="1">
              <a:solidFill>
                <a:sysClr val="windowText" lastClr="000000"/>
              </a:solidFill>
              <a:effectLst/>
            </a:rPr>
            <a:t>3.</a:t>
          </a:r>
          <a:r>
            <a:rPr lang="en-US" sz="2400" b="1" baseline="0">
              <a:solidFill>
                <a:sysClr val="windowText" lastClr="000000"/>
              </a:solidFill>
              <a:effectLst/>
            </a:rPr>
            <a:t> Identify which campaign =INDEX(A:A, MATCH(MAX(C:C), C:C, 0)) &amp; " - " &amp; INDEX(B:B, MATCH(MAX(C:C), C:C, 0))</a:t>
          </a:r>
        </a:p>
        <a:p>
          <a:pPr algn="l"/>
          <a:endParaRPr lang="en-US" sz="2400" b="1">
            <a:solidFill>
              <a:sysClr val="windowText" lastClr="000000"/>
            </a:solidFill>
          </a:endParaRPr>
        </a:p>
        <a:p>
          <a:pPr algn="l"/>
          <a:r>
            <a:rPr lang="en-US" sz="2400" b="1">
              <a:solidFill>
                <a:sysClr val="windowText" lastClr="000000"/>
              </a:solidFill>
            </a:rPr>
            <a:t>Answer :-</a:t>
          </a:r>
          <a:r>
            <a:rPr lang="en-US" sz="24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45866 - YouTube</a:t>
          </a:r>
          <a:r>
            <a:rPr lang="en-US" sz="2400" b="1">
              <a:solidFill>
                <a:sysClr val="windowText" lastClr="000000"/>
              </a:solidFill>
              <a:effectLst/>
            </a:rPr>
            <a:t> </a:t>
          </a:r>
          <a:endParaRPr lang="en-US" sz="2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31</xdr:row>
      <xdr:rowOff>3956</xdr:rowOff>
    </xdr:from>
    <xdr:to>
      <xdr:col>4</xdr:col>
      <xdr:colOff>462178</xdr:colOff>
      <xdr:row>34</xdr:row>
      <xdr:rowOff>12096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169B431-ADBC-0959-2D26-B99137AE6A33}"/>
            </a:ext>
          </a:extLst>
        </xdr:cNvPr>
        <xdr:cNvSpPr txBox="1"/>
      </xdr:nvSpPr>
      <xdr:spPr>
        <a:xfrm>
          <a:off x="0" y="5761289"/>
          <a:ext cx="11093892" cy="552426"/>
        </a:xfrm>
        <a:prstGeom prst="rect">
          <a:avLst/>
        </a:prstGeom>
        <a:solidFill>
          <a:sysClr val="window" lastClr="FFFFFF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ysClr val="windowText" lastClr="000000"/>
              </a:solidFill>
            </a:rPr>
            <a:t>Campaign with strongest follower or app download growth</a:t>
          </a:r>
        </a:p>
      </xdr:txBody>
    </xdr:sp>
    <xdr:clientData/>
  </xdr:twoCellAnchor>
  <xdr:twoCellAnchor>
    <xdr:from>
      <xdr:col>0</xdr:col>
      <xdr:colOff>96762</xdr:colOff>
      <xdr:row>20</xdr:row>
      <xdr:rowOff>24191</xdr:rowOff>
    </xdr:from>
    <xdr:to>
      <xdr:col>2</xdr:col>
      <xdr:colOff>1765904</xdr:colOff>
      <xdr:row>22</xdr:row>
      <xdr:rowOff>157239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0BD2ECB-380C-9ABC-4E37-308B914A91B4}"/>
            </a:ext>
          </a:extLst>
        </xdr:cNvPr>
        <xdr:cNvSpPr txBox="1"/>
      </xdr:nvSpPr>
      <xdr:spPr>
        <a:xfrm>
          <a:off x="96762" y="3785810"/>
          <a:ext cx="6120190" cy="495905"/>
        </a:xfrm>
        <a:prstGeom prst="rect">
          <a:avLst/>
        </a:prstGeom>
        <a:solidFill>
          <a:sysClr val="window" lastClr="FFFFFF"/>
        </a:solidFill>
        <a:ln>
          <a:solidFill>
            <a:schemeClr val="accent1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ysClr val="windowText" lastClr="000000"/>
              </a:solidFill>
            </a:rPr>
            <a:t>Engagement uplift during vs. before campaign </a:t>
          </a:r>
        </a:p>
      </xdr:txBody>
    </xdr:sp>
    <xdr:clientData/>
  </xdr:twoCellAnchor>
  <xdr:oneCellAnchor>
    <xdr:from>
      <xdr:col>5</xdr:col>
      <xdr:colOff>689427</xdr:colOff>
      <xdr:row>3</xdr:row>
      <xdr:rowOff>108858</xdr:rowOff>
    </xdr:from>
    <xdr:ext cx="9543143" cy="53065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3B799B6-16EB-6DAB-8A76-C465B9E0929D}"/>
            </a:ext>
          </a:extLst>
        </xdr:cNvPr>
        <xdr:cNvSpPr txBox="1"/>
      </xdr:nvSpPr>
      <xdr:spPr>
        <a:xfrm>
          <a:off x="12276665" y="713620"/>
          <a:ext cx="9543143" cy="530658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2800" b="1">
              <a:solidFill>
                <a:sysClr val="windowText" lastClr="000000"/>
              </a:solidFill>
            </a:rPr>
            <a:t> Campaign with strongest follower or app download growth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267724</xdr:colOff>
      <xdr:row>5</xdr:row>
      <xdr:rowOff>47625</xdr:rowOff>
    </xdr:from>
    <xdr:to>
      <xdr:col>13</xdr:col>
      <xdr:colOff>1444625</xdr:colOff>
      <xdr:row>24</xdr:row>
      <xdr:rowOff>94265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E6E09B-0C50-31E7-B3AE-532BEFE90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0</xdr:row>
      <xdr:rowOff>131720</xdr:rowOff>
    </xdr:from>
    <xdr:ext cx="444821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171A10-5D2F-3F0A-88D4-19CCECBE4B95}"/>
            </a:ext>
          </a:extLst>
        </xdr:cNvPr>
        <xdr:cNvSpPr txBox="1"/>
      </xdr:nvSpPr>
      <xdr:spPr>
        <a:xfrm>
          <a:off x="0" y="131720"/>
          <a:ext cx="4448215" cy="342786"/>
        </a:xfrm>
        <a:prstGeom prst="rect">
          <a:avLst/>
        </a:prstGeom>
        <a:solidFill>
          <a:schemeClr val="bg1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Identify week with highest net follower gain</a:t>
          </a:r>
        </a:p>
      </xdr:txBody>
    </xdr:sp>
    <xdr:clientData/>
  </xdr:oneCellAnchor>
  <xdr:twoCellAnchor>
    <xdr:from>
      <xdr:col>5</xdr:col>
      <xdr:colOff>466907</xdr:colOff>
      <xdr:row>2</xdr:row>
      <xdr:rowOff>89423</xdr:rowOff>
    </xdr:from>
    <xdr:to>
      <xdr:col>11</xdr:col>
      <xdr:colOff>881064</xdr:colOff>
      <xdr:row>5</xdr:row>
      <xdr:rowOff>7937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B64886-5A92-11C1-4BA1-F4E6622C8C5F}"/>
            </a:ext>
          </a:extLst>
        </xdr:cNvPr>
        <xdr:cNvSpPr txBox="1"/>
      </xdr:nvSpPr>
      <xdr:spPr>
        <a:xfrm>
          <a:off x="4594407" y="454548"/>
          <a:ext cx="4367032" cy="466202"/>
        </a:xfrm>
        <a:prstGeom prst="rect">
          <a:avLst/>
        </a:prstGeom>
        <a:solidFill>
          <a:schemeClr val="bg1"/>
        </a:solidFill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 Moving average chart to analyze follower trends</a:t>
          </a:r>
        </a:p>
      </xdr:txBody>
    </xdr:sp>
    <xdr:clientData/>
  </xdr:twoCellAnchor>
  <xdr:twoCellAnchor>
    <xdr:from>
      <xdr:col>4</xdr:col>
      <xdr:colOff>600587</xdr:colOff>
      <xdr:row>31</xdr:row>
      <xdr:rowOff>57546</xdr:rowOff>
    </xdr:from>
    <xdr:to>
      <xdr:col>7</xdr:col>
      <xdr:colOff>1841500</xdr:colOff>
      <xdr:row>34</xdr:row>
      <xdr:rowOff>150813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71A2444-55EF-6B47-8315-12B8BCFA1847}"/>
            </a:ext>
          </a:extLst>
        </xdr:cNvPr>
        <xdr:cNvSpPr txBox="1"/>
      </xdr:nvSpPr>
      <xdr:spPr>
        <a:xfrm>
          <a:off x="4116900" y="5716984"/>
          <a:ext cx="6590788" cy="640954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0" cap="none" spc="0">
              <a:ln w="0"/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Correlation between Ad Spend vs. Follower Growth/App Downloads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Spotify%20social%20media%20performace%20data%20%20(1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62e2f61ca50643f/Attachments/Desktop/excel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5.650069675925" createdVersion="8" refreshedVersion="8" minRefreshableVersion="3" recordCount="200" xr:uid="{55521720-0CBE-4B6F-BF86-D48174C4E117}">
  <cacheSource type="worksheet">
    <worksheetSource ref="A1:H201" sheet="Engagement Summary"/>
  </cacheSource>
  <cacheFields count="11">
    <cacheField name="Week_Start_Date" numFmtId="165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0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Net_Followers" numFmtId="0">
      <sharedItems containsSemiMixedTypes="0" containsString="0" containsNumber="1" containsInteger="1" minValue="250" maxValue="1397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6/3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9/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6/3/2024"/>
          <s v="Qtr1"/>
          <s v="Qtr2"/>
          <s v="Qtr3"/>
          <s v="Qtr4"/>
          <s v="&gt;9/9/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6/3/2024"/>
          <s v="2024"/>
          <s v="2025"/>
          <s v="&gt;9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4.903955092595" createdVersion="8" refreshedVersion="8" minRefreshableVersion="3" recordCount="300" xr:uid="{A010DC7D-34AA-4DD0-9BC8-5BCF3707DCA1}">
  <cacheSource type="worksheet">
    <worksheetSource ref="A1:P301" sheet="Posts" r:id="rId2"/>
  </cacheSource>
  <cacheFields count="16">
    <cacheField name="Post ID" numFmtId="0">
      <sharedItems/>
    </cacheField>
    <cacheField name="Platform" numFmtId="0">
      <sharedItems count="3">
        <s v="YouTube"/>
        <s v="Instagram"/>
        <s v="Twitter"/>
      </sharedItems>
    </cacheField>
    <cacheField name="Date" numFmtId="164">
      <sharedItems containsSemiMixedTypes="0" containsNonDate="0" containsDate="1" containsString="0" minDate="2025-05-04T00:00:00" maxDate="2026-02-28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166">
      <sharedItems containsSemiMixedTypes="0" containsString="0" containsNumber="1" containsInteger="1" minValue="1010" maxValue="4995"/>
    </cacheField>
    <cacheField name="Shares" numFmtId="167">
      <sharedItems containsSemiMixedTypes="0" containsString="0" containsNumber="1" containsInteger="1" minValue="100" maxValue="499"/>
    </cacheField>
    <cacheField name="Comments" numFmtId="167">
      <sharedItems containsSemiMixedTypes="0" containsString="0" containsNumber="1" containsInteger="1" minValue="51" maxValue="400"/>
    </cacheField>
    <cacheField name="Impressions" numFmtId="168">
      <sharedItems containsSemiMixedTypes="0" containsString="0" containsNumber="1" containsInteger="1" minValue="20368" maxValue="59888"/>
    </cacheField>
    <cacheField name="Reach" numFmtId="168">
      <sharedItems containsSemiMixedTypes="0" containsString="0" containsNumber="1" containsInteger="1" minValue="18091" maxValue="74761"/>
    </cacheField>
    <cacheField name="Clicks" numFmtId="167">
      <sharedItems containsSemiMixedTypes="0" containsString="0" containsNumber="1" containsInteger="1" minValue="80" maxValue="299"/>
    </cacheField>
    <cacheField name="Hashtags Used" numFmtId="0">
      <sharedItems/>
    </cacheField>
    <cacheField name="Top performer" numFmtId="0">
      <sharedItems containsString="0" containsBlank="1" containsNumber="1" containsInteger="1" minValue="1" maxValue="293"/>
    </cacheField>
    <cacheField name="Campaign_Name" numFmtId="0">
      <sharedItems/>
    </cacheField>
    <cacheField name="Engagement_Rate" numFmtId="0">
      <sharedItems containsString="0" containsBlank="1" containsNumber="1" minValue="3.08" maxValue="9.99"/>
    </cacheField>
    <cacheField name="Ad_Spend" numFmtId="168">
      <sharedItems containsString="0" containsBlank="1" containsNumber="1" containsInteger="1" minValue="5281" maxValue="27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5.672384027777" createdVersion="8" refreshedVersion="8" minRefreshableVersion="3" recordCount="300" xr:uid="{30BE782A-9622-4B3C-A963-54305FE76B0A}">
  <cacheSource type="worksheet">
    <worksheetSource ref="A8:O308" sheet="Task1"/>
  </cacheSource>
  <cacheFields count="15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5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 count="10">
        <s v="Discover fresh beats on Spotify!"/>
        <s v="Explore the latest podcasts now."/>
        <s v="New music just dropped. Hit play!"/>
        <s v="Wrapped is here! Relive your top tracks ðŸŽ§"/>
        <s v="Music that moves youâ€”only on Spotify."/>
        <s v="Whatâ€™s your vibe today? #SpotifyHits"/>
        <s v="Get into the groove with our new drop!"/>
        <s v="Top trending tracks updated daily!"/>
        <s v="From pop to podcasts, itâ€™s all here."/>
        <s v="Your weekend playlist is waiting."/>
      </sharedItems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.1" numFmtId="0">
      <sharedItems count="4">
        <s v="#SoundtrackOfLife"/>
        <s v="#DiscoverWeekly"/>
        <s v="#MusicForEveryone"/>
        <s v="#NowPlaying"/>
      </sharedItems>
    </cacheField>
    <cacheField name="Hashtags Used.2" numFmtId="0">
      <sharedItems/>
    </cacheField>
    <cacheField name="Campaign_Name" numFmtId="0">
      <sharedItems/>
    </cacheField>
    <cacheField name="Engagement_Rate" numFmtId="2">
      <sharedItems containsSemiMixedTypes="0" containsString="0" containsNumber="1" minValue="2.5027528414923199" maxValue="26.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5.891474074073" createdVersion="8" refreshedVersion="8" minRefreshableVersion="3" recordCount="483" xr:uid="{02DB1715-56CD-4E07-A35F-4140E653E9DA}">
  <cacheSource type="worksheet">
    <worksheetSource name="Table5"/>
  </cacheSource>
  <cacheFields count="14">
    <cacheField name="Platform" numFmtId="0">
      <sharedItems/>
    </cacheField>
    <cacheField name="Date" numFmtId="0">
      <sharedItems containsSemiMixedTypes="0" containsString="0" containsNumber="1" containsInteger="1" minValue="45292" maxValue="45839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Engagment_rate" numFmtId="2">
      <sharedItems containsSemiMixedTypes="0" containsString="0" containsNumber="1" minValue="2.5027528414923199" maxValue="26.064752360763155"/>
    </cacheField>
    <cacheField name="Campaign_Name" numFmtId="0">
      <sharedItems/>
    </cacheField>
    <cacheField name="Attribute" numFmtId="0">
      <sharedItems/>
    </cacheField>
    <cacheField name="Hashtags" numFmtId="0">
      <sharedItems count="5">
        <s v="#SoundtrackOfLife"/>
        <s v="#NowPlaying"/>
        <s v="#DiscoverWeekly"/>
        <s v="#MusicForEveryone"/>
        <s v="#SpotifyWrapp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skruti Zodape" refreshedDate="45915.96924791667" createdVersion="8" refreshedVersion="8" minRefreshableVersion="3" recordCount="300" xr:uid="{A3637D58-1F5B-493F-9DA6-7BE93A686796}">
  <cacheSource type="worksheet">
    <worksheetSource ref="F1:M301" sheet="Posts" r:id="rId2"/>
  </cacheSource>
  <cacheFields count="8"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/>
    </cacheField>
    <cacheField name="Campaign_Name" numFmtId="0">
      <sharedItems count="4">
        <s v="ChillVibes"/>
        <s v="IndieWave"/>
        <s v="Wrapped2024"/>
        <s v="SummerBea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6.872715393518" createdVersion="8" refreshedVersion="8" minRefreshableVersion="3" recordCount="300" xr:uid="{11BF26A0-279C-4E71-A342-DE94B31BE624}">
  <cacheSource type="worksheet">
    <worksheetSource name="Table1"/>
  </cacheSource>
  <cacheFields count="24">
    <cacheField name="Post ID" numFmtId="0">
      <sharedItems/>
    </cacheField>
    <cacheField name="Platform" numFmtId="0">
      <sharedItems/>
    </cacheField>
    <cacheField name="Date" numFmtId="165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.1" numFmtId="0">
      <sharedItems/>
    </cacheField>
    <cacheField name="Hashtags Used.2" numFmtId="0">
      <sharedItems/>
    </cacheField>
    <cacheField name="Campaign_Name" numFmtId="0">
      <sharedItems count="4">
        <s v="ChillVibes"/>
        <s v="IndieWave"/>
        <s v="SummerBeats"/>
        <s v="Wrapped2024"/>
      </sharedItems>
    </cacheField>
    <cacheField name="Engagement_Rate" numFmtId="2">
      <sharedItems containsSemiMixedTypes="0" containsString="0" containsNumber="1" minValue="2.5027528414923199" maxValue="26.064752360763155"/>
    </cacheField>
    <cacheField name="Net_Engagement" numFmtId="0">
      <sharedItems containsSemiMixedTypes="0" containsString="0" containsNumber="1" containsInteger="1" minValue="1341" maxValue="5728"/>
    </cacheField>
    <cacheField name="Total_Budget" numFmtId="0">
      <sharedItems containsSemiMixedTypes="0" containsString="0" containsNumber="1" containsInteger="1" minValue="160000" maxValue="225000"/>
    </cacheField>
    <cacheField name="ROI" numFmtId="169">
      <sharedItems containsSemiMixedTypes="0" containsString="0" containsNumber="1" minValue="6.7349999999999997E-3" maxValue="3.5087500000000001E-2"/>
    </cacheField>
    <cacheField name="Start_Date" numFmtId="165">
      <sharedItems containsSemiMixedTypes="0" containsNonDate="0" containsDate="1" containsString="0" minDate="2024-06-15T00:00:00" maxDate="2025-03-02T00:00:00"/>
    </cacheField>
    <cacheField name="End_Date" numFmtId="165">
      <sharedItems containsSemiMixedTypes="0" containsNonDate="0" containsDate="1" containsString="0" minDate="2024-07-15T00:00:00" maxDate="2025-04-01T00:00:00"/>
    </cacheField>
    <cacheField name="Column" numFmtId="0">
      <sharedItems/>
    </cacheField>
    <cacheField name="Average-Before" numFmtId="2">
      <sharedItems containsSemiMixedTypes="0" containsString="0" containsNumber="1" minValue="5.5797564422760448" maxValue="9.4300914496331583"/>
    </cacheField>
    <cacheField name="Average_During" numFmtId="2">
      <sharedItems containsSemiMixedTypes="0" containsString="0" containsNumber="1" minValue="0" maxValue="15.154941717403068"/>
    </cacheField>
    <cacheField name="Uplift" numFmtId="2">
      <sharedItems containsSemiMixedTypes="0" containsString="0" containsNumber="1" minValue="-100" maxValue="93.552654805475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6.900182986108" createdVersion="8" refreshedVersion="8" minRefreshableVersion="3" recordCount="200" xr:uid="{181939E4-2CFA-48ED-811B-7ED9BA90B3DA}">
  <cacheSource type="worksheet">
    <worksheetSource name="Table7"/>
  </cacheSource>
  <cacheFields count="10">
    <cacheField name="Week_Start_Date" numFmtId="165">
      <sharedItems containsSemiMixedTypes="0" containsNonDate="0" containsDate="1" containsString="0" minDate="2024-06-03T00:00:00" maxDate="2025-09-09T00:00:00" count="67">
        <d v="2025-06-02T00:00:00"/>
        <d v="2025-07-07T00:00:00"/>
        <d v="2024-06-10T00:00:00"/>
        <d v="2024-06-03T00:00:00"/>
        <d v="2024-08-05T00:00:00"/>
        <d v="2024-11-04T00:00:00"/>
        <d v="2025-01-27T00:00:00"/>
        <d v="2025-03-31T00:00:00"/>
        <d v="2024-11-25T00:00:00"/>
        <d v="2024-06-24T00:00:00"/>
        <d v="2025-07-14T00:00:00"/>
        <d v="2025-03-24T00:00:00"/>
        <d v="2024-10-14T00:00:00"/>
        <d v="2024-09-30T00:00:00"/>
        <d v="2025-03-17T00:00:00"/>
        <d v="2024-09-16T00:00:00"/>
        <d v="2024-08-12T00:00:00"/>
        <d v="2025-08-18T00:00:00"/>
        <d v="2024-07-22T00:00:00"/>
        <d v="2024-09-23T00:00:00"/>
        <d v="2024-12-09T00:00:00"/>
        <d v="2025-05-05T00:00:00"/>
        <d v="2024-12-16T00:00:00"/>
        <d v="2025-01-20T00:00:00"/>
        <d v="2025-01-06T00:00:00"/>
        <d v="2024-12-23T00:00:00"/>
        <d v="2025-01-13T00:00:00"/>
        <d v="2025-08-11T00:00:00"/>
        <d v="2025-05-12T00:00:00"/>
        <d v="2025-02-10T00:00:00"/>
        <d v="2025-08-04T00:00:00"/>
        <d v="2024-07-08T00:00:00"/>
        <d v="2024-07-15T00:00:00"/>
        <d v="2024-10-07T00:00:00"/>
        <d v="2025-06-23T00:00:00"/>
        <d v="2024-11-11T00:00:00"/>
        <d v="2024-06-17T00:00:00"/>
        <d v="2025-03-03T00:00:00"/>
        <d v="2024-10-21T00:00:00"/>
        <d v="2024-12-02T00:00:00"/>
        <d v="2025-05-19T00:00:00"/>
        <d v="2025-03-10T00:00:00"/>
        <d v="2024-09-09T00:00:00"/>
        <d v="2025-07-28T00:00:00"/>
        <d v="2025-04-21T00:00:00"/>
        <d v="2024-09-02T00:00:00"/>
        <d v="2025-05-26T00:00:00"/>
        <d v="2024-08-26T00:00:00"/>
        <d v="2025-04-07T00:00:00"/>
        <d v="2025-02-03T00:00:00"/>
        <d v="2025-04-14T00:00:00"/>
        <d v="2025-02-17T00:00:00"/>
        <d v="2025-02-24T00:00:00"/>
        <d v="2025-07-21T00:00:00"/>
        <d v="2024-11-18T00:00:00"/>
        <d v="2025-08-25T00:00:00"/>
        <d v="2025-06-16T00:00:00"/>
        <d v="2024-08-19T00:00:00"/>
        <d v="2025-06-30T00:00:00"/>
        <d v="2024-07-29T00:00:00"/>
        <d v="2024-07-01T00:00:00"/>
        <d v="2024-10-28T00:00:00"/>
        <d v="2025-09-01T00:00:00"/>
        <d v="2025-06-09T00:00:00"/>
        <d v="2025-09-08T00:00:00"/>
        <d v="2024-12-30T00:00:00"/>
        <d v="2025-04-28T00:00:00"/>
      </sharedItems>
      <fieldGroup par="9"/>
    </cacheField>
    <cacheField name="Platform" numFmtId="0">
      <sharedItems/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Net_Followers" numFmtId="0">
      <sharedItems containsSemiMixedTypes="0" containsString="0" containsNumber="1" containsInteger="1" minValue="250" maxValue="1397"/>
    </cacheField>
    <cacheField name="Corelation" numFmtId="0">
      <sharedItems containsSemiMixedTypes="0" containsString="0" containsNumber="1" minValue="-1.6915989818837348E-2" maxValue="-1.6915989818837348E-2" count="1">
        <n v="-1.6915989818837348E-2"/>
      </sharedItems>
    </cacheField>
    <cacheField name="Days (Week_Start_Date)" numFmtId="0" databaseField="0">
      <fieldGroup base="0">
        <rangePr groupBy="days" startDate="2024-06-03T00:00:00" endDate="2025-09-09T00:00:00"/>
        <groupItems count="368">
          <s v="&lt;6/3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  <n v="1334"/>
  </r>
  <r>
    <x v="0"/>
    <x v="1"/>
    <n v="995"/>
    <n v="86"/>
    <n v="227958"/>
    <n v="8.0500000000000007"/>
    <n v="22788"/>
    <n v="909"/>
  </r>
  <r>
    <x v="0"/>
    <x v="2"/>
    <n v="1472"/>
    <n v="296"/>
    <n v="370242"/>
    <n v="7.72"/>
    <n v="7810"/>
    <n v="1176"/>
  </r>
  <r>
    <x v="1"/>
    <x v="0"/>
    <n v="1018"/>
    <n v="90"/>
    <n v="92474"/>
    <n v="9.4"/>
    <n v="11966"/>
    <n v="928"/>
  </r>
  <r>
    <x v="1"/>
    <x v="1"/>
    <n v="1461"/>
    <n v="64"/>
    <n v="328902"/>
    <n v="9.02"/>
    <n v="26298"/>
    <n v="1397"/>
  </r>
  <r>
    <x v="1"/>
    <x v="2"/>
    <n v="545"/>
    <n v="93"/>
    <n v="391621"/>
    <n v="9.9600000000000009"/>
    <n v="22029"/>
    <n v="452"/>
  </r>
  <r>
    <x v="2"/>
    <x v="0"/>
    <n v="881"/>
    <n v="291"/>
    <n v="95885"/>
    <n v="5.29"/>
    <n v="12391"/>
    <n v="590"/>
  </r>
  <r>
    <x v="2"/>
    <x v="1"/>
    <n v="1414"/>
    <n v="131"/>
    <n v="245947"/>
    <n v="8.3000000000000007"/>
    <n v="14477"/>
    <n v="1283"/>
  </r>
  <r>
    <x v="2"/>
    <x v="2"/>
    <n v="1472"/>
    <n v="170"/>
    <n v="250428"/>
    <n v="4.66"/>
    <n v="25040"/>
    <n v="1302"/>
  </r>
  <r>
    <x v="3"/>
    <x v="0"/>
    <n v="809"/>
    <n v="197"/>
    <n v="87186"/>
    <n v="9.48"/>
    <n v="22619"/>
    <n v="612"/>
  </r>
  <r>
    <x v="3"/>
    <x v="1"/>
    <n v="1371"/>
    <n v="250"/>
    <n v="128620"/>
    <n v="7.11"/>
    <n v="12399"/>
    <n v="1121"/>
  </r>
  <r>
    <x v="3"/>
    <x v="2"/>
    <n v="844"/>
    <n v="144"/>
    <n v="126015"/>
    <n v="9.65"/>
    <n v="22456"/>
    <n v="700"/>
  </r>
  <r>
    <x v="4"/>
    <x v="0"/>
    <n v="786"/>
    <n v="72"/>
    <n v="178615"/>
    <n v="5.43"/>
    <n v="19328"/>
    <n v="714"/>
  </r>
  <r>
    <x v="4"/>
    <x v="1"/>
    <n v="845"/>
    <n v="250"/>
    <n v="218228"/>
    <n v="4.5199999999999996"/>
    <n v="21107"/>
    <n v="595"/>
  </r>
  <r>
    <x v="4"/>
    <x v="2"/>
    <n v="1218"/>
    <n v="101"/>
    <n v="300397"/>
    <n v="4.33"/>
    <n v="12277"/>
    <n v="1117"/>
  </r>
  <r>
    <x v="5"/>
    <x v="0"/>
    <n v="797"/>
    <n v="130"/>
    <n v="340121"/>
    <n v="8.52"/>
    <n v="11684"/>
    <n v="667"/>
  </r>
  <r>
    <x v="5"/>
    <x v="1"/>
    <n v="1471"/>
    <n v="100"/>
    <n v="76866"/>
    <n v="8.5500000000000007"/>
    <n v="14412"/>
    <n v="1371"/>
  </r>
  <r>
    <x v="5"/>
    <x v="2"/>
    <n v="1253"/>
    <n v="136"/>
    <n v="193131"/>
    <n v="7.99"/>
    <n v="15924"/>
    <n v="1117"/>
  </r>
  <r>
    <x v="6"/>
    <x v="0"/>
    <n v="616"/>
    <n v="257"/>
    <n v="169665"/>
    <n v="6.31"/>
    <n v="12390"/>
    <n v="359"/>
  </r>
  <r>
    <x v="6"/>
    <x v="1"/>
    <n v="1308"/>
    <n v="210"/>
    <n v="263729"/>
    <n v="8.5299999999999994"/>
    <n v="25742"/>
    <n v="1098"/>
  </r>
  <r>
    <x v="6"/>
    <x v="2"/>
    <n v="981"/>
    <n v="69"/>
    <n v="206921"/>
    <n v="8.42"/>
    <n v="10495"/>
    <n v="912"/>
  </r>
  <r>
    <x v="7"/>
    <x v="0"/>
    <n v="866"/>
    <n v="74"/>
    <n v="204121"/>
    <n v="9.34"/>
    <n v="7797"/>
    <n v="792"/>
  </r>
  <r>
    <x v="7"/>
    <x v="1"/>
    <n v="547"/>
    <n v="183"/>
    <n v="266350"/>
    <n v="5.65"/>
    <n v="15595"/>
    <n v="364"/>
  </r>
  <r>
    <x v="7"/>
    <x v="2"/>
    <n v="1241"/>
    <n v="116"/>
    <n v="380606"/>
    <n v="4.2"/>
    <n v="24617"/>
    <n v="1125"/>
  </r>
  <r>
    <x v="8"/>
    <x v="0"/>
    <n v="973"/>
    <n v="104"/>
    <n v="376358"/>
    <n v="3.87"/>
    <n v="9847"/>
    <n v="869"/>
  </r>
  <r>
    <x v="8"/>
    <x v="1"/>
    <n v="611"/>
    <n v="197"/>
    <n v="79423"/>
    <n v="5.82"/>
    <n v="13644"/>
    <n v="414"/>
  </r>
  <r>
    <x v="8"/>
    <x v="2"/>
    <n v="983"/>
    <n v="134"/>
    <n v="352178"/>
    <n v="3.55"/>
    <n v="11421"/>
    <n v="849"/>
  </r>
  <r>
    <x v="9"/>
    <x v="0"/>
    <n v="1449"/>
    <n v="96"/>
    <n v="200636"/>
    <n v="9.92"/>
    <n v="15613"/>
    <n v="1353"/>
  </r>
  <r>
    <x v="9"/>
    <x v="1"/>
    <n v="752"/>
    <n v="170"/>
    <n v="132756"/>
    <n v="8.17"/>
    <n v="23900"/>
    <n v="582"/>
  </r>
  <r>
    <x v="9"/>
    <x v="2"/>
    <n v="937"/>
    <n v="179"/>
    <n v="318098"/>
    <n v="5.3"/>
    <n v="5836"/>
    <n v="758"/>
  </r>
  <r>
    <x v="10"/>
    <x v="0"/>
    <n v="1060"/>
    <n v="83"/>
    <n v="68724"/>
    <n v="5.98"/>
    <n v="5624"/>
    <n v="977"/>
  </r>
  <r>
    <x v="10"/>
    <x v="1"/>
    <n v="1456"/>
    <n v="265"/>
    <n v="115505"/>
    <n v="7.49"/>
    <n v="10311"/>
    <n v="1191"/>
  </r>
  <r>
    <x v="10"/>
    <x v="2"/>
    <n v="1109"/>
    <n v="205"/>
    <n v="276722"/>
    <n v="9.3800000000000008"/>
    <n v="8274"/>
    <n v="904"/>
  </r>
  <r>
    <x v="11"/>
    <x v="0"/>
    <n v="1002"/>
    <n v="93"/>
    <n v="353538"/>
    <n v="5.84"/>
    <n v="6031"/>
    <n v="909"/>
  </r>
  <r>
    <x v="11"/>
    <x v="1"/>
    <n v="571"/>
    <n v="189"/>
    <n v="61445"/>
    <n v="5.41"/>
    <n v="27829"/>
    <n v="382"/>
  </r>
  <r>
    <x v="11"/>
    <x v="2"/>
    <n v="1240"/>
    <n v="231"/>
    <n v="165035"/>
    <n v="6.05"/>
    <n v="18267"/>
    <n v="1009"/>
  </r>
  <r>
    <x v="12"/>
    <x v="0"/>
    <n v="1154"/>
    <n v="132"/>
    <n v="194595"/>
    <n v="7.54"/>
    <n v="26624"/>
    <n v="1022"/>
  </r>
  <r>
    <x v="12"/>
    <x v="1"/>
    <n v="537"/>
    <n v="275"/>
    <n v="236238"/>
    <n v="5.87"/>
    <n v="26644"/>
    <n v="262"/>
  </r>
  <r>
    <x v="12"/>
    <x v="2"/>
    <n v="1456"/>
    <n v="290"/>
    <n v="271044"/>
    <n v="7.17"/>
    <n v="13051"/>
    <n v="1166"/>
  </r>
  <r>
    <x v="13"/>
    <x v="0"/>
    <n v="721"/>
    <n v="206"/>
    <n v="334887"/>
    <n v="6.05"/>
    <n v="14217"/>
    <n v="515"/>
  </r>
  <r>
    <x v="13"/>
    <x v="1"/>
    <n v="1098"/>
    <n v="142"/>
    <n v="359150"/>
    <n v="7.51"/>
    <n v="16385"/>
    <n v="956"/>
  </r>
  <r>
    <x v="13"/>
    <x v="2"/>
    <n v="1096"/>
    <n v="65"/>
    <n v="358295"/>
    <n v="7.66"/>
    <n v="24548"/>
    <n v="1031"/>
  </r>
  <r>
    <x v="14"/>
    <x v="0"/>
    <n v="912"/>
    <n v="275"/>
    <n v="368454"/>
    <n v="6.03"/>
    <n v="9195"/>
    <n v="637"/>
  </r>
  <r>
    <x v="14"/>
    <x v="1"/>
    <n v="1430"/>
    <n v="162"/>
    <n v="269082"/>
    <n v="3.4"/>
    <n v="18071"/>
    <n v="1268"/>
  </r>
  <r>
    <x v="14"/>
    <x v="2"/>
    <n v="854"/>
    <n v="129"/>
    <n v="310903"/>
    <n v="7.83"/>
    <n v="16875"/>
    <n v="725"/>
  </r>
  <r>
    <x v="15"/>
    <x v="0"/>
    <n v="681"/>
    <n v="210"/>
    <n v="248581"/>
    <n v="8.76"/>
    <n v="9567"/>
    <n v="471"/>
  </r>
  <r>
    <x v="15"/>
    <x v="1"/>
    <n v="1373"/>
    <n v="82"/>
    <n v="371015"/>
    <n v="9.52"/>
    <n v="20306"/>
    <n v="1291"/>
  </r>
  <r>
    <x v="15"/>
    <x v="2"/>
    <n v="685"/>
    <n v="285"/>
    <n v="177452"/>
    <n v="3.36"/>
    <n v="21134"/>
    <n v="400"/>
  </r>
  <r>
    <x v="16"/>
    <x v="0"/>
    <n v="1290"/>
    <n v="177"/>
    <n v="80745"/>
    <n v="9.2200000000000006"/>
    <n v="26872"/>
    <n v="1113"/>
  </r>
  <r>
    <x v="16"/>
    <x v="1"/>
    <n v="1437"/>
    <n v="239"/>
    <n v="362441"/>
    <n v="5.57"/>
    <n v="10253"/>
    <n v="1198"/>
  </r>
  <r>
    <x v="16"/>
    <x v="2"/>
    <n v="769"/>
    <n v="295"/>
    <n v="344771"/>
    <n v="8.06"/>
    <n v="23963"/>
    <n v="474"/>
  </r>
  <r>
    <x v="17"/>
    <x v="0"/>
    <n v="1416"/>
    <n v="284"/>
    <n v="374952"/>
    <n v="3.45"/>
    <n v="11335"/>
    <n v="1132"/>
  </r>
  <r>
    <x v="17"/>
    <x v="1"/>
    <n v="998"/>
    <n v="154"/>
    <n v="179781"/>
    <n v="9.58"/>
    <n v="12115"/>
    <n v="844"/>
  </r>
  <r>
    <x v="17"/>
    <x v="2"/>
    <n v="1421"/>
    <n v="246"/>
    <n v="358581"/>
    <n v="8.8800000000000008"/>
    <n v="24358"/>
    <n v="1175"/>
  </r>
  <r>
    <x v="18"/>
    <x v="0"/>
    <n v="764"/>
    <n v="205"/>
    <n v="319294"/>
    <n v="6.23"/>
    <n v="12181"/>
    <n v="559"/>
  </r>
  <r>
    <x v="18"/>
    <x v="1"/>
    <n v="678"/>
    <n v="124"/>
    <n v="192022"/>
    <n v="8.4499999999999993"/>
    <n v="17729"/>
    <n v="554"/>
  </r>
  <r>
    <x v="18"/>
    <x v="2"/>
    <n v="1328"/>
    <n v="103"/>
    <n v="151462"/>
    <n v="8.4"/>
    <n v="10881"/>
    <n v="1225"/>
  </r>
  <r>
    <x v="19"/>
    <x v="0"/>
    <n v="1161"/>
    <n v="269"/>
    <n v="188193"/>
    <n v="7.34"/>
    <n v="18576"/>
    <n v="892"/>
  </r>
  <r>
    <x v="19"/>
    <x v="1"/>
    <n v="588"/>
    <n v="52"/>
    <n v="292040"/>
    <n v="8.14"/>
    <n v="9383"/>
    <n v="536"/>
  </r>
  <r>
    <x v="19"/>
    <x v="2"/>
    <n v="1457"/>
    <n v="215"/>
    <n v="325325"/>
    <n v="9.58"/>
    <n v="14178"/>
    <n v="1242"/>
  </r>
  <r>
    <x v="20"/>
    <x v="0"/>
    <n v="1190"/>
    <n v="242"/>
    <n v="86849"/>
    <n v="8.06"/>
    <n v="21254"/>
    <n v="948"/>
  </r>
  <r>
    <x v="20"/>
    <x v="1"/>
    <n v="886"/>
    <n v="124"/>
    <n v="141161"/>
    <n v="8.19"/>
    <n v="14215"/>
    <n v="762"/>
  </r>
  <r>
    <x v="20"/>
    <x v="2"/>
    <n v="1237"/>
    <n v="155"/>
    <n v="149916"/>
    <n v="4.4800000000000004"/>
    <n v="16921"/>
    <n v="1082"/>
  </r>
  <r>
    <x v="21"/>
    <x v="0"/>
    <n v="1435"/>
    <n v="261"/>
    <n v="308533"/>
    <n v="4.5199999999999996"/>
    <n v="25130"/>
    <n v="1174"/>
  </r>
  <r>
    <x v="21"/>
    <x v="1"/>
    <n v="746"/>
    <n v="282"/>
    <n v="293894"/>
    <n v="5.42"/>
    <n v="25537"/>
    <n v="464"/>
  </r>
  <r>
    <x v="21"/>
    <x v="2"/>
    <n v="759"/>
    <n v="216"/>
    <n v="147656"/>
    <n v="4.08"/>
    <n v="24943"/>
    <n v="543"/>
  </r>
  <r>
    <x v="22"/>
    <x v="0"/>
    <n v="1437"/>
    <n v="235"/>
    <n v="326791"/>
    <n v="4.0599999999999996"/>
    <n v="14563"/>
    <n v="1202"/>
  </r>
  <r>
    <x v="22"/>
    <x v="1"/>
    <n v="1463"/>
    <n v="73"/>
    <n v="348877"/>
    <n v="9.91"/>
    <n v="26273"/>
    <n v="1390"/>
  </r>
  <r>
    <x v="22"/>
    <x v="2"/>
    <n v="1208"/>
    <n v="224"/>
    <n v="122730"/>
    <n v="8.7200000000000006"/>
    <n v="10858"/>
    <n v="984"/>
  </r>
  <r>
    <x v="23"/>
    <x v="0"/>
    <n v="1391"/>
    <n v="187"/>
    <n v="306508"/>
    <n v="8.3800000000000008"/>
    <n v="25038"/>
    <n v="1204"/>
  </r>
  <r>
    <x v="23"/>
    <x v="1"/>
    <n v="655"/>
    <n v="123"/>
    <n v="202472"/>
    <n v="7.56"/>
    <n v="9092"/>
    <n v="532"/>
  </r>
  <r>
    <x v="23"/>
    <x v="2"/>
    <n v="1148"/>
    <n v="90"/>
    <n v="227249"/>
    <n v="7.24"/>
    <n v="17662"/>
    <n v="1058"/>
  </r>
  <r>
    <x v="24"/>
    <x v="0"/>
    <n v="946"/>
    <n v="270"/>
    <n v="246567"/>
    <n v="4.53"/>
    <n v="5924"/>
    <n v="676"/>
  </r>
  <r>
    <x v="24"/>
    <x v="1"/>
    <n v="791"/>
    <n v="214"/>
    <n v="114738"/>
    <n v="6.62"/>
    <n v="25347"/>
    <n v="577"/>
  </r>
  <r>
    <x v="24"/>
    <x v="2"/>
    <n v="793"/>
    <n v="111"/>
    <n v="333500"/>
    <n v="6.36"/>
    <n v="8910"/>
    <n v="682"/>
  </r>
  <r>
    <x v="25"/>
    <x v="0"/>
    <n v="663"/>
    <n v="213"/>
    <n v="352677"/>
    <n v="9"/>
    <n v="20438"/>
    <n v="450"/>
  </r>
  <r>
    <x v="25"/>
    <x v="1"/>
    <n v="954"/>
    <n v="271"/>
    <n v="160936"/>
    <n v="8.83"/>
    <n v="8760"/>
    <n v="683"/>
  </r>
  <r>
    <x v="25"/>
    <x v="2"/>
    <n v="1313"/>
    <n v="159"/>
    <n v="197183"/>
    <n v="9.7100000000000009"/>
    <n v="6625"/>
    <n v="1154"/>
  </r>
  <r>
    <x v="26"/>
    <x v="0"/>
    <n v="895"/>
    <n v="87"/>
    <n v="171271"/>
    <n v="6.68"/>
    <n v="23329"/>
    <n v="808"/>
  </r>
  <r>
    <x v="26"/>
    <x v="1"/>
    <n v="1027"/>
    <n v="156"/>
    <n v="111293"/>
    <n v="5.51"/>
    <n v="7299"/>
    <n v="871"/>
  </r>
  <r>
    <x v="26"/>
    <x v="2"/>
    <n v="990"/>
    <n v="286"/>
    <n v="351493"/>
    <n v="7.97"/>
    <n v="14496"/>
    <n v="704"/>
  </r>
  <r>
    <x v="27"/>
    <x v="0"/>
    <n v="875"/>
    <n v="264"/>
    <n v="345631"/>
    <n v="9.18"/>
    <n v="25703"/>
    <n v="611"/>
  </r>
  <r>
    <x v="27"/>
    <x v="1"/>
    <n v="599"/>
    <n v="194"/>
    <n v="105622"/>
    <n v="6.44"/>
    <n v="15108"/>
    <n v="405"/>
  </r>
  <r>
    <x v="27"/>
    <x v="2"/>
    <n v="630"/>
    <n v="248"/>
    <n v="119054"/>
    <n v="5.0199999999999996"/>
    <n v="18867"/>
    <n v="382"/>
  </r>
  <r>
    <x v="28"/>
    <x v="0"/>
    <n v="1350"/>
    <n v="233"/>
    <n v="171670"/>
    <n v="4.53"/>
    <n v="17574"/>
    <n v="1117"/>
  </r>
  <r>
    <x v="28"/>
    <x v="1"/>
    <n v="632"/>
    <n v="155"/>
    <n v="170432"/>
    <n v="9.17"/>
    <n v="12840"/>
    <n v="477"/>
  </r>
  <r>
    <x v="28"/>
    <x v="2"/>
    <n v="1182"/>
    <n v="83"/>
    <n v="140300"/>
    <n v="3.27"/>
    <n v="21079"/>
    <n v="1099"/>
  </r>
  <r>
    <x v="29"/>
    <x v="0"/>
    <n v="661"/>
    <n v="94"/>
    <n v="116538"/>
    <n v="5.31"/>
    <n v="23486"/>
    <n v="567"/>
  </r>
  <r>
    <x v="29"/>
    <x v="1"/>
    <n v="1360"/>
    <n v="227"/>
    <n v="176902"/>
    <n v="6.03"/>
    <n v="5960"/>
    <n v="1133"/>
  </r>
  <r>
    <x v="29"/>
    <x v="2"/>
    <n v="935"/>
    <n v="85"/>
    <n v="326821"/>
    <n v="8.89"/>
    <n v="13301"/>
    <n v="850"/>
  </r>
  <r>
    <x v="30"/>
    <x v="0"/>
    <n v="664"/>
    <n v="251"/>
    <n v="240598"/>
    <n v="4.79"/>
    <n v="10563"/>
    <n v="413"/>
  </r>
  <r>
    <x v="30"/>
    <x v="1"/>
    <n v="1490"/>
    <n v="103"/>
    <n v="373274"/>
    <n v="4.8"/>
    <n v="19949"/>
    <n v="1387"/>
  </r>
  <r>
    <x v="30"/>
    <x v="2"/>
    <n v="601"/>
    <n v="64"/>
    <n v="123272"/>
    <n v="4.07"/>
    <n v="14273"/>
    <n v="537"/>
  </r>
  <r>
    <x v="31"/>
    <x v="0"/>
    <n v="613"/>
    <n v="170"/>
    <n v="139266"/>
    <n v="6.06"/>
    <n v="9247"/>
    <n v="443"/>
  </r>
  <r>
    <x v="31"/>
    <x v="1"/>
    <n v="1340"/>
    <n v="57"/>
    <n v="155927"/>
    <n v="7.79"/>
    <n v="11972"/>
    <n v="1283"/>
  </r>
  <r>
    <x v="31"/>
    <x v="2"/>
    <n v="953"/>
    <n v="228"/>
    <n v="258398"/>
    <n v="9.0500000000000007"/>
    <n v="13314"/>
    <n v="725"/>
  </r>
  <r>
    <x v="32"/>
    <x v="0"/>
    <n v="532"/>
    <n v="65"/>
    <n v="338561"/>
    <n v="3.5"/>
    <n v="14749"/>
    <n v="467"/>
  </r>
  <r>
    <x v="32"/>
    <x v="1"/>
    <n v="1414"/>
    <n v="60"/>
    <n v="341856"/>
    <n v="8.76"/>
    <n v="6868"/>
    <n v="1354"/>
  </r>
  <r>
    <x v="32"/>
    <x v="2"/>
    <n v="685"/>
    <n v="165"/>
    <n v="175860"/>
    <n v="6.26"/>
    <n v="6027"/>
    <n v="520"/>
  </r>
  <r>
    <x v="33"/>
    <x v="0"/>
    <n v="601"/>
    <n v="159"/>
    <n v="327722"/>
    <n v="3.33"/>
    <n v="25267"/>
    <n v="442"/>
  </r>
  <r>
    <x v="33"/>
    <x v="1"/>
    <n v="841"/>
    <n v="295"/>
    <n v="271638"/>
    <n v="9.15"/>
    <n v="5900"/>
    <n v="546"/>
  </r>
  <r>
    <x v="33"/>
    <x v="2"/>
    <n v="1105"/>
    <n v="261"/>
    <n v="333851"/>
    <n v="6.03"/>
    <n v="11181"/>
    <n v="844"/>
  </r>
  <r>
    <x v="34"/>
    <x v="0"/>
    <n v="566"/>
    <n v="225"/>
    <n v="368984"/>
    <n v="9.82"/>
    <n v="9592"/>
    <n v="341"/>
  </r>
  <r>
    <x v="34"/>
    <x v="1"/>
    <n v="1149"/>
    <n v="280"/>
    <n v="167310"/>
    <n v="3.7"/>
    <n v="5291"/>
    <n v="869"/>
  </r>
  <r>
    <x v="34"/>
    <x v="2"/>
    <n v="819"/>
    <n v="101"/>
    <n v="194811"/>
    <n v="3.35"/>
    <n v="22244"/>
    <n v="718"/>
  </r>
  <r>
    <x v="35"/>
    <x v="0"/>
    <n v="795"/>
    <n v="60"/>
    <n v="314982"/>
    <n v="7.31"/>
    <n v="6824"/>
    <n v="735"/>
  </r>
  <r>
    <x v="35"/>
    <x v="1"/>
    <n v="681"/>
    <n v="158"/>
    <n v="75960"/>
    <n v="3.13"/>
    <n v="24112"/>
    <n v="523"/>
  </r>
  <r>
    <x v="35"/>
    <x v="2"/>
    <n v="534"/>
    <n v="112"/>
    <n v="360759"/>
    <n v="4.8899999999999997"/>
    <n v="25478"/>
    <n v="422"/>
  </r>
  <r>
    <x v="36"/>
    <x v="0"/>
    <n v="1066"/>
    <n v="151"/>
    <n v="297090"/>
    <n v="8.6300000000000008"/>
    <n v="11235"/>
    <n v="915"/>
  </r>
  <r>
    <x v="36"/>
    <x v="1"/>
    <n v="1270"/>
    <n v="162"/>
    <n v="92040"/>
    <n v="8.0299999999999994"/>
    <n v="6120"/>
    <n v="1108"/>
  </r>
  <r>
    <x v="36"/>
    <x v="2"/>
    <n v="536"/>
    <n v="198"/>
    <n v="174610"/>
    <n v="7.85"/>
    <n v="20572"/>
    <n v="338"/>
  </r>
  <r>
    <x v="37"/>
    <x v="0"/>
    <n v="819"/>
    <n v="95"/>
    <n v="177376"/>
    <n v="6.12"/>
    <n v="14975"/>
    <n v="724"/>
  </r>
  <r>
    <x v="37"/>
    <x v="1"/>
    <n v="681"/>
    <n v="218"/>
    <n v="198882"/>
    <n v="7.16"/>
    <n v="22234"/>
    <n v="463"/>
  </r>
  <r>
    <x v="37"/>
    <x v="2"/>
    <n v="646"/>
    <n v="290"/>
    <n v="336383"/>
    <n v="7.04"/>
    <n v="6532"/>
    <n v="356"/>
  </r>
  <r>
    <x v="38"/>
    <x v="0"/>
    <n v="645"/>
    <n v="267"/>
    <n v="346890"/>
    <n v="3.71"/>
    <n v="24858"/>
    <n v="378"/>
  </r>
  <r>
    <x v="38"/>
    <x v="1"/>
    <n v="886"/>
    <n v="250"/>
    <n v="168170"/>
    <n v="4.12"/>
    <n v="13883"/>
    <n v="636"/>
  </r>
  <r>
    <x v="38"/>
    <x v="2"/>
    <n v="978"/>
    <n v="279"/>
    <n v="368872"/>
    <n v="6.82"/>
    <n v="18654"/>
    <n v="699"/>
  </r>
  <r>
    <x v="39"/>
    <x v="0"/>
    <n v="1444"/>
    <n v="165"/>
    <n v="116436"/>
    <n v="8.2200000000000006"/>
    <n v="25234"/>
    <n v="1279"/>
  </r>
  <r>
    <x v="39"/>
    <x v="1"/>
    <n v="1234"/>
    <n v="228"/>
    <n v="127502"/>
    <n v="7.71"/>
    <n v="6772"/>
    <n v="1006"/>
  </r>
  <r>
    <x v="39"/>
    <x v="2"/>
    <n v="665"/>
    <n v="187"/>
    <n v="274567"/>
    <n v="7.39"/>
    <n v="22428"/>
    <n v="478"/>
  </r>
  <r>
    <x v="40"/>
    <x v="0"/>
    <n v="631"/>
    <n v="86"/>
    <n v="295090"/>
    <n v="7.89"/>
    <n v="11911"/>
    <n v="545"/>
  </r>
  <r>
    <x v="40"/>
    <x v="1"/>
    <n v="1159"/>
    <n v="154"/>
    <n v="194994"/>
    <n v="6.39"/>
    <n v="21900"/>
    <n v="1005"/>
  </r>
  <r>
    <x v="40"/>
    <x v="2"/>
    <n v="950"/>
    <n v="185"/>
    <n v="340750"/>
    <n v="6.77"/>
    <n v="25542"/>
    <n v="765"/>
  </r>
  <r>
    <x v="41"/>
    <x v="0"/>
    <n v="693"/>
    <n v="129"/>
    <n v="296031"/>
    <n v="3.41"/>
    <n v="7140"/>
    <n v="564"/>
  </r>
  <r>
    <x v="41"/>
    <x v="1"/>
    <n v="576"/>
    <n v="80"/>
    <n v="345688"/>
    <n v="4.1100000000000003"/>
    <n v="20474"/>
    <n v="496"/>
  </r>
  <r>
    <x v="41"/>
    <x v="2"/>
    <n v="1274"/>
    <n v="146"/>
    <n v="263488"/>
    <n v="9.58"/>
    <n v="8698"/>
    <n v="1128"/>
  </r>
  <r>
    <x v="42"/>
    <x v="0"/>
    <n v="818"/>
    <n v="253"/>
    <n v="184911"/>
    <n v="3.39"/>
    <n v="10402"/>
    <n v="565"/>
  </r>
  <r>
    <x v="42"/>
    <x v="1"/>
    <n v="975"/>
    <n v="162"/>
    <n v="124497"/>
    <n v="9.58"/>
    <n v="26618"/>
    <n v="813"/>
  </r>
  <r>
    <x v="42"/>
    <x v="2"/>
    <n v="1398"/>
    <n v="97"/>
    <n v="397607"/>
    <n v="5.09"/>
    <n v="7975"/>
    <n v="1301"/>
  </r>
  <r>
    <x v="43"/>
    <x v="0"/>
    <n v="591"/>
    <n v="155"/>
    <n v="138521"/>
    <n v="7.85"/>
    <n v="19054"/>
    <n v="436"/>
  </r>
  <r>
    <x v="43"/>
    <x v="1"/>
    <n v="1232"/>
    <n v="254"/>
    <n v="107718"/>
    <n v="9.7100000000000009"/>
    <n v="13740"/>
    <n v="978"/>
  </r>
  <r>
    <x v="43"/>
    <x v="2"/>
    <n v="1425"/>
    <n v="58"/>
    <n v="202234"/>
    <n v="6.67"/>
    <n v="18442"/>
    <n v="1367"/>
  </r>
  <r>
    <x v="44"/>
    <x v="0"/>
    <n v="1417"/>
    <n v="80"/>
    <n v="340987"/>
    <n v="6.13"/>
    <n v="10104"/>
    <n v="1337"/>
  </r>
  <r>
    <x v="44"/>
    <x v="1"/>
    <n v="1222"/>
    <n v="208"/>
    <n v="340098"/>
    <n v="7.34"/>
    <n v="21771"/>
    <n v="1014"/>
  </r>
  <r>
    <x v="44"/>
    <x v="2"/>
    <n v="1071"/>
    <n v="131"/>
    <n v="254727"/>
    <n v="6.87"/>
    <n v="22191"/>
    <n v="940"/>
  </r>
  <r>
    <x v="45"/>
    <x v="0"/>
    <n v="772"/>
    <n v="82"/>
    <n v="345659"/>
    <n v="3.52"/>
    <n v="27753"/>
    <n v="690"/>
  </r>
  <r>
    <x v="45"/>
    <x v="1"/>
    <n v="1472"/>
    <n v="137"/>
    <n v="213950"/>
    <n v="6.96"/>
    <n v="23736"/>
    <n v="1335"/>
  </r>
  <r>
    <x v="45"/>
    <x v="2"/>
    <n v="1472"/>
    <n v="281"/>
    <n v="258115"/>
    <n v="7.23"/>
    <n v="27393"/>
    <n v="1191"/>
  </r>
  <r>
    <x v="46"/>
    <x v="0"/>
    <n v="585"/>
    <n v="232"/>
    <n v="321258"/>
    <n v="7.42"/>
    <n v="10343"/>
    <n v="353"/>
  </r>
  <r>
    <x v="46"/>
    <x v="1"/>
    <n v="747"/>
    <n v="261"/>
    <n v="338650"/>
    <n v="7.73"/>
    <n v="25259"/>
    <n v="486"/>
  </r>
  <r>
    <x v="46"/>
    <x v="2"/>
    <n v="1113"/>
    <n v="224"/>
    <n v="272989"/>
    <n v="5.13"/>
    <n v="24827"/>
    <n v="889"/>
  </r>
  <r>
    <x v="47"/>
    <x v="0"/>
    <n v="1100"/>
    <n v="117"/>
    <n v="260204"/>
    <n v="4.4000000000000004"/>
    <n v="11908"/>
    <n v="983"/>
  </r>
  <r>
    <x v="47"/>
    <x v="1"/>
    <n v="751"/>
    <n v="170"/>
    <n v="283278"/>
    <n v="3.49"/>
    <n v="11005"/>
    <n v="581"/>
  </r>
  <r>
    <x v="47"/>
    <x v="2"/>
    <n v="864"/>
    <n v="50"/>
    <n v="277445"/>
    <n v="3.57"/>
    <n v="26333"/>
    <n v="814"/>
  </r>
  <r>
    <x v="48"/>
    <x v="0"/>
    <n v="1146"/>
    <n v="227"/>
    <n v="353781"/>
    <n v="6.41"/>
    <n v="5495"/>
    <n v="919"/>
  </r>
  <r>
    <x v="48"/>
    <x v="1"/>
    <n v="883"/>
    <n v="207"/>
    <n v="265019"/>
    <n v="6.04"/>
    <n v="15655"/>
    <n v="676"/>
  </r>
  <r>
    <x v="48"/>
    <x v="2"/>
    <n v="622"/>
    <n v="163"/>
    <n v="231925"/>
    <n v="9.18"/>
    <n v="13763"/>
    <n v="459"/>
  </r>
  <r>
    <x v="49"/>
    <x v="0"/>
    <n v="837"/>
    <n v="261"/>
    <n v="366149"/>
    <n v="6.54"/>
    <n v="26073"/>
    <n v="576"/>
  </r>
  <r>
    <x v="49"/>
    <x v="1"/>
    <n v="544"/>
    <n v="97"/>
    <n v="168375"/>
    <n v="8.66"/>
    <n v="12774"/>
    <n v="447"/>
  </r>
  <r>
    <x v="49"/>
    <x v="2"/>
    <n v="624"/>
    <n v="247"/>
    <n v="252763"/>
    <n v="3.89"/>
    <n v="19000"/>
    <n v="377"/>
  </r>
  <r>
    <x v="50"/>
    <x v="0"/>
    <n v="1073"/>
    <n v="141"/>
    <n v="118393"/>
    <n v="7.95"/>
    <n v="14051"/>
    <n v="932"/>
  </r>
  <r>
    <x v="50"/>
    <x v="1"/>
    <n v="1430"/>
    <n v="74"/>
    <n v="327012"/>
    <n v="6.66"/>
    <n v="27782"/>
    <n v="1356"/>
  </r>
  <r>
    <x v="50"/>
    <x v="2"/>
    <n v="1358"/>
    <n v="77"/>
    <n v="169688"/>
    <n v="5.25"/>
    <n v="7859"/>
    <n v="1281"/>
  </r>
  <r>
    <x v="51"/>
    <x v="0"/>
    <n v="1242"/>
    <n v="201"/>
    <n v="271935"/>
    <n v="5.07"/>
    <n v="15773"/>
    <n v="1041"/>
  </r>
  <r>
    <x v="51"/>
    <x v="1"/>
    <n v="1389"/>
    <n v="205"/>
    <n v="315981"/>
    <n v="7.62"/>
    <n v="20595"/>
    <n v="1184"/>
  </r>
  <r>
    <x v="51"/>
    <x v="2"/>
    <n v="826"/>
    <n v="142"/>
    <n v="341016"/>
    <n v="7.44"/>
    <n v="12031"/>
    <n v="684"/>
  </r>
  <r>
    <x v="52"/>
    <x v="0"/>
    <n v="618"/>
    <n v="264"/>
    <n v="285164"/>
    <n v="4.8600000000000003"/>
    <n v="15128"/>
    <n v="354"/>
  </r>
  <r>
    <x v="52"/>
    <x v="1"/>
    <n v="1419"/>
    <n v="293"/>
    <n v="116632"/>
    <n v="6.93"/>
    <n v="11826"/>
    <n v="1126"/>
  </r>
  <r>
    <x v="52"/>
    <x v="2"/>
    <n v="637"/>
    <n v="68"/>
    <n v="115694"/>
    <n v="9.99"/>
    <n v="12562"/>
    <n v="569"/>
  </r>
  <r>
    <x v="53"/>
    <x v="0"/>
    <n v="917"/>
    <n v="187"/>
    <n v="64444"/>
    <n v="5.22"/>
    <n v="13013"/>
    <n v="730"/>
  </r>
  <r>
    <x v="53"/>
    <x v="1"/>
    <n v="810"/>
    <n v="232"/>
    <n v="362559"/>
    <n v="5.17"/>
    <n v="12937"/>
    <n v="578"/>
  </r>
  <r>
    <x v="53"/>
    <x v="2"/>
    <n v="1183"/>
    <n v="248"/>
    <n v="226881"/>
    <n v="5.17"/>
    <n v="14534"/>
    <n v="935"/>
  </r>
  <r>
    <x v="54"/>
    <x v="0"/>
    <n v="765"/>
    <n v="67"/>
    <n v="283537"/>
    <n v="6.18"/>
    <n v="8182"/>
    <n v="698"/>
  </r>
  <r>
    <x v="54"/>
    <x v="1"/>
    <n v="540"/>
    <n v="215"/>
    <n v="62837"/>
    <n v="5.3"/>
    <n v="10615"/>
    <n v="325"/>
  </r>
  <r>
    <x v="54"/>
    <x v="2"/>
    <n v="1145"/>
    <n v="151"/>
    <n v="182759"/>
    <n v="5.99"/>
    <n v="20109"/>
    <n v="994"/>
  </r>
  <r>
    <x v="55"/>
    <x v="0"/>
    <n v="564"/>
    <n v="244"/>
    <n v="279405"/>
    <n v="8.43"/>
    <n v="26024"/>
    <n v="320"/>
  </r>
  <r>
    <x v="55"/>
    <x v="1"/>
    <n v="668"/>
    <n v="124"/>
    <n v="257485"/>
    <n v="7.55"/>
    <n v="26730"/>
    <n v="544"/>
  </r>
  <r>
    <x v="55"/>
    <x v="2"/>
    <n v="761"/>
    <n v="241"/>
    <n v="154977"/>
    <n v="5.63"/>
    <n v="10563"/>
    <n v="520"/>
  </r>
  <r>
    <x v="56"/>
    <x v="0"/>
    <n v="593"/>
    <n v="108"/>
    <n v="216500"/>
    <n v="4.71"/>
    <n v="27575"/>
    <n v="485"/>
  </r>
  <r>
    <x v="56"/>
    <x v="1"/>
    <n v="1349"/>
    <n v="115"/>
    <n v="102102"/>
    <n v="5.28"/>
    <n v="14479"/>
    <n v="1234"/>
  </r>
  <r>
    <x v="56"/>
    <x v="2"/>
    <n v="693"/>
    <n v="97"/>
    <n v="92025"/>
    <n v="5.95"/>
    <n v="15915"/>
    <n v="596"/>
  </r>
  <r>
    <x v="57"/>
    <x v="0"/>
    <n v="974"/>
    <n v="143"/>
    <n v="247965"/>
    <n v="9.98"/>
    <n v="12767"/>
    <n v="831"/>
  </r>
  <r>
    <x v="57"/>
    <x v="1"/>
    <n v="1155"/>
    <n v="122"/>
    <n v="387352"/>
    <n v="9.93"/>
    <n v="12170"/>
    <n v="1033"/>
  </r>
  <r>
    <x v="57"/>
    <x v="2"/>
    <n v="1051"/>
    <n v="246"/>
    <n v="253985"/>
    <n v="9.08"/>
    <n v="7245"/>
    <n v="805"/>
  </r>
  <r>
    <x v="58"/>
    <x v="0"/>
    <n v="1457"/>
    <n v="183"/>
    <n v="129640"/>
    <n v="7.98"/>
    <n v="12985"/>
    <n v="1274"/>
  </r>
  <r>
    <x v="58"/>
    <x v="1"/>
    <n v="670"/>
    <n v="242"/>
    <n v="281913"/>
    <n v="9.6199999999999992"/>
    <n v="16377"/>
    <n v="428"/>
  </r>
  <r>
    <x v="58"/>
    <x v="2"/>
    <n v="1111"/>
    <n v="159"/>
    <n v="360770"/>
    <n v="8.7100000000000009"/>
    <n v="11453"/>
    <n v="952"/>
  </r>
  <r>
    <x v="59"/>
    <x v="0"/>
    <n v="1197"/>
    <n v="246"/>
    <n v="127273"/>
    <n v="6.69"/>
    <n v="12323"/>
    <n v="951"/>
  </r>
  <r>
    <x v="59"/>
    <x v="1"/>
    <n v="754"/>
    <n v="150"/>
    <n v="189622"/>
    <n v="4.25"/>
    <n v="11911"/>
    <n v="604"/>
  </r>
  <r>
    <x v="59"/>
    <x v="2"/>
    <n v="1246"/>
    <n v="107"/>
    <n v="350949"/>
    <n v="4.9800000000000004"/>
    <n v="27809"/>
    <n v="1139"/>
  </r>
  <r>
    <x v="60"/>
    <x v="0"/>
    <n v="780"/>
    <n v="213"/>
    <n v="121431"/>
    <n v="4.97"/>
    <n v="21464"/>
    <n v="567"/>
  </r>
  <r>
    <x v="60"/>
    <x v="1"/>
    <n v="1425"/>
    <n v="143"/>
    <n v="116742"/>
    <n v="3.71"/>
    <n v="27126"/>
    <n v="1282"/>
  </r>
  <r>
    <x v="60"/>
    <x v="2"/>
    <n v="1490"/>
    <n v="103"/>
    <n v="81184"/>
    <n v="7.79"/>
    <n v="10681"/>
    <n v="1387"/>
  </r>
  <r>
    <x v="61"/>
    <x v="0"/>
    <n v="949"/>
    <n v="282"/>
    <n v="87126"/>
    <n v="4.96"/>
    <n v="5413"/>
    <n v="667"/>
  </r>
  <r>
    <x v="61"/>
    <x v="1"/>
    <n v="640"/>
    <n v="141"/>
    <n v="267546"/>
    <n v="8.58"/>
    <n v="25058"/>
    <n v="499"/>
  </r>
  <r>
    <x v="61"/>
    <x v="2"/>
    <n v="616"/>
    <n v="93"/>
    <n v="133082"/>
    <n v="8.51"/>
    <n v="18303"/>
    <n v="523"/>
  </r>
  <r>
    <x v="62"/>
    <x v="0"/>
    <n v="1080"/>
    <n v="184"/>
    <n v="340557"/>
    <n v="5.41"/>
    <n v="5526"/>
    <n v="896"/>
  </r>
  <r>
    <x v="62"/>
    <x v="1"/>
    <n v="938"/>
    <n v="236"/>
    <n v="116472"/>
    <n v="8.7200000000000006"/>
    <n v="17460"/>
    <n v="702"/>
  </r>
  <r>
    <x v="62"/>
    <x v="2"/>
    <n v="1007"/>
    <n v="258"/>
    <n v="113412"/>
    <n v="7.71"/>
    <n v="14475"/>
    <n v="749"/>
  </r>
  <r>
    <x v="63"/>
    <x v="0"/>
    <n v="541"/>
    <n v="208"/>
    <n v="157547"/>
    <n v="8.35"/>
    <n v="20162"/>
    <n v="333"/>
  </r>
  <r>
    <x v="63"/>
    <x v="1"/>
    <n v="745"/>
    <n v="98"/>
    <n v="354816"/>
    <n v="4.03"/>
    <n v="17103"/>
    <n v="647"/>
  </r>
  <r>
    <x v="63"/>
    <x v="2"/>
    <n v="936"/>
    <n v="97"/>
    <n v="151799"/>
    <n v="9.3699999999999992"/>
    <n v="15461"/>
    <n v="839"/>
  </r>
  <r>
    <x v="64"/>
    <x v="0"/>
    <n v="1183"/>
    <n v="223"/>
    <n v="143811"/>
    <n v="6.07"/>
    <n v="22103"/>
    <n v="960"/>
  </r>
  <r>
    <x v="64"/>
    <x v="1"/>
    <n v="1413"/>
    <n v="245"/>
    <n v="296450"/>
    <n v="6.52"/>
    <n v="11625"/>
    <n v="1168"/>
  </r>
  <r>
    <x v="64"/>
    <x v="2"/>
    <n v="791"/>
    <n v="273"/>
    <n v="144049"/>
    <n v="3.08"/>
    <n v="5281"/>
    <n v="518"/>
  </r>
  <r>
    <x v="65"/>
    <x v="0"/>
    <n v="1052"/>
    <n v="180"/>
    <n v="272534"/>
    <n v="5.34"/>
    <n v="13424"/>
    <n v="872"/>
  </r>
  <r>
    <x v="65"/>
    <x v="1"/>
    <n v="572"/>
    <n v="270"/>
    <n v="82265"/>
    <n v="3.65"/>
    <n v="13140"/>
    <n v="302"/>
  </r>
  <r>
    <x v="65"/>
    <x v="2"/>
    <n v="503"/>
    <n v="253"/>
    <n v="313562"/>
    <n v="4.18"/>
    <n v="19538"/>
    <n v="250"/>
  </r>
  <r>
    <x v="66"/>
    <x v="0"/>
    <n v="1017"/>
    <n v="197"/>
    <n v="89918"/>
    <n v="3.91"/>
    <n v="7881"/>
    <n v="820"/>
  </r>
  <r>
    <x v="66"/>
    <x v="1"/>
    <n v="860"/>
    <n v="244"/>
    <n v="348686"/>
    <n v="5.12"/>
    <n v="11418"/>
    <n v="6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130"/>
    <x v="0"/>
    <d v="2025-09-10T00:00:00"/>
    <x v="0"/>
    <s v="Explore the latest podcasts now."/>
    <n v="1261"/>
    <n v="190"/>
    <n v="233"/>
    <n v="59888"/>
    <n v="51449"/>
    <n v="205"/>
    <s v="#DiscoverWeekly"/>
    <n v="1"/>
    <s v="IndieWave"/>
    <n v="9.99"/>
    <n v="12562"/>
  </r>
  <r>
    <s v="SP178"/>
    <x v="1"/>
    <d v="2025-10-28T00:00:00"/>
    <x v="1"/>
    <s v="From pop to podcasts, itâ€™s all here."/>
    <n v="3812"/>
    <n v="321"/>
    <n v="289"/>
    <n v="59838"/>
    <n v="36337"/>
    <n v="161"/>
    <s v="#NowPlaying"/>
    <n v="2"/>
    <s v="Wrapped2024"/>
    <n v="9.98"/>
    <n v="12767"/>
  </r>
  <r>
    <s v="SP181"/>
    <x v="2"/>
    <d v="2025-10-31T00:00:00"/>
    <x v="0"/>
    <s v="From pop to podcasts, itâ€™s all here."/>
    <n v="2191"/>
    <n v="288"/>
    <n v="83"/>
    <n v="59606"/>
    <n v="24765"/>
    <n v="281"/>
    <s v="#SoundtrackOfLife"/>
    <n v="3"/>
    <s v="IndieWave"/>
    <n v="9.9600000000000009"/>
    <n v="22029"/>
  </r>
  <r>
    <s v="SP098"/>
    <x v="2"/>
    <d v="2025-08-09T00:00:00"/>
    <x v="1"/>
    <s v="Get into the groove with our new drop!"/>
    <n v="4969"/>
    <n v="433"/>
    <n v="237"/>
    <n v="59552"/>
    <n v="23885"/>
    <n v="157"/>
    <s v="#DiscoverWeekly"/>
    <n v="4"/>
    <s v="ChillVibes"/>
    <n v="9.93"/>
    <n v="12170"/>
  </r>
  <r>
    <s v="SP197"/>
    <x v="0"/>
    <d v="2025-11-16T00:00:00"/>
    <x v="0"/>
    <s v="Top trending tracks updated daily!"/>
    <n v="1424"/>
    <n v="396"/>
    <n v="312"/>
    <n v="59517"/>
    <n v="46102"/>
    <n v="239"/>
    <s v="#DiscoverWeekly"/>
    <n v="5"/>
    <s v="IndieWave"/>
    <n v="9.92"/>
    <n v="23125"/>
  </r>
  <r>
    <s v="SP238"/>
    <x v="1"/>
    <d v="2025-12-27T00:00:00"/>
    <x v="0"/>
    <s v="Explore the latest podcasts now."/>
    <n v="2478"/>
    <n v="427"/>
    <n v="242"/>
    <n v="59272"/>
    <n v="37833"/>
    <n v="214"/>
    <s v="#SoundtrackOfLife"/>
    <n v="6"/>
    <s v="ChillVibes"/>
    <n v="9.92"/>
    <n v="15613"/>
  </r>
  <r>
    <s v="SP123"/>
    <x v="0"/>
    <d v="2025-09-03T00:00:00"/>
    <x v="0"/>
    <s v="From pop to podcasts, itâ€™s all here."/>
    <n v="2911"/>
    <n v="467"/>
    <n v="94"/>
    <n v="59083"/>
    <n v="49762"/>
    <n v="236"/>
    <s v="#DiscoverWeekly"/>
    <n v="7"/>
    <s v="IndieWave"/>
    <n v="9.91"/>
    <n v="26273"/>
  </r>
  <r>
    <s v="SP009"/>
    <x v="2"/>
    <d v="2025-05-12T00:00:00"/>
    <x v="0"/>
    <s v="Top trending tracks updated daily!"/>
    <n v="4432"/>
    <n v="223"/>
    <n v="299"/>
    <n v="59016"/>
    <n v="21742"/>
    <n v="171"/>
    <s v="#NowPlaying"/>
    <n v="8"/>
    <s v="ChillVibes"/>
    <n v="9.82"/>
    <n v="9592"/>
  </r>
  <r>
    <s v="SP117"/>
    <x v="1"/>
    <d v="2025-08-28T00:00:00"/>
    <x v="1"/>
    <s v="From pop to podcasts, itâ€™s all here."/>
    <n v="1516"/>
    <n v="215"/>
    <n v="332"/>
    <n v="58981"/>
    <n v="36118"/>
    <n v="211"/>
    <s v="#NowPlaying"/>
    <n v="9"/>
    <s v="Wrapped2024"/>
    <n v="9.7100000000000009"/>
    <n v="6625"/>
  </r>
  <r>
    <s v="SP270"/>
    <x v="2"/>
    <d v="2026-01-28T00:00:00"/>
    <x v="1"/>
    <s v="New music just dropped. Hit play!"/>
    <n v="1409"/>
    <n v="466"/>
    <n v="105"/>
    <n v="58923"/>
    <n v="38753"/>
    <n v="265"/>
    <s v="#DiscoverWeekly"/>
    <n v="10"/>
    <s v="ChillVibes"/>
    <n v="9.7100000000000009"/>
    <n v="13740"/>
  </r>
  <r>
    <s v="SP066"/>
    <x v="1"/>
    <d v="2025-07-08T00:00:00"/>
    <x v="0"/>
    <s v="Wrapped is here! Relive your top tracks ðŸŽ§"/>
    <n v="4836"/>
    <n v="331"/>
    <n v="140"/>
    <n v="58792"/>
    <n v="47711"/>
    <n v="227"/>
    <s v="#SoundtrackOfLife"/>
    <n v="11"/>
    <s v="ChillVibes"/>
    <n v="9.65"/>
    <n v="22456"/>
  </r>
  <r>
    <s v="SP006"/>
    <x v="0"/>
    <d v="2025-05-09T00:00:00"/>
    <x v="0"/>
    <s v="Whatâ€™s your vibe today? #SpotifyHits"/>
    <n v="3882"/>
    <n v="239"/>
    <n v="275"/>
    <n v="58748"/>
    <n v="44646"/>
    <n v="149"/>
    <s v="#DiscoverWeekly"/>
    <n v="12"/>
    <s v="IndieWave"/>
    <n v="9.6199999999999992"/>
    <n v="16377"/>
  </r>
  <r>
    <s v="SP275"/>
    <x v="1"/>
    <d v="2026-02-02T00:00:00"/>
    <x v="0"/>
    <s v="Wrapped is here! Relive your top tracks ðŸŽ§"/>
    <n v="4752"/>
    <n v="449"/>
    <n v="309"/>
    <n v="58530"/>
    <n v="26630"/>
    <n v="234"/>
    <s v="#DiscoverWeekly"/>
    <n v="13"/>
    <s v="IndieWave"/>
    <n v="9.58"/>
    <n v="12115"/>
  </r>
  <r>
    <s v="SP294"/>
    <x v="1"/>
    <d v="2026-02-21T00:00:00"/>
    <x v="0"/>
    <s v="From pop to podcasts, itâ€™s all here."/>
    <n v="1436"/>
    <n v="219"/>
    <n v="229"/>
    <n v="58488"/>
    <n v="24314"/>
    <n v="147"/>
    <s v="#DiscoverWeekly"/>
    <n v="14"/>
    <s v="IndieWave"/>
    <n v="9.58"/>
    <n v="14178"/>
  </r>
  <r>
    <s v="SP282"/>
    <x v="2"/>
    <d v="2026-02-09T00:00:00"/>
    <x v="1"/>
    <s v="Get into the groove with our new drop!"/>
    <n v="2604"/>
    <n v="439"/>
    <n v="148"/>
    <n v="58468"/>
    <n v="39629"/>
    <n v="163"/>
    <s v="#MusicForEveryone"/>
    <n v="15"/>
    <s v="ChillVibes"/>
    <n v="9.58"/>
    <n v="8698"/>
  </r>
  <r>
    <s v="SP194"/>
    <x v="2"/>
    <d v="2025-11-13T00:00:00"/>
    <x v="1"/>
    <s v="Explore the latest podcasts now."/>
    <n v="2784"/>
    <n v="111"/>
    <n v="399"/>
    <n v="58366"/>
    <n v="69512"/>
    <n v="269"/>
    <s v="#MusicForEveryone"/>
    <n v="16"/>
    <s v="ChillVibes"/>
    <n v="9.58"/>
    <n v="26618"/>
  </r>
  <r>
    <s v="SP180"/>
    <x v="2"/>
    <d v="2025-10-30T00:00:00"/>
    <x v="1"/>
    <s v="Wrapped is here! Relive your top tracks ðŸŽ§"/>
    <n v="3929"/>
    <n v="275"/>
    <n v="330"/>
    <n v="58329"/>
    <n v="33196"/>
    <n v="85"/>
    <s v="#MusicForEveryone"/>
    <n v="17"/>
    <s v="ChillVibes"/>
    <n v="9.52"/>
    <n v="20306"/>
  </r>
  <r>
    <s v="SP013"/>
    <x v="2"/>
    <d v="2025-05-16T00:00:00"/>
    <x v="1"/>
    <s v="Discover fresh beats on Spotify!"/>
    <n v="3956"/>
    <n v="319"/>
    <n v="61"/>
    <n v="58162"/>
    <n v="28720"/>
    <n v="213"/>
    <s v="#MusicForEveryone"/>
    <n v="18"/>
    <s v="ChillVibes"/>
    <n v="9.48"/>
    <n v="22619"/>
  </r>
  <r>
    <s v="SP054"/>
    <x v="1"/>
    <d v="2025-06-26T00:00:00"/>
    <x v="0"/>
    <s v="Get into the groove with our new drop!"/>
    <n v="4851"/>
    <n v="460"/>
    <n v="212"/>
    <n v="58075"/>
    <n v="59574"/>
    <n v="239"/>
    <s v="#DiscoverWeekly"/>
    <n v="19"/>
    <s v="IndieWave"/>
    <n v="9.4"/>
    <n v="11966"/>
  </r>
  <r>
    <s v="SP141"/>
    <x v="0"/>
    <d v="2025-09-21T00:00:00"/>
    <x v="2"/>
    <s v="Explore the latest podcasts now."/>
    <n v="3543"/>
    <n v="334"/>
    <n v="218"/>
    <n v="58007"/>
    <n v="24792"/>
    <n v="273"/>
    <s v="#DiscoverWeekly"/>
    <n v="20"/>
    <s v="SummerBeats"/>
    <n v="9.3800000000000008"/>
    <n v="8274"/>
  </r>
  <r>
    <s v="SP251"/>
    <x v="2"/>
    <d v="2026-01-09T00:00:00"/>
    <x v="0"/>
    <s v="Whatâ€™s your vibe today? #SpotifyHits"/>
    <n v="1848"/>
    <n v="417"/>
    <n v="294"/>
    <n v="57819"/>
    <n v="19798"/>
    <n v="262"/>
    <s v="#SoundtrackOfLife"/>
    <n v="21"/>
    <s v="IndieWave"/>
    <n v="9.3699999999999992"/>
    <n v="15461"/>
  </r>
  <r>
    <s v="SP085"/>
    <x v="1"/>
    <d v="2025-07-27T00:00:00"/>
    <x v="0"/>
    <s v="Explore the latest podcasts now."/>
    <n v="2965"/>
    <n v="328"/>
    <n v="171"/>
    <n v="57685"/>
    <n v="67536"/>
    <n v="264"/>
    <s v="#SoundtrackOfLife"/>
    <n v="22"/>
    <s v="ChillVibes"/>
    <n v="9.34"/>
    <n v="7797"/>
  </r>
  <r>
    <s v="SP053"/>
    <x v="2"/>
    <d v="2025-06-25T00:00:00"/>
    <x v="1"/>
    <s v="Whatâ€™s your vibe today? #SpotifyHits"/>
    <n v="2842"/>
    <n v="213"/>
    <n v="331"/>
    <n v="57660"/>
    <n v="68606"/>
    <n v="87"/>
    <s v="#MusicForEveryone"/>
    <n v="23"/>
    <s v="ChillVibes"/>
    <n v="9.2200000000000006"/>
    <n v="26872"/>
  </r>
  <r>
    <s v="SP206"/>
    <x v="2"/>
    <d v="2025-11-25T00:00:00"/>
    <x v="1"/>
    <s v="Explore the latest podcasts now."/>
    <n v="3989"/>
    <n v="476"/>
    <n v="128"/>
    <n v="57569"/>
    <n v="40193"/>
    <n v="222"/>
    <s v="#DiscoverWeekly"/>
    <n v="24"/>
    <s v="ChillVibes"/>
    <n v="9.18"/>
    <n v="25703"/>
  </r>
  <r>
    <s v="SP244"/>
    <x v="0"/>
    <d v="2026-01-02T00:00:00"/>
    <x v="0"/>
    <s v="Music that moves youâ€”only on Spotify."/>
    <n v="4375"/>
    <n v="303"/>
    <n v="294"/>
    <n v="57468"/>
    <n v="53397"/>
    <n v="159"/>
    <s v="#DiscoverWeekly"/>
    <n v="25"/>
    <s v="IndieWave"/>
    <n v="9.18"/>
    <n v="13763"/>
  </r>
  <r>
    <s v="SP115"/>
    <x v="1"/>
    <d v="2025-08-26T00:00:00"/>
    <x v="0"/>
    <s v="Explore the latest podcasts now."/>
    <n v="4177"/>
    <n v="489"/>
    <n v="331"/>
    <n v="57451"/>
    <n v="73793"/>
    <n v="251"/>
    <s v="#DiscoverWeekly"/>
    <n v="26"/>
    <s v="IndieWave"/>
    <n v="9.17"/>
    <n v="12840"/>
  </r>
  <r>
    <s v="SP029"/>
    <x v="2"/>
    <d v="2025-06-01T00:00:00"/>
    <x v="1"/>
    <s v="Explore the latest podcasts now."/>
    <n v="3418"/>
    <n v="188"/>
    <n v="387"/>
    <n v="57431"/>
    <n v="36933"/>
    <n v="202"/>
    <s v="#MusicForEveryone"/>
    <n v="27"/>
    <s v="ChillVibes"/>
    <n v="9.15"/>
    <n v="5900"/>
  </r>
  <r>
    <s v="SP228"/>
    <x v="0"/>
    <d v="2025-12-17T00:00:00"/>
    <x v="2"/>
    <s v="Whatâ€™s your vibe today? #SpotifyHits"/>
    <n v="1060"/>
    <n v="442"/>
    <n v="319"/>
    <n v="57194"/>
    <n v="24258"/>
    <n v="101"/>
    <s v="#DiscoverWeekly"/>
    <n v="28"/>
    <s v="SummerBeats"/>
    <n v="9.08"/>
    <n v="7245"/>
  </r>
  <r>
    <s v="SP149"/>
    <x v="2"/>
    <d v="2025-09-29T00:00:00"/>
    <x v="0"/>
    <s v="From pop to podcasts, itâ€™s all here."/>
    <n v="3890"/>
    <n v="408"/>
    <n v="338"/>
    <n v="56994"/>
    <n v="32621"/>
    <n v="286"/>
    <s v="#SoundtrackOfLife"/>
    <n v="29"/>
    <s v="IndieWave"/>
    <n v="9.0500000000000007"/>
    <n v="13314"/>
  </r>
  <r>
    <s v="SP269"/>
    <x v="0"/>
    <d v="2026-01-27T00:00:00"/>
    <x v="2"/>
    <s v="Music that moves youâ€”only on Spotify."/>
    <n v="4621"/>
    <n v="374"/>
    <n v="298"/>
    <n v="56979"/>
    <n v="24098"/>
    <n v="205"/>
    <s v="#DiscoverWeekly"/>
    <n v="30"/>
    <s v="SummerBeats"/>
    <n v="9.02"/>
    <n v="26298"/>
  </r>
  <r>
    <s v="SP272"/>
    <x v="2"/>
    <d v="2026-01-30T00:00:00"/>
    <x v="0"/>
    <s v="Explore the latest podcasts now."/>
    <n v="2229"/>
    <n v="395"/>
    <n v="328"/>
    <n v="56921"/>
    <n v="37176"/>
    <n v="126"/>
    <s v="#SoundtrackOfLife"/>
    <n v="31"/>
    <s v="IndieWave"/>
    <n v="9"/>
    <n v="20438"/>
  </r>
  <r>
    <s v="SP285"/>
    <x v="0"/>
    <d v="2026-02-12T00:00:00"/>
    <x v="0"/>
    <s v="New music just dropped. Hit play!"/>
    <n v="1334"/>
    <n v="357"/>
    <n v="257"/>
    <n v="56910"/>
    <n v="70606"/>
    <n v="228"/>
    <s v="#DiscoverWeekly"/>
    <n v="32"/>
    <s v="IndieWave"/>
    <n v="8.89"/>
    <n v="13301"/>
  </r>
  <r>
    <s v="SP229"/>
    <x v="0"/>
    <d v="2025-12-18T00:00:00"/>
    <x v="0"/>
    <s v="Music that moves youâ€”only on Spotify."/>
    <n v="4653"/>
    <n v="226"/>
    <n v="349"/>
    <n v="56876"/>
    <n v="28452"/>
    <n v="257"/>
    <s v="#DiscoverWeekly"/>
    <n v="33"/>
    <s v="IndieWave"/>
    <n v="8.8800000000000008"/>
    <n v="24358"/>
  </r>
  <r>
    <s v="SP247"/>
    <x v="2"/>
    <d v="2026-01-05T00:00:00"/>
    <x v="1"/>
    <s v="Your weekend playlist is waiting."/>
    <n v="3300"/>
    <n v="354"/>
    <n v="397"/>
    <n v="56773"/>
    <n v="72110"/>
    <n v="163"/>
    <s v="#DiscoverWeekly"/>
    <n v="34"/>
    <s v="ChillVibes"/>
    <n v="8.83"/>
    <n v="8760"/>
  </r>
  <r>
    <s v="SP281"/>
    <x v="1"/>
    <d v="2026-02-08T00:00:00"/>
    <x v="0"/>
    <s v="Top trending tracks updated daily!"/>
    <n v="4931"/>
    <n v="469"/>
    <n v="193"/>
    <n v="56701"/>
    <n v="69437"/>
    <n v="291"/>
    <s v="#SoundtrackOfLife"/>
    <n v="35"/>
    <s v="ChillVibes"/>
    <n v="8.76"/>
    <n v="9567"/>
  </r>
  <r>
    <s v="SP081"/>
    <x v="2"/>
    <d v="2025-07-23T00:00:00"/>
    <x v="0"/>
    <s v="Get into the groove with our new drop!"/>
    <n v="4234"/>
    <n v="486"/>
    <n v="276"/>
    <n v="56623"/>
    <n v="41343"/>
    <n v="184"/>
    <s v="#SoundtrackOfLife"/>
    <n v="36"/>
    <s v="IndieWave"/>
    <n v="8.76"/>
    <n v="6868"/>
  </r>
  <r>
    <s v="SP278"/>
    <x v="1"/>
    <d v="2026-02-05T00:00:00"/>
    <x v="0"/>
    <s v="Top trending tracks updated daily!"/>
    <n v="3194"/>
    <n v="292"/>
    <n v="245"/>
    <n v="56371"/>
    <n v="65597"/>
    <n v="163"/>
    <s v="#SoundtrackOfLife"/>
    <n v="37"/>
    <s v="ChillVibes"/>
    <n v="8.7200000000000006"/>
    <n v="10858"/>
  </r>
  <r>
    <s v="SP200"/>
    <x v="2"/>
    <d v="2025-11-19T00:00:00"/>
    <x v="0"/>
    <s v="New music just dropped. Hit play!"/>
    <n v="2033"/>
    <n v="420"/>
    <n v="94"/>
    <n v="56290"/>
    <n v="57391"/>
    <n v="196"/>
    <s v="#NowPlaying"/>
    <n v="38"/>
    <s v="ChillVibes"/>
    <n v="8.7200000000000006"/>
    <n v="17460"/>
  </r>
  <r>
    <s v="SP031"/>
    <x v="1"/>
    <d v="2025-06-03T00:00:00"/>
    <x v="0"/>
    <s v="New music just dropped. Hit play!"/>
    <n v="4036"/>
    <n v="112"/>
    <n v="382"/>
    <n v="56284"/>
    <n v="29440"/>
    <n v="279"/>
    <s v="#SoundtrackOfLife"/>
    <n v="39"/>
    <s v="ChillVibes"/>
    <n v="8.7100000000000009"/>
    <n v="11453"/>
  </r>
  <r>
    <s v="SP192"/>
    <x v="2"/>
    <d v="2025-11-11T00:00:00"/>
    <x v="1"/>
    <s v="Whatâ€™s your vibe today? #SpotifyHits"/>
    <n v="4422"/>
    <n v="434"/>
    <n v="156"/>
    <n v="56165"/>
    <n v="52431"/>
    <n v="173"/>
    <s v="#DiscoverWeekly"/>
    <n v="40"/>
    <s v="ChillVibes"/>
    <n v="8.66"/>
    <n v="12774"/>
  </r>
  <r>
    <s v="SP126"/>
    <x v="2"/>
    <d v="2025-09-06T00:00:00"/>
    <x v="1"/>
    <s v="Whatâ€™s your vibe today? #SpotifyHits"/>
    <n v="3208"/>
    <n v="476"/>
    <n v="277"/>
    <n v="56072"/>
    <n v="21061"/>
    <n v="113"/>
    <s v="#MusicForEveryone"/>
    <n v="41"/>
    <s v="ChillVibes"/>
    <n v="8.6300000000000008"/>
    <n v="11235"/>
  </r>
  <r>
    <s v="SP283"/>
    <x v="1"/>
    <d v="2026-02-10T00:00:00"/>
    <x v="0"/>
    <s v="Music that moves youâ€”only on Spotify."/>
    <n v="4197"/>
    <n v="359"/>
    <n v="280"/>
    <n v="56048"/>
    <n v="70930"/>
    <n v="295"/>
    <s v="#DiscoverWeekly"/>
    <n v="42"/>
    <s v="IndieWave"/>
    <n v="8.58"/>
    <n v="25058"/>
  </r>
  <r>
    <s v="SP021"/>
    <x v="1"/>
    <d v="2025-05-24T00:00:00"/>
    <x v="1"/>
    <s v="Wrapped is here! Relive your top tracks ðŸŽ§"/>
    <n v="1678"/>
    <n v="423"/>
    <n v="323"/>
    <n v="55668"/>
    <n v="37945"/>
    <n v="230"/>
    <s v="#NowPlaying"/>
    <n v="43"/>
    <s v="Wrapped2024"/>
    <n v="8.5500000000000007"/>
    <n v="14412"/>
  </r>
  <r>
    <s v="SP026"/>
    <x v="2"/>
    <d v="2025-05-29T00:00:00"/>
    <x v="1"/>
    <s v="From pop to podcasts, itâ€™s all here."/>
    <n v="2707"/>
    <n v="103"/>
    <n v="51"/>
    <n v="55302"/>
    <n v="18801"/>
    <n v="147"/>
    <s v="#DiscoverWeekly"/>
    <n v="44"/>
    <s v="ChillVibes"/>
    <n v="8.5299999999999994"/>
    <n v="25742"/>
  </r>
  <r>
    <s v="SP226"/>
    <x v="2"/>
    <d v="2025-12-15T00:00:00"/>
    <x v="1"/>
    <s v="New music just dropped. Hit play!"/>
    <n v="2174"/>
    <n v="499"/>
    <n v="212"/>
    <n v="54938"/>
    <n v="27190"/>
    <n v="265"/>
    <s v="#MusicForEveryone"/>
    <n v="45"/>
    <s v="ChillVibes"/>
    <n v="8.52"/>
    <n v="11684"/>
  </r>
  <r>
    <s v="SP175"/>
    <x v="2"/>
    <d v="2025-10-25T00:00:00"/>
    <x v="1"/>
    <s v="Music that moves youâ€”only on Spotify."/>
    <n v="2665"/>
    <n v="143"/>
    <n v="315"/>
    <n v="54808"/>
    <n v="29818"/>
    <n v="98"/>
    <s v="#DiscoverWeekly"/>
    <n v="46"/>
    <s v="ChillVibes"/>
    <n v="8.51"/>
    <n v="18303"/>
  </r>
  <r>
    <s v="SP025"/>
    <x v="0"/>
    <d v="2025-05-28T00:00:00"/>
    <x v="2"/>
    <s v="From pop to podcasts, itâ€™s all here."/>
    <n v="4013"/>
    <n v="320"/>
    <n v="92"/>
    <n v="54605"/>
    <n v="60169"/>
    <n v="232"/>
    <s v="#DiscoverWeekly"/>
    <n v="47"/>
    <s v="SummerBeats"/>
    <n v="8.4499999999999993"/>
    <n v="17729"/>
  </r>
  <r>
    <s v="SP205"/>
    <x v="2"/>
    <d v="2025-11-24T00:00:00"/>
    <x v="0"/>
    <s v="Wrapped is here! Relive your top tracks ðŸŽ§"/>
    <n v="3792"/>
    <n v="315"/>
    <n v="120"/>
    <n v="54592"/>
    <n v="67886"/>
    <n v="117"/>
    <s v="#SoundtrackOfLife"/>
    <n v="48"/>
    <s v="IndieWave"/>
    <n v="8.43"/>
    <n v="26024"/>
  </r>
  <r>
    <s v="SP212"/>
    <x v="2"/>
    <d v="2025-12-01T00:00:00"/>
    <x v="1"/>
    <s v="Whatâ€™s your vibe today? #SpotifyHits"/>
    <n v="1433"/>
    <n v="452"/>
    <n v="305"/>
    <n v="54541"/>
    <n v="63700"/>
    <n v="296"/>
    <s v="#DiscoverWeekly"/>
    <n v="49"/>
    <s v="ChillVibes"/>
    <n v="8.42"/>
    <n v="10495"/>
  </r>
  <r>
    <s v="SP118"/>
    <x v="2"/>
    <d v="2025-08-29T00:00:00"/>
    <x v="1"/>
    <s v="Music that moves youâ€”only on Spotify."/>
    <n v="2023"/>
    <n v="124"/>
    <n v="99"/>
    <n v="54524"/>
    <n v="34790"/>
    <n v="195"/>
    <s v="#DiscoverWeekly"/>
    <n v="50"/>
    <s v="ChillVibes"/>
    <n v="8.4"/>
    <n v="10881"/>
  </r>
  <r>
    <s v="SP113"/>
    <x v="1"/>
    <d v="2025-08-24T00:00:00"/>
    <x v="0"/>
    <s v="New music just dropped. Hit play!"/>
    <n v="1616"/>
    <n v="360"/>
    <n v="180"/>
    <n v="54342"/>
    <n v="18796"/>
    <n v="282"/>
    <s v="#SoundtrackOfLife"/>
    <n v="51"/>
    <s v="ChillVibes"/>
    <n v="8.3800000000000008"/>
    <n v="25038"/>
  </r>
  <r>
    <s v="SP223"/>
    <x v="2"/>
    <d v="2025-12-12T00:00:00"/>
    <x v="0"/>
    <s v="Whatâ€™s your vibe today? #SpotifyHits"/>
    <n v="1224"/>
    <n v="168"/>
    <n v="199"/>
    <n v="54232"/>
    <n v="52844"/>
    <n v="271"/>
    <s v="#SoundtrackOfLife"/>
    <n v="52"/>
    <s v="IndieWave"/>
    <n v="8.35"/>
    <n v="20162"/>
  </r>
  <r>
    <s v="SP208"/>
    <x v="2"/>
    <d v="2025-11-27T00:00:00"/>
    <x v="0"/>
    <s v="From pop to podcasts, itâ€™s all here."/>
    <n v="1403"/>
    <n v="385"/>
    <n v="344"/>
    <n v="54223"/>
    <n v="72595"/>
    <n v="239"/>
    <s v="#SoundtrackOfLife"/>
    <n v="53"/>
    <s v="IndieWave"/>
    <n v="8.3000000000000007"/>
    <n v="14477"/>
  </r>
  <r>
    <s v="SP062"/>
    <x v="2"/>
    <d v="2025-07-04T00:00:00"/>
    <x v="1"/>
    <s v="Wrapped is here! Relive your top tracks ðŸŽ§"/>
    <n v="1959"/>
    <n v="316"/>
    <n v="82"/>
    <n v="54036"/>
    <n v="69015"/>
    <n v="182"/>
    <s v="#MusicForEveryone"/>
    <n v="54"/>
    <s v="ChillVibes"/>
    <n v="8.2200000000000006"/>
    <n v="25234"/>
  </r>
  <r>
    <s v="SP065"/>
    <x v="0"/>
    <d v="2025-07-07T00:00:00"/>
    <x v="0"/>
    <s v="From pop to podcasts, itâ€™s all here."/>
    <n v="1488"/>
    <n v="327"/>
    <n v="110"/>
    <n v="53805"/>
    <n v="30239"/>
    <n v="109"/>
    <s v="#DiscoverWeekly"/>
    <n v="55"/>
    <s v="IndieWave"/>
    <n v="8.19"/>
    <n v="14215"/>
  </r>
  <r>
    <s v="SP120"/>
    <x v="1"/>
    <d v="2025-08-31T00:00:00"/>
    <x v="0"/>
    <s v="Top trending tracks updated daily!"/>
    <n v="2266"/>
    <n v="126"/>
    <n v="140"/>
    <n v="53759"/>
    <n v="46834"/>
    <n v="277"/>
    <s v="#DiscoverWeekly"/>
    <n v="56"/>
    <s v="IndieWave"/>
    <n v="8.17"/>
    <n v="23900"/>
  </r>
  <r>
    <s v="SP059"/>
    <x v="0"/>
    <d v="2025-07-01T00:00:00"/>
    <x v="0"/>
    <s v="From pop to podcasts, itâ€™s all here."/>
    <n v="1105"/>
    <n v="181"/>
    <n v="55"/>
    <n v="53581"/>
    <n v="74048"/>
    <n v="220"/>
    <s v="#DiscoverWeekly"/>
    <n v="57"/>
    <s v="IndieWave"/>
    <n v="8.14"/>
    <n v="9383"/>
  </r>
  <r>
    <s v="SP127"/>
    <x v="2"/>
    <d v="2025-09-07T00:00:00"/>
    <x v="0"/>
    <s v="Music that moves youâ€”only on Spotify."/>
    <n v="1456"/>
    <n v="265"/>
    <n v="137"/>
    <n v="53485"/>
    <n v="59729"/>
    <n v="145"/>
    <s v="#SoundtrackOfLife"/>
    <n v="58"/>
    <s v="IndieWave"/>
    <n v="8.06"/>
    <n v="23963"/>
  </r>
  <r>
    <s v="SP087"/>
    <x v="2"/>
    <d v="2025-07-29T00:00:00"/>
    <x v="1"/>
    <s v="Discover fresh beats on Spotify!"/>
    <n v="2683"/>
    <n v="496"/>
    <n v="89"/>
    <n v="53435"/>
    <n v="30334"/>
    <n v="160"/>
    <s v="#SoundtrackOfLife"/>
    <n v="59"/>
    <s v="ChillVibes"/>
    <n v="8.06"/>
    <n v="21254"/>
  </r>
  <r>
    <s v="SP074"/>
    <x v="2"/>
    <d v="2025-07-16T00:00:00"/>
    <x v="1"/>
    <s v="Get into the groove with our new drop!"/>
    <n v="1763"/>
    <n v="206"/>
    <n v="187"/>
    <n v="53342"/>
    <n v="25095"/>
    <n v="88"/>
    <s v="#DiscoverWeekly"/>
    <n v="60"/>
    <s v="ChillVibes"/>
    <n v="8.0500000000000007"/>
    <n v="22788"/>
  </r>
  <r>
    <s v="SP241"/>
    <x v="2"/>
    <d v="2025-12-30T00:00:00"/>
    <x v="0"/>
    <s v="Get into the groove with our new drop!"/>
    <n v="2145"/>
    <n v="340"/>
    <n v="85"/>
    <n v="53323"/>
    <n v="49938"/>
    <n v="104"/>
    <s v="#NowPlaying"/>
    <n v="61"/>
    <s v="ChillVibes"/>
    <n v="8.0299999999999994"/>
    <n v="6120"/>
  </r>
  <r>
    <s v="SP289"/>
    <x v="1"/>
    <d v="2026-02-16T00:00:00"/>
    <x v="1"/>
    <s v="New music just dropped. Hit play!"/>
    <n v="4918"/>
    <n v="440"/>
    <n v="149"/>
    <n v="53269"/>
    <n v="64370"/>
    <n v="269"/>
    <s v="#NowPlaying"/>
    <n v="62"/>
    <s v="Wrapped2024"/>
    <n v="7.99"/>
    <n v="15924"/>
  </r>
  <r>
    <s v="SP166"/>
    <x v="1"/>
    <d v="2025-10-16T00:00:00"/>
    <x v="0"/>
    <s v="New music just dropped. Hit play!"/>
    <n v="4383"/>
    <n v="352"/>
    <n v="176"/>
    <n v="53239"/>
    <n v="34168"/>
    <n v="288"/>
    <s v="#DiscoverWeekly"/>
    <n v="63"/>
    <s v="IndieWave"/>
    <n v="7.98"/>
    <n v="12985"/>
  </r>
  <r>
    <s v="SP156"/>
    <x v="0"/>
    <d v="2025-10-06T00:00:00"/>
    <x v="2"/>
    <s v="Whatâ€™s your vibe today? #SpotifyHits"/>
    <n v="1437"/>
    <n v="494"/>
    <n v="129"/>
    <n v="53048"/>
    <n v="44090"/>
    <n v="230"/>
    <s v="#DiscoverWeekly"/>
    <n v="64"/>
    <s v="SummerBeats"/>
    <n v="7.97"/>
    <n v="14496"/>
  </r>
  <r>
    <s v="SP143"/>
    <x v="1"/>
    <d v="2025-09-23T00:00:00"/>
    <x v="0"/>
    <s v="Discover fresh beats on Spotify!"/>
    <n v="4283"/>
    <n v="471"/>
    <n v="156"/>
    <n v="53004"/>
    <n v="25678"/>
    <n v="105"/>
    <s v="#DiscoverWeekly"/>
    <n v="65"/>
    <s v="IndieWave"/>
    <n v="7.95"/>
    <n v="14051"/>
  </r>
  <r>
    <s v="SP258"/>
    <x v="0"/>
    <d v="2026-01-16T00:00:00"/>
    <x v="2"/>
    <s v="From pop to podcasts, itâ€™s all here."/>
    <n v="1453"/>
    <n v="156"/>
    <n v="178"/>
    <n v="52980"/>
    <n v="57180"/>
    <n v="286"/>
    <s v="#DiscoverWeekly"/>
    <n v="66"/>
    <s v="SummerBeats"/>
    <n v="7.89"/>
    <n v="11911"/>
  </r>
  <r>
    <s v="SP174"/>
    <x v="0"/>
    <d v="2025-10-24T00:00:00"/>
    <x v="0"/>
    <s v="Wrapped is here! Relive your top tracks ðŸŽ§"/>
    <n v="4598"/>
    <n v="455"/>
    <n v="378"/>
    <n v="52952"/>
    <n v="58504"/>
    <n v="269"/>
    <s v="#DiscoverWeekly"/>
    <n v="67"/>
    <s v="IndieWave"/>
    <n v="7.85"/>
    <n v="20572"/>
  </r>
  <r>
    <s v="SP107"/>
    <x v="2"/>
    <d v="2025-08-18T00:00:00"/>
    <x v="0"/>
    <s v="Music that moves youâ€”only on Spotify."/>
    <n v="4090"/>
    <n v="209"/>
    <n v="278"/>
    <n v="52853"/>
    <n v="57084"/>
    <n v="102"/>
    <s v="#SoundtrackOfLife"/>
    <n v="68"/>
    <s v="IndieWave"/>
    <n v="7.85"/>
    <n v="19054"/>
  </r>
  <r>
    <s v="SP288"/>
    <x v="2"/>
    <d v="2026-02-15T00:00:00"/>
    <x v="1"/>
    <s v="From pop to podcasts, itâ€™s all here."/>
    <n v="4877"/>
    <n v="442"/>
    <n v="236"/>
    <n v="52673"/>
    <n v="48241"/>
    <n v="114"/>
    <s v="#DiscoverWeekly"/>
    <n v="69"/>
    <s v="ChillVibes"/>
    <n v="7.83"/>
    <n v="16875"/>
  </r>
  <r>
    <s v="SP256"/>
    <x v="2"/>
    <d v="2026-01-14T00:00:00"/>
    <x v="1"/>
    <s v="Wrapped is here! Relive your top tracks ðŸŽ§"/>
    <n v="2304"/>
    <n v="289"/>
    <n v="161"/>
    <n v="52645"/>
    <n v="66262"/>
    <n v="146"/>
    <s v="#MusicForEveryone"/>
    <n v="70"/>
    <s v="ChillVibes"/>
    <n v="7.79"/>
    <n v="11972"/>
  </r>
  <r>
    <s v="SP151"/>
    <x v="1"/>
    <d v="2025-10-01T00:00:00"/>
    <x v="1"/>
    <s v="Discover fresh beats on Spotify!"/>
    <n v="2962"/>
    <n v="400"/>
    <n v="280"/>
    <n v="52508"/>
    <n v="58329"/>
    <n v="219"/>
    <s v="#NowPlaying"/>
    <n v="71"/>
    <s v="Wrapped2024"/>
    <n v="7.79"/>
    <n v="10681"/>
  </r>
  <r>
    <s v="SP153"/>
    <x v="2"/>
    <d v="2025-10-03T00:00:00"/>
    <x v="1"/>
    <s v="Explore the latest podcasts now."/>
    <n v="3805"/>
    <n v="453"/>
    <n v="63"/>
    <n v="52395"/>
    <n v="72934"/>
    <n v="87"/>
    <s v="#DiscoverWeekly"/>
    <n v="72"/>
    <s v="ChillVibes"/>
    <n v="7.73"/>
    <n v="25259"/>
  </r>
  <r>
    <s v="SP240"/>
    <x v="0"/>
    <d v="2025-12-29T00:00:00"/>
    <x v="0"/>
    <s v="Wrapped is here! Relive your top tracks ðŸŽ§"/>
    <n v="4774"/>
    <n v="389"/>
    <n v="358"/>
    <n v="52346"/>
    <n v="30518"/>
    <n v="277"/>
    <s v="#DiscoverWeekly"/>
    <n v="73"/>
    <s v="IndieWave"/>
    <n v="7.72"/>
    <n v="7810"/>
  </r>
  <r>
    <s v="SP169"/>
    <x v="0"/>
    <d v="2025-10-19T00:00:00"/>
    <x v="0"/>
    <s v="New music just dropped. Hit play!"/>
    <n v="3782"/>
    <n v="484"/>
    <n v="144"/>
    <n v="52172"/>
    <n v="59386"/>
    <n v="175"/>
    <s v="#DiscoverWeekly"/>
    <n v="74"/>
    <s v="IndieWave"/>
    <n v="7.71"/>
    <n v="6772"/>
  </r>
  <r>
    <s v="SP055"/>
    <x v="2"/>
    <d v="2025-06-27T00:00:00"/>
    <x v="0"/>
    <s v="Explore the latest podcasts now."/>
    <n v="1828"/>
    <n v="450"/>
    <n v="214"/>
    <n v="52115"/>
    <n v="19166"/>
    <n v="190"/>
    <s v="#NowPlaying"/>
    <n v="75"/>
    <s v="ChillVibes"/>
    <n v="7.71"/>
    <n v="14475"/>
  </r>
  <r>
    <s v="SP105"/>
    <x v="2"/>
    <d v="2025-08-16T00:00:00"/>
    <x v="0"/>
    <s v="Discover fresh beats on Spotify!"/>
    <n v="2878"/>
    <n v="265"/>
    <n v="91"/>
    <n v="52090"/>
    <n v="28924"/>
    <n v="133"/>
    <s v="#NowPlaying"/>
    <n v="76"/>
    <s v="ChillVibes"/>
    <n v="7.66"/>
    <n v="24548"/>
  </r>
  <r>
    <s v="SP070"/>
    <x v="2"/>
    <d v="2025-07-12T00:00:00"/>
    <x v="0"/>
    <s v="Wrapped is here! Relive your top tracks ðŸŽ§"/>
    <n v="4811"/>
    <n v="473"/>
    <n v="254"/>
    <n v="51964"/>
    <n v="68795"/>
    <n v="107"/>
    <s v="#NowPlaying"/>
    <n v="77"/>
    <s v="ChillVibes"/>
    <n v="7.62"/>
    <n v="20595"/>
  </r>
  <r>
    <s v="SP154"/>
    <x v="1"/>
    <d v="2025-10-04T00:00:00"/>
    <x v="0"/>
    <s v="Whatâ€™s your vibe today? #SpotifyHits"/>
    <n v="2525"/>
    <n v="272"/>
    <n v="294"/>
    <n v="51875"/>
    <n v="24732"/>
    <n v="92"/>
    <s v="#DiscoverWeekly"/>
    <n v="78"/>
    <s v="IndieWave"/>
    <n v="7.56"/>
    <n v="9092"/>
  </r>
  <r>
    <s v="SP297"/>
    <x v="2"/>
    <d v="2026-02-24T00:00:00"/>
    <x v="0"/>
    <s v="Explore the latest podcasts now."/>
    <n v="2901"/>
    <n v="108"/>
    <n v="86"/>
    <n v="51777"/>
    <n v="23773"/>
    <n v="160"/>
    <s v="#SoundtrackOfLife"/>
    <n v="79"/>
    <s v="IndieWave"/>
    <n v="7.55"/>
    <n v="26730"/>
  </r>
  <r>
    <s v="SP261"/>
    <x v="2"/>
    <d v="2026-01-19T00:00:00"/>
    <x v="0"/>
    <s v="From pop to podcasts, itâ€™s all here."/>
    <n v="2972"/>
    <n v="263"/>
    <n v="308"/>
    <n v="51740"/>
    <n v="28214"/>
    <n v="190"/>
    <s v="#SoundtrackOfLife"/>
    <n v="80"/>
    <s v="IndieWave"/>
    <n v="7.54"/>
    <n v="26624"/>
  </r>
  <r>
    <s v="SP164"/>
    <x v="1"/>
    <d v="2025-10-14T00:00:00"/>
    <x v="1"/>
    <s v="Whatâ€™s your vibe today? #SpotifyHits"/>
    <n v="1342"/>
    <n v="332"/>
    <n v="163"/>
    <n v="51712"/>
    <n v="57922"/>
    <n v="168"/>
    <s v="#NowPlaying"/>
    <n v="81"/>
    <s v="Wrapped2024"/>
    <n v="7.51"/>
    <n v="16385"/>
  </r>
  <r>
    <s v="SP133"/>
    <x v="0"/>
    <d v="2025-09-13T00:00:00"/>
    <x v="0"/>
    <s v="Your weekend playlist is waiting."/>
    <n v="1976"/>
    <n v="262"/>
    <n v="218"/>
    <n v="51696"/>
    <n v="44846"/>
    <n v="139"/>
    <s v="#DiscoverWeekly"/>
    <n v="82"/>
    <s v="IndieWave"/>
    <n v="7.49"/>
    <n v="10311"/>
  </r>
  <r>
    <s v="SP299"/>
    <x v="2"/>
    <d v="2026-02-26T00:00:00"/>
    <x v="1"/>
    <s v="Wrapped is here! Relive your top tracks ðŸŽ§"/>
    <n v="2227"/>
    <n v="494"/>
    <n v="161"/>
    <n v="51651"/>
    <n v="68074"/>
    <n v="240"/>
    <s v="#DiscoverWeekly"/>
    <n v="83"/>
    <s v="ChillVibes"/>
    <n v="7.44"/>
    <n v="12031"/>
  </r>
  <r>
    <s v="SP219"/>
    <x v="2"/>
    <d v="2025-12-08T00:00:00"/>
    <x v="0"/>
    <s v="From pop to podcasts, itâ€™s all here."/>
    <n v="1519"/>
    <n v="456"/>
    <n v="379"/>
    <n v="51611"/>
    <n v="45880"/>
    <n v="176"/>
    <s v="#SoundtrackOfLife"/>
    <n v="84"/>
    <s v="IndieWave"/>
    <n v="7.42"/>
    <n v="10343"/>
  </r>
  <r>
    <s v="SP263"/>
    <x v="0"/>
    <d v="2026-01-21T00:00:00"/>
    <x v="0"/>
    <s v="Music that moves youâ€”only on Spotify."/>
    <n v="2399"/>
    <n v="191"/>
    <n v="221"/>
    <n v="51603"/>
    <n v="40033"/>
    <n v="173"/>
    <s v="#DiscoverWeekly"/>
    <n v="85"/>
    <s v="IndieWave"/>
    <n v="7.39"/>
    <n v="22428"/>
  </r>
  <r>
    <s v="SP044"/>
    <x v="1"/>
    <d v="2025-06-16T00:00:00"/>
    <x v="0"/>
    <s v="New music just dropped. Hit play!"/>
    <n v="1452"/>
    <n v="281"/>
    <n v="326"/>
    <n v="51556"/>
    <n v="62599"/>
    <n v="290"/>
    <s v="#DiscoverWeekly"/>
    <n v="86"/>
    <s v="IndieWave"/>
    <n v="7.34"/>
    <n v="18576"/>
  </r>
  <r>
    <s v="SP207"/>
    <x v="2"/>
    <d v="2025-11-26T00:00:00"/>
    <x v="1"/>
    <s v="Wrapped is here! Relive your top tracks ðŸŽ§"/>
    <n v="2857"/>
    <n v="443"/>
    <n v="359"/>
    <n v="51519"/>
    <n v="28256"/>
    <n v="155"/>
    <s v="#SoundtrackOfLife"/>
    <n v="87"/>
    <s v="ChillVibes"/>
    <n v="7.34"/>
    <n v="21771"/>
  </r>
  <r>
    <s v="SP122"/>
    <x v="2"/>
    <d v="2025-09-02T00:00:00"/>
    <x v="1"/>
    <s v="Music that moves youâ€”only on Spotify."/>
    <n v="1022"/>
    <n v="463"/>
    <n v="360"/>
    <n v="51468"/>
    <n v="24279"/>
    <n v="230"/>
    <s v="#DiscoverWeekly"/>
    <n v="88"/>
    <s v="ChillVibes"/>
    <n v="7.31"/>
    <n v="6824"/>
  </r>
  <r>
    <s v="SP039"/>
    <x v="1"/>
    <d v="2025-06-11T00:00:00"/>
    <x v="0"/>
    <s v="From pop to podcasts, itâ€™s all here."/>
    <n v="1341"/>
    <n v="472"/>
    <n v="238"/>
    <n v="51386"/>
    <n v="51706"/>
    <n v="133"/>
    <s v="#DiscoverWeekly"/>
    <n v="89"/>
    <s v="IndieWave"/>
    <n v="7.24"/>
    <n v="17662"/>
  </r>
  <r>
    <s v="SP273"/>
    <x v="2"/>
    <d v="2026-01-31T00:00:00"/>
    <x v="0"/>
    <s v="Explore the latest podcasts now."/>
    <n v="2691"/>
    <n v="486"/>
    <n v="206"/>
    <n v="51133"/>
    <n v="44583"/>
    <n v="276"/>
    <s v="#NowPlaying"/>
    <n v="90"/>
    <s v="ChillVibes"/>
    <n v="7.23"/>
    <n v="27393"/>
  </r>
  <r>
    <s v="SP064"/>
    <x v="2"/>
    <d v="2025-07-06T00:00:00"/>
    <x v="1"/>
    <s v="New music just dropped. Hit play!"/>
    <n v="4478"/>
    <n v="101"/>
    <n v="121"/>
    <n v="51035"/>
    <n v="58207"/>
    <n v="205"/>
    <s v="#MusicForEveryone"/>
    <n v="91"/>
    <s v="ChillVibes"/>
    <n v="7.17"/>
    <n v="13051"/>
  </r>
  <r>
    <s v="SP265"/>
    <x v="2"/>
    <d v="2026-01-23T00:00:00"/>
    <x v="1"/>
    <s v="Explore the latest podcasts now."/>
    <n v="4341"/>
    <n v="141"/>
    <n v="63"/>
    <n v="50081"/>
    <n v="27507"/>
    <n v="221"/>
    <s v="#DiscoverWeekly"/>
    <n v="92"/>
    <s v="ChillVibes"/>
    <n v="7.16"/>
    <n v="22234"/>
  </r>
  <r>
    <s v="SP274"/>
    <x v="1"/>
    <d v="2026-02-01T00:00:00"/>
    <x v="0"/>
    <s v="Explore the latest podcasts now."/>
    <n v="2110"/>
    <n v="384"/>
    <n v="236"/>
    <n v="49965"/>
    <n v="61555"/>
    <n v="195"/>
    <s v="#DiscoverWeekly"/>
    <n v="93"/>
    <s v="IndieWave"/>
    <n v="7.11"/>
    <n v="12399"/>
  </r>
  <r>
    <s v="SP132"/>
    <x v="2"/>
    <d v="2025-09-12T00:00:00"/>
    <x v="0"/>
    <s v="Whatâ€™s your vibe today? #SpotifyHits"/>
    <n v="4006"/>
    <n v="420"/>
    <n v="194"/>
    <n v="49964"/>
    <n v="20685"/>
    <n v="148"/>
    <s v="#NowPlaying"/>
    <n v="94"/>
    <s v="ChillVibes"/>
    <n v="7.04"/>
    <n v="6532"/>
  </r>
  <r>
    <s v="SP028"/>
    <x v="0"/>
    <d v="2025-05-31T00:00:00"/>
    <x v="2"/>
    <s v="Explore the latest podcasts now."/>
    <n v="3558"/>
    <n v="314"/>
    <n v="199"/>
    <n v="49612"/>
    <n v="53929"/>
    <n v="206"/>
    <s v="#DiscoverWeekly"/>
    <n v="95"/>
    <s v="SummerBeats"/>
    <n v="6.96"/>
    <n v="23736"/>
  </r>
  <r>
    <s v="SP144"/>
    <x v="1"/>
    <d v="2025-09-24T00:00:00"/>
    <x v="0"/>
    <s v="Discover fresh beats on Spotify!"/>
    <n v="2329"/>
    <n v="373"/>
    <n v="291"/>
    <n v="49577"/>
    <n v="28002"/>
    <n v="82"/>
    <s v="#SoundtrackOfLife"/>
    <n v="96"/>
    <s v="ChillVibes"/>
    <n v="6.93"/>
    <n v="11826"/>
  </r>
  <r>
    <s v="SP253"/>
    <x v="0"/>
    <d v="2026-01-11T00:00:00"/>
    <x v="0"/>
    <s v="From pop to podcasts, itâ€™s all here."/>
    <n v="1994"/>
    <n v="197"/>
    <n v="290"/>
    <n v="49500"/>
    <n v="23343"/>
    <n v="160"/>
    <s v="#DiscoverWeekly"/>
    <n v="97"/>
    <s v="IndieWave"/>
    <n v="6.87"/>
    <n v="22191"/>
  </r>
  <r>
    <s v="SP255"/>
    <x v="2"/>
    <d v="2026-01-13T00:00:00"/>
    <x v="1"/>
    <s v="Top trending tracks updated daily!"/>
    <n v="2291"/>
    <n v="146"/>
    <n v="399"/>
    <n v="49319"/>
    <n v="28056"/>
    <n v="90"/>
    <s v="#DiscoverWeekly"/>
    <n v="98"/>
    <s v="ChillVibes"/>
    <n v="6.82"/>
    <n v="18654"/>
  </r>
  <r>
    <s v="SP189"/>
    <x v="0"/>
    <d v="2025-11-08T00:00:00"/>
    <x v="2"/>
    <s v="Get into the groove with our new drop!"/>
    <n v="4957"/>
    <n v="262"/>
    <n v="365"/>
    <n v="49199"/>
    <n v="40314"/>
    <n v="216"/>
    <s v="#DiscoverWeekly"/>
    <n v="99"/>
    <s v="SummerBeats"/>
    <n v="6.77"/>
    <n v="25542"/>
  </r>
  <r>
    <s v="SP121"/>
    <x v="1"/>
    <d v="2025-09-01T00:00:00"/>
    <x v="1"/>
    <s v="New music just dropped. Hit play!"/>
    <n v="3916"/>
    <n v="459"/>
    <n v="229"/>
    <n v="48989"/>
    <n v="39768"/>
    <n v="200"/>
    <s v="#NowPlaying"/>
    <n v="100"/>
    <s v="Wrapped2024"/>
    <n v="6.69"/>
    <n v="12323"/>
  </r>
  <r>
    <s v="SP129"/>
    <x v="2"/>
    <d v="2025-09-09T00:00:00"/>
    <x v="1"/>
    <s v="Explore the latest podcasts now."/>
    <n v="3219"/>
    <n v="424"/>
    <n v="267"/>
    <n v="48879"/>
    <n v="37691"/>
    <n v="224"/>
    <s v="#DiscoverWeekly"/>
    <n v="101"/>
    <s v="ChillVibes"/>
    <n v="6.68"/>
    <n v="23329"/>
  </r>
  <r>
    <s v="SP196"/>
    <x v="1"/>
    <d v="2025-11-15T00:00:00"/>
    <x v="0"/>
    <s v="From pop to podcasts, itâ€™s all here."/>
    <n v="1771"/>
    <n v="487"/>
    <n v="272"/>
    <n v="48810"/>
    <n v="48084"/>
    <n v="272"/>
    <s v="#SoundtrackOfLife"/>
    <n v="102"/>
    <s v="ChillVibes"/>
    <n v="6.67"/>
    <n v="18442"/>
  </r>
  <r>
    <s v="SP043"/>
    <x v="1"/>
    <d v="2025-06-15T00:00:00"/>
    <x v="0"/>
    <s v="Top trending tracks updated daily!"/>
    <n v="4891"/>
    <n v="450"/>
    <n v="387"/>
    <n v="48746"/>
    <n v="37312"/>
    <n v="154"/>
    <s v="#SoundtrackOfLife"/>
    <n v="103"/>
    <s v="ChillVibes"/>
    <n v="6.66"/>
    <n v="27782"/>
  </r>
  <r>
    <s v="SP138"/>
    <x v="2"/>
    <d v="2025-09-18T00:00:00"/>
    <x v="1"/>
    <s v="New music just dropped. Hit play!"/>
    <n v="1131"/>
    <n v="100"/>
    <n v="116"/>
    <n v="48437"/>
    <n v="72704"/>
    <n v="236"/>
    <s v="#DiscoverWeekly"/>
    <n v="104"/>
    <s v="ChillVibes"/>
    <n v="6.62"/>
    <n v="25347"/>
  </r>
  <r>
    <s v="SP211"/>
    <x v="2"/>
    <d v="2025-11-30T00:00:00"/>
    <x v="1"/>
    <s v="Discover fresh beats on Spotify!"/>
    <n v="1295"/>
    <n v="153"/>
    <n v="81"/>
    <n v="48350"/>
    <n v="61033"/>
    <n v="232"/>
    <s v="#DiscoverWeekly"/>
    <n v="105"/>
    <s v="ChillVibes"/>
    <n v="6.54"/>
    <n v="26073"/>
  </r>
  <r>
    <s v="SP267"/>
    <x v="0"/>
    <d v="2026-01-25T00:00:00"/>
    <x v="0"/>
    <s v="Top trending tracks updated daily!"/>
    <n v="2471"/>
    <n v="166"/>
    <n v="320"/>
    <n v="48254"/>
    <n v="46900"/>
    <n v="111"/>
    <s v="#DiscoverWeekly"/>
    <n v="106"/>
    <s v="IndieWave"/>
    <n v="6.52"/>
    <n v="11625"/>
  </r>
  <r>
    <s v="SP016"/>
    <x v="2"/>
    <d v="2025-05-19T00:00:00"/>
    <x v="1"/>
    <s v="New music just dropped. Hit play!"/>
    <n v="4049"/>
    <n v="377"/>
    <n v="94"/>
    <n v="48182"/>
    <n v="42875"/>
    <n v="172"/>
    <s v="#MusicForEveryone"/>
    <n v="107"/>
    <s v="ChillVibes"/>
    <n v="6.44"/>
    <n v="15108"/>
  </r>
  <r>
    <s v="SP148"/>
    <x v="2"/>
    <d v="2025-09-28T00:00:00"/>
    <x v="1"/>
    <s v="Your weekend playlist is waiting."/>
    <n v="4752"/>
    <n v="334"/>
    <n v="56"/>
    <n v="48017"/>
    <n v="55534"/>
    <n v="270"/>
    <s v="#DiscoverWeekly"/>
    <n v="108"/>
    <s v="ChillVibes"/>
    <n v="6.41"/>
    <n v="5495"/>
  </r>
  <r>
    <s v="SP184"/>
    <x v="2"/>
    <d v="2025-11-03T00:00:00"/>
    <x v="1"/>
    <s v="Get into the groove with our new drop!"/>
    <n v="2408"/>
    <n v="323"/>
    <n v="251"/>
    <n v="47599"/>
    <n v="35543"/>
    <n v="287"/>
    <s v="#MusicForEveryone"/>
    <n v="109"/>
    <s v="ChillVibes"/>
    <n v="6.39"/>
    <n v="21900"/>
  </r>
  <r>
    <s v="SP003"/>
    <x v="2"/>
    <d v="2025-05-06T00:00:00"/>
    <x v="1"/>
    <s v="New music just dropped. Hit play!"/>
    <n v="3092"/>
    <n v="177"/>
    <n v="81"/>
    <n v="47533"/>
    <n v="29220"/>
    <n v="121"/>
    <s v="#MusicForEveryone"/>
    <n v="110"/>
    <s v="ChillVibes"/>
    <n v="6.36"/>
    <n v="8910"/>
  </r>
  <r>
    <s v="SP230"/>
    <x v="0"/>
    <d v="2025-12-19T00:00:00"/>
    <x v="0"/>
    <s v="Discover fresh beats on Spotify!"/>
    <n v="1701"/>
    <n v="272"/>
    <n v="385"/>
    <n v="47496"/>
    <n v="40832"/>
    <n v="246"/>
    <s v="#DiscoverWeekly"/>
    <n v="111"/>
    <s v="IndieWave"/>
    <n v="6.31"/>
    <n v="12390"/>
  </r>
  <r>
    <s v="SP204"/>
    <x v="2"/>
    <d v="2025-11-23T00:00:00"/>
    <x v="0"/>
    <s v="Get into the groove with our new drop!"/>
    <n v="4214"/>
    <n v="286"/>
    <n v="127"/>
    <n v="47293"/>
    <n v="27184"/>
    <n v="232"/>
    <s v="#NowPlaying"/>
    <n v="112"/>
    <s v="ChillVibes"/>
    <n v="6.26"/>
    <n v="6027"/>
  </r>
  <r>
    <s v="SP276"/>
    <x v="2"/>
    <d v="2026-02-03T00:00:00"/>
    <x v="0"/>
    <s v="Discover fresh beats on Spotify!"/>
    <n v="2177"/>
    <n v="258"/>
    <n v="292"/>
    <n v="47276"/>
    <n v="51324"/>
    <n v="143"/>
    <s v="#NowPlaying"/>
    <n v="113"/>
    <s v="ChillVibes"/>
    <n v="6.23"/>
    <n v="12181"/>
  </r>
  <r>
    <s v="SP182"/>
    <x v="1"/>
    <d v="2025-11-01T00:00:00"/>
    <x v="0"/>
    <s v="From pop to podcasts, itâ€™s all here."/>
    <n v="2878"/>
    <n v="278"/>
    <n v="255"/>
    <n v="47235"/>
    <n v="57922"/>
    <n v="112"/>
    <s v="#SoundtrackOfLife"/>
    <n v="114"/>
    <s v="ChillVibes"/>
    <n v="6.18"/>
    <n v="8182"/>
  </r>
  <r>
    <s v="SP210"/>
    <x v="2"/>
    <d v="2025-11-29T00:00:00"/>
    <x v="1"/>
    <s v="Top trending tracks updated daily!"/>
    <n v="1010"/>
    <n v="361"/>
    <n v="240"/>
    <n v="47229"/>
    <n v="72573"/>
    <n v="275"/>
    <s v="#SoundtrackOfLife"/>
    <n v="115"/>
    <s v="ChillVibes"/>
    <n v="6.13"/>
    <n v="10104"/>
  </r>
  <r>
    <s v="SP264"/>
    <x v="0"/>
    <d v="2026-01-22T00:00:00"/>
    <x v="2"/>
    <s v="Get into the groove with our new drop!"/>
    <n v="2162"/>
    <n v="318"/>
    <n v="83"/>
    <n v="46719"/>
    <n v="20482"/>
    <n v="185"/>
    <s v="#DiscoverWeekly"/>
    <n v="116"/>
    <s v="SummerBeats"/>
    <n v="6.12"/>
    <n v="14975"/>
  </r>
  <r>
    <s v="SP291"/>
    <x v="1"/>
    <d v="2026-02-18T00:00:00"/>
    <x v="0"/>
    <s v="Your weekend playlist is waiting."/>
    <n v="2088"/>
    <n v="490"/>
    <n v="124"/>
    <n v="46544"/>
    <n v="69346"/>
    <n v="178"/>
    <s v="#SoundtrackOfLife"/>
    <n v="117"/>
    <s v="ChillVibes"/>
    <n v="6.07"/>
    <n v="22103"/>
  </r>
  <r>
    <s v="SP176"/>
    <x v="1"/>
    <d v="2025-10-26T00:00:00"/>
    <x v="0"/>
    <s v="Top trending tracks updated daily!"/>
    <n v="3469"/>
    <n v="371"/>
    <n v="76"/>
    <n v="46493"/>
    <n v="26906"/>
    <n v="150"/>
    <s v="#SoundtrackOfLife"/>
    <n v="118"/>
    <s v="ChillVibes"/>
    <n v="6.06"/>
    <n v="9247"/>
  </r>
  <r>
    <s v="SP245"/>
    <x v="2"/>
    <d v="2026-01-03T00:00:00"/>
    <x v="1"/>
    <s v="Your weekend playlist is waiting."/>
    <n v="3817"/>
    <n v="284"/>
    <n v="204"/>
    <n v="46434"/>
    <n v="53396"/>
    <n v="104"/>
    <s v="#MusicForEveryone"/>
    <n v="119"/>
    <s v="ChillVibes"/>
    <n v="6.05"/>
    <n v="18267"/>
  </r>
  <r>
    <s v="SP124"/>
    <x v="2"/>
    <d v="2025-09-04T00:00:00"/>
    <x v="1"/>
    <s v="New music just dropped. Hit play!"/>
    <n v="3277"/>
    <n v="423"/>
    <n v="259"/>
    <n v="46328"/>
    <n v="44293"/>
    <n v="299"/>
    <s v="#SoundtrackOfLife"/>
    <n v="120"/>
    <s v="ChillVibes"/>
    <n v="6.05"/>
    <n v="14217"/>
  </r>
  <r>
    <s v="SP160"/>
    <x v="0"/>
    <d v="2025-10-10T00:00:00"/>
    <x v="2"/>
    <s v="Top trending tracks updated daily!"/>
    <n v="1889"/>
    <n v="298"/>
    <n v="122"/>
    <n v="46225"/>
    <n v="74305"/>
    <n v="293"/>
    <s v="#DiscoverWeekly"/>
    <n v="121"/>
    <s v="SummerBeats"/>
    <n v="6.04"/>
    <n v="15655"/>
  </r>
  <r>
    <s v="SP114"/>
    <x v="2"/>
    <d v="2025-08-25T00:00:00"/>
    <x v="0"/>
    <s v="Top trending tracks updated daily!"/>
    <n v="1803"/>
    <n v="273"/>
    <n v="287"/>
    <n v="46176"/>
    <n v="25488"/>
    <n v="141"/>
    <s v="#NowPlaying"/>
    <n v="122"/>
    <s v="ChillVibes"/>
    <n v="6.03"/>
    <n v="9195"/>
  </r>
  <r>
    <s v="SP252"/>
    <x v="0"/>
    <d v="2026-01-10T00:00:00"/>
    <x v="0"/>
    <s v="New music just dropped. Hit play!"/>
    <n v="4676"/>
    <n v="211"/>
    <n v="55"/>
    <n v="45917"/>
    <n v="73503"/>
    <n v="248"/>
    <s v="#DiscoverWeekly"/>
    <n v="123"/>
    <s v="IndieWave"/>
    <n v="6.03"/>
    <n v="5960"/>
  </r>
  <r>
    <s v="SP051"/>
    <x v="0"/>
    <d v="2025-06-23T00:00:00"/>
    <x v="2"/>
    <s v="Explore the latest podcasts now."/>
    <n v="4161"/>
    <n v="481"/>
    <n v="61"/>
    <n v="45884"/>
    <n v="48955"/>
    <n v="215"/>
    <s v="#DiscoverWeekly"/>
    <n v="124"/>
    <s v="SummerBeats"/>
    <n v="6.03"/>
    <n v="11181"/>
  </r>
  <r>
    <s v="SP268"/>
    <x v="0"/>
    <d v="2026-01-26T00:00:00"/>
    <x v="2"/>
    <s v="Explore the latest podcasts now."/>
    <n v="2692"/>
    <n v="446"/>
    <n v="216"/>
    <n v="45818"/>
    <n v="62723"/>
    <n v="85"/>
    <s v="#DiscoverWeekly"/>
    <n v="125"/>
    <s v="SummerBeats"/>
    <n v="5.99"/>
    <n v="20109"/>
  </r>
  <r>
    <s v="SP060"/>
    <x v="0"/>
    <d v="2025-07-02T00:00:00"/>
    <x v="0"/>
    <s v="Discover fresh beats on Spotify!"/>
    <n v="4674"/>
    <n v="326"/>
    <n v="62"/>
    <n v="45503"/>
    <n v="46814"/>
    <n v="116"/>
    <s v="#DiscoverWeekly"/>
    <n v="126"/>
    <s v="IndieWave"/>
    <n v="5.98"/>
    <n v="5624"/>
  </r>
  <r>
    <s v="SP037"/>
    <x v="2"/>
    <d v="2025-06-09T00:00:00"/>
    <x v="1"/>
    <s v="Explore the latest podcasts now."/>
    <n v="4095"/>
    <n v="385"/>
    <n v="400"/>
    <n v="45300"/>
    <n v="31795"/>
    <n v="80"/>
    <s v="#MusicForEveryone"/>
    <n v="127"/>
    <s v="ChillVibes"/>
    <n v="5.95"/>
    <n v="15915"/>
  </r>
  <r>
    <s v="SP224"/>
    <x v="2"/>
    <d v="2025-12-13T00:00:00"/>
    <x v="0"/>
    <s v="From pop to podcasts, itâ€™s all here."/>
    <n v="4673"/>
    <n v="270"/>
    <n v="93"/>
    <n v="45260"/>
    <n v="57513"/>
    <n v="103"/>
    <s v="#NowPlaying"/>
    <n v="128"/>
    <s v="ChillVibes"/>
    <n v="5.87"/>
    <n v="26644"/>
  </r>
  <r>
    <s v="SP188"/>
    <x v="1"/>
    <d v="2025-11-07T00:00:00"/>
    <x v="0"/>
    <s v="Wrapped is here! Relive your top tracks ðŸŽ§"/>
    <n v="3987"/>
    <n v="171"/>
    <n v="274"/>
    <n v="45122"/>
    <n v="65431"/>
    <n v="168"/>
    <s v="#DiscoverWeekly"/>
    <n v="129"/>
    <s v="IndieWave"/>
    <n v="5.84"/>
    <n v="6031"/>
  </r>
  <r>
    <s v="SP191"/>
    <x v="0"/>
    <d v="2025-11-10T00:00:00"/>
    <x v="2"/>
    <s v="Discover fresh beats on Spotify!"/>
    <n v="4221"/>
    <n v="307"/>
    <n v="58"/>
    <n v="45080"/>
    <n v="37214"/>
    <n v="240"/>
    <s v="#DiscoverWeekly"/>
    <n v="130"/>
    <s v="SummerBeats"/>
    <n v="5.82"/>
    <n v="13644"/>
  </r>
  <r>
    <s v="SP101"/>
    <x v="2"/>
    <d v="2025-08-12T00:00:00"/>
    <x v="0"/>
    <s v="Get into the groove with our new drop!"/>
    <n v="3169"/>
    <n v="386"/>
    <n v="175"/>
    <n v="45012"/>
    <n v="38508"/>
    <n v="218"/>
    <s v="#NowPlaying"/>
    <n v="131"/>
    <s v="ChillVibes"/>
    <n v="5.65"/>
    <n v="15595"/>
  </r>
  <r>
    <s v="SP280"/>
    <x v="2"/>
    <d v="2026-02-07T00:00:00"/>
    <x v="1"/>
    <s v="Wrapped is here! Relive your top tracks ðŸŽ§"/>
    <n v="4471"/>
    <n v="317"/>
    <n v="249"/>
    <n v="44862"/>
    <n v="33365"/>
    <n v="184"/>
    <s v="#DiscoverWeekly"/>
    <n v="132"/>
    <s v="ChillVibes"/>
    <n v="5.63"/>
    <n v="10563"/>
  </r>
  <r>
    <s v="SP042"/>
    <x v="1"/>
    <d v="2025-06-14T00:00:00"/>
    <x v="1"/>
    <s v="Whatâ€™s your vibe today? #SpotifyHits"/>
    <n v="3451"/>
    <n v="363"/>
    <n v="393"/>
    <n v="44853"/>
    <n v="69032"/>
    <n v="211"/>
    <s v="#NowPlaying"/>
    <n v="133"/>
    <s v="Wrapped2024"/>
    <n v="5.57"/>
    <n v="10253"/>
  </r>
  <r>
    <s v="SP222"/>
    <x v="2"/>
    <d v="2025-12-11T00:00:00"/>
    <x v="0"/>
    <s v="Explore the latest podcasts now."/>
    <n v="3611"/>
    <n v="127"/>
    <n v="139"/>
    <n v="44768"/>
    <n v="29435"/>
    <n v="178"/>
    <s v="#NowPlaying"/>
    <n v="134"/>
    <s v="ChillVibes"/>
    <n v="5.51"/>
    <n v="7299"/>
  </r>
  <r>
    <s v="SP069"/>
    <x v="2"/>
    <d v="2025-07-11T00:00:00"/>
    <x v="1"/>
    <s v="Music that moves youâ€”only on Spotify."/>
    <n v="1316"/>
    <n v="472"/>
    <n v="286"/>
    <n v="44692"/>
    <n v="53343"/>
    <n v="227"/>
    <s v="#DiscoverWeekly"/>
    <n v="135"/>
    <s v="ChillVibes"/>
    <n v="5.43"/>
    <n v="19328"/>
  </r>
  <r>
    <s v="SP257"/>
    <x v="2"/>
    <d v="2026-01-15T00:00:00"/>
    <x v="1"/>
    <s v="Top trending tracks updated daily!"/>
    <n v="3413"/>
    <n v="326"/>
    <n v="86"/>
    <n v="44680"/>
    <n v="52719"/>
    <n v="272"/>
    <s v="#DiscoverWeekly"/>
    <n v="136"/>
    <s v="ChillVibes"/>
    <n v="5.42"/>
    <n v="25537"/>
  </r>
  <r>
    <s v="SP038"/>
    <x v="1"/>
    <d v="2025-06-10T00:00:00"/>
    <x v="1"/>
    <s v="New music just dropped. Hit play!"/>
    <n v="1230"/>
    <n v="309"/>
    <n v="207"/>
    <n v="44629"/>
    <n v="40699"/>
    <n v="195"/>
    <s v="#NowPlaying"/>
    <n v="137"/>
    <s v="Wrapped2024"/>
    <n v="5.41"/>
    <n v="27829"/>
  </r>
  <r>
    <s v="SP232"/>
    <x v="0"/>
    <d v="2025-12-21T00:00:00"/>
    <x v="0"/>
    <s v="Top trending tracks updated daily!"/>
    <n v="4310"/>
    <n v="284"/>
    <n v="306"/>
    <n v="44606"/>
    <n v="42604"/>
    <n v="290"/>
    <s v="#DiscoverWeekly"/>
    <n v="138"/>
    <s v="IndieWave"/>
    <n v="5.41"/>
    <n v="5526"/>
  </r>
  <r>
    <s v="SP061"/>
    <x v="0"/>
    <d v="2025-07-03T00:00:00"/>
    <x v="2"/>
    <s v="Explore the latest podcasts now."/>
    <n v="3437"/>
    <n v="129"/>
    <n v="359"/>
    <n v="44558"/>
    <n v="30854"/>
    <n v="171"/>
    <s v="#DiscoverWeekly"/>
    <n v="139"/>
    <s v="SummerBeats"/>
    <n v="5.34"/>
    <n v="13424"/>
  </r>
  <r>
    <s v="SP262"/>
    <x v="2"/>
    <d v="2026-01-20T00:00:00"/>
    <x v="1"/>
    <s v="Explore the latest podcasts now."/>
    <n v="4963"/>
    <n v="255"/>
    <n v="193"/>
    <n v="44386"/>
    <n v="28415"/>
    <n v="174"/>
    <s v="#MusicForEveryone"/>
    <n v="140"/>
    <s v="ChillVibes"/>
    <n v="5.31"/>
    <n v="23486"/>
  </r>
  <r>
    <s v="SP119"/>
    <x v="2"/>
    <d v="2025-08-30T00:00:00"/>
    <x v="1"/>
    <s v="Music that moves youâ€”only on Spotify."/>
    <n v="2134"/>
    <n v="322"/>
    <n v="114"/>
    <n v="44338"/>
    <n v="52165"/>
    <n v="176"/>
    <s v="#MusicForEveryone"/>
    <n v="141"/>
    <s v="ChillVibes"/>
    <n v="5.3"/>
    <n v="5836"/>
  </r>
  <r>
    <s v="SP209"/>
    <x v="2"/>
    <d v="2025-11-28T00:00:00"/>
    <x v="1"/>
    <s v="Whatâ€™s your vibe today? #SpotifyHits"/>
    <n v="3071"/>
    <n v="126"/>
    <n v="200"/>
    <n v="44013"/>
    <n v="44679"/>
    <n v="118"/>
    <s v="#DiscoverWeekly"/>
    <n v="142"/>
    <s v="ChillVibes"/>
    <n v="5.3"/>
    <n v="10615"/>
  </r>
  <r>
    <s v="SP298"/>
    <x v="2"/>
    <d v="2026-02-25T00:00:00"/>
    <x v="0"/>
    <s v="Whatâ€™s your vibe today? #SpotifyHits"/>
    <n v="2275"/>
    <n v="285"/>
    <n v="125"/>
    <n v="43970"/>
    <n v="74761"/>
    <n v="83"/>
    <s v="#NowPlaying"/>
    <n v="143"/>
    <s v="ChillVibes"/>
    <n v="5.29"/>
    <n v="12391"/>
  </r>
  <r>
    <s v="SP198"/>
    <x v="2"/>
    <d v="2025-11-17T00:00:00"/>
    <x v="1"/>
    <s v="Top trending tracks updated daily!"/>
    <n v="1079"/>
    <n v="265"/>
    <n v="190"/>
    <n v="43786"/>
    <n v="72428"/>
    <n v="222"/>
    <s v="#SoundtrackOfLife"/>
    <n v="144"/>
    <s v="ChillVibes"/>
    <n v="5.28"/>
    <n v="14479"/>
  </r>
  <r>
    <s v="SP142"/>
    <x v="1"/>
    <d v="2025-09-22T00:00:00"/>
    <x v="1"/>
    <s v="New music just dropped. Hit play!"/>
    <n v="4563"/>
    <n v="398"/>
    <n v="163"/>
    <n v="43679"/>
    <n v="48760"/>
    <n v="92"/>
    <s v="#NowPlaying"/>
    <n v="145"/>
    <s v="Wrapped2024"/>
    <n v="5.25"/>
    <n v="7859"/>
  </r>
  <r>
    <s v="SP082"/>
    <x v="1"/>
    <d v="2025-07-24T00:00:00"/>
    <x v="0"/>
    <s v="Your weekend playlist is waiting."/>
    <n v="2102"/>
    <n v="181"/>
    <n v="306"/>
    <n v="43650"/>
    <n v="50079"/>
    <n v="182"/>
    <s v="#DiscoverWeekly"/>
    <n v="146"/>
    <s v="IndieWave"/>
    <n v="5.22"/>
    <n v="13013"/>
  </r>
  <r>
    <s v="SP049"/>
    <x v="2"/>
    <d v="2025-06-21T00:00:00"/>
    <x v="1"/>
    <s v="Get into the groove with our new drop!"/>
    <n v="4276"/>
    <n v="227"/>
    <n v="223"/>
    <n v="43443"/>
    <n v="41005"/>
    <n v="191"/>
    <s v="#DiscoverWeekly"/>
    <n v="147"/>
    <s v="ChillVibes"/>
    <n v="5.17"/>
    <n v="12937"/>
  </r>
  <r>
    <s v="SP260"/>
    <x v="2"/>
    <d v="2026-01-18T00:00:00"/>
    <x v="1"/>
    <s v="Explore the latest podcasts now."/>
    <n v="3341"/>
    <n v="154"/>
    <n v="123"/>
    <n v="43369"/>
    <n v="49035"/>
    <n v="128"/>
    <s v="#MusicForEveryone"/>
    <n v="148"/>
    <s v="ChillVibes"/>
    <n v="5.17"/>
    <n v="14534"/>
  </r>
  <r>
    <s v="SP032"/>
    <x v="2"/>
    <d v="2025-06-04T00:00:00"/>
    <x v="1"/>
    <s v="Explore the latest podcasts now."/>
    <n v="2776"/>
    <n v="307"/>
    <n v="178"/>
    <n v="43365"/>
    <n v="48408"/>
    <n v="138"/>
    <s v="#SoundtrackOfLife"/>
    <n v="149"/>
    <s v="ChillVibes"/>
    <n v="5.13"/>
    <n v="24827"/>
  </r>
  <r>
    <s v="SP173"/>
    <x v="1"/>
    <d v="2025-10-23T00:00:00"/>
    <x v="0"/>
    <s v="Get into the groove with our new drop!"/>
    <n v="3948"/>
    <n v="151"/>
    <n v="249"/>
    <n v="43147"/>
    <n v="63136"/>
    <n v="230"/>
    <s v="#DiscoverWeekly"/>
    <n v="150"/>
    <s v="IndieWave"/>
    <n v="5.12"/>
    <n v="11418"/>
  </r>
  <r>
    <s v="SP036"/>
    <x v="1"/>
    <d v="2025-06-08T00:00:00"/>
    <x v="0"/>
    <s v="Wrapped is here! Relive your top tracks ðŸŽ§"/>
    <n v="2274"/>
    <n v="243"/>
    <n v="222"/>
    <n v="43066"/>
    <n v="59174"/>
    <n v="80"/>
    <s v="#DiscoverWeekly"/>
    <n v="151"/>
    <s v="IndieWave"/>
    <n v="5.09"/>
    <n v="7975"/>
  </r>
  <r>
    <s v="SP131"/>
    <x v="2"/>
    <d v="2025-09-11T00:00:00"/>
    <x v="0"/>
    <s v="Your weekend playlist is waiting."/>
    <n v="1564"/>
    <n v="362"/>
    <n v="371"/>
    <n v="42075"/>
    <n v="66659"/>
    <n v="205"/>
    <s v="#SoundtrackOfLife"/>
    <n v="152"/>
    <s v="IndieWave"/>
    <n v="5.07"/>
    <n v="15773"/>
  </r>
  <r>
    <s v="SP023"/>
    <x v="0"/>
    <d v="2025-05-26T00:00:00"/>
    <x v="2"/>
    <s v="From pop to podcasts, itâ€™s all here."/>
    <n v="2786"/>
    <n v="368"/>
    <n v="208"/>
    <n v="42000"/>
    <n v="39967"/>
    <n v="103"/>
    <s v="#DiscoverWeekly"/>
    <n v="153"/>
    <s v="SummerBeats"/>
    <n v="5.0199999999999996"/>
    <n v="18867"/>
  </r>
  <r>
    <s v="SP108"/>
    <x v="0"/>
    <d v="2025-08-19T00:00:00"/>
    <x v="2"/>
    <s v="Music that moves youâ€”only on Spotify."/>
    <n v="3882"/>
    <n v="342"/>
    <n v="374"/>
    <n v="41991"/>
    <n v="48554"/>
    <n v="118"/>
    <s v="#DiscoverWeekly"/>
    <n v="154"/>
    <s v="SummerBeats"/>
    <n v="4.9800000000000004"/>
    <n v="27809"/>
  </r>
  <r>
    <s v="SP075"/>
    <x v="2"/>
    <d v="2025-07-17T00:00:00"/>
    <x v="1"/>
    <s v="From pop to podcasts, itâ€™s all here."/>
    <n v="1554"/>
    <n v="455"/>
    <n v="158"/>
    <n v="41947"/>
    <n v="48578"/>
    <n v="101"/>
    <s v="#SoundtrackOfLife"/>
    <n v="155"/>
    <s v="ChillVibes"/>
    <n v="4.97"/>
    <n v="21464"/>
  </r>
  <r>
    <s v="SP235"/>
    <x v="0"/>
    <d v="2025-12-24T00:00:00"/>
    <x v="0"/>
    <s v="Your weekend playlist is waiting."/>
    <n v="2101"/>
    <n v="411"/>
    <n v="190"/>
    <n v="41791"/>
    <n v="57090"/>
    <n v="172"/>
    <s v="#DiscoverWeekly"/>
    <n v="156"/>
    <s v="IndieWave"/>
    <n v="4.96"/>
    <n v="5413"/>
  </r>
  <r>
    <s v="SP097"/>
    <x v="1"/>
    <d v="2025-08-08T00:00:00"/>
    <x v="0"/>
    <s v="Whatâ€™s your vibe today? #SpotifyHits"/>
    <n v="3878"/>
    <n v="431"/>
    <n v="97"/>
    <n v="41763"/>
    <n v="29729"/>
    <n v="191"/>
    <s v="#DiscoverWeekly"/>
    <n v="157"/>
    <s v="IndieWave"/>
    <n v="4.8899999999999997"/>
    <n v="25478"/>
  </r>
  <r>
    <s v="SP017"/>
    <x v="2"/>
    <d v="2025-05-20T00:00:00"/>
    <x v="0"/>
    <s v="Whatâ€™s your vibe today? #SpotifyHits"/>
    <n v="1514"/>
    <n v="164"/>
    <n v="275"/>
    <n v="41364"/>
    <n v="44389"/>
    <n v="83"/>
    <s v="#NowPlaying"/>
    <n v="158"/>
    <s v="ChillVibes"/>
    <n v="4.8600000000000003"/>
    <n v="15128"/>
  </r>
  <r>
    <s v="SP216"/>
    <x v="2"/>
    <d v="2025-12-05T00:00:00"/>
    <x v="0"/>
    <s v="Music that moves youâ€”only on Spotify."/>
    <n v="1765"/>
    <n v="285"/>
    <n v="100"/>
    <n v="41313"/>
    <n v="56575"/>
    <n v="174"/>
    <s v="#SoundtrackOfLife"/>
    <n v="159"/>
    <s v="IndieWave"/>
    <n v="4.8"/>
    <n v="19949"/>
  </r>
  <r>
    <s v="SP293"/>
    <x v="0"/>
    <d v="2026-02-20T00:00:00"/>
    <x v="2"/>
    <s v="Your weekend playlist is waiting."/>
    <n v="1265"/>
    <n v="230"/>
    <n v="364"/>
    <n v="41312"/>
    <n v="50382"/>
    <n v="106"/>
    <s v="#DiscoverWeekly"/>
    <n v="160"/>
    <s v="SummerBeats"/>
    <n v="4.79"/>
    <n v="10563"/>
  </r>
  <r>
    <s v="SP041"/>
    <x v="1"/>
    <d v="2025-06-13T00:00:00"/>
    <x v="0"/>
    <s v="New music just dropped. Hit play!"/>
    <n v="4001"/>
    <n v="353"/>
    <n v="129"/>
    <n v="41265"/>
    <n v="37279"/>
    <n v="275"/>
    <s v="#SoundtrackOfLife"/>
    <n v="161"/>
    <s v="ChillVibes"/>
    <n v="4.71"/>
    <n v="27575"/>
  </r>
  <r>
    <s v="SP155"/>
    <x v="1"/>
    <d v="2025-10-05T00:00:00"/>
    <x v="0"/>
    <s v="Music that moves youâ€”only on Spotify."/>
    <n v="3563"/>
    <n v="483"/>
    <n v="227"/>
    <n v="41085"/>
    <n v="26393"/>
    <n v="236"/>
    <s v="#SoundtrackOfLife"/>
    <n v="162"/>
    <s v="ChillVibes"/>
    <n v="4.66"/>
    <n v="25040"/>
  </r>
  <r>
    <s v="SP146"/>
    <x v="1"/>
    <d v="2025-09-26T00:00:00"/>
    <x v="0"/>
    <s v="Discover fresh beats on Spotify!"/>
    <n v="2633"/>
    <n v="318"/>
    <n v="380"/>
    <n v="40869"/>
    <n v="64474"/>
    <n v="245"/>
    <s v="#DiscoverWeekly"/>
    <n v="163"/>
    <s v="IndieWave"/>
    <n v="4.53"/>
    <n v="5924"/>
  </r>
  <r>
    <s v="SP145"/>
    <x v="2"/>
    <d v="2025-09-25T00:00:00"/>
    <x v="1"/>
    <s v="Top trending tracks updated daily!"/>
    <n v="4287"/>
    <n v="273"/>
    <n v="122"/>
    <n v="40792"/>
    <n v="23878"/>
    <n v="277"/>
    <s v="#MusicForEveryone"/>
    <n v="164"/>
    <s v="ChillVibes"/>
    <n v="4.53"/>
    <n v="17574"/>
  </r>
  <r>
    <s v="SP099"/>
    <x v="2"/>
    <d v="2025-08-10T00:00:00"/>
    <x v="0"/>
    <s v="Wrapped is here! Relive your top tracks ðŸŽ§"/>
    <n v="1984"/>
    <n v="481"/>
    <n v="356"/>
    <n v="40681"/>
    <n v="63111"/>
    <n v="258"/>
    <s v="#NowPlaying"/>
    <n v="165"/>
    <s v="ChillVibes"/>
    <n v="4.5199999999999996"/>
    <n v="21107"/>
  </r>
  <r>
    <s v="SP225"/>
    <x v="0"/>
    <d v="2025-12-14T00:00:00"/>
    <x v="0"/>
    <s v="Wrapped is here! Relive your top tracks ðŸŽ§"/>
    <n v="1432"/>
    <n v="437"/>
    <n v="267"/>
    <n v="40634"/>
    <n v="54511"/>
    <n v="197"/>
    <s v="#DiscoverWeekly"/>
    <n v="166"/>
    <s v="IndieWave"/>
    <n v="4.5199999999999996"/>
    <n v="25130"/>
  </r>
  <r>
    <s v="SP195"/>
    <x v="0"/>
    <d v="2025-11-14T00:00:00"/>
    <x v="0"/>
    <s v="New music just dropped. Hit play!"/>
    <n v="3634"/>
    <n v="280"/>
    <n v="399"/>
    <n v="40256"/>
    <n v="52605"/>
    <n v="213"/>
    <s v="#DiscoverWeekly"/>
    <n v="167"/>
    <s v="IndieWave"/>
    <n v="4.4800000000000004"/>
    <n v="16921"/>
  </r>
  <r>
    <s v="SP035"/>
    <x v="2"/>
    <d v="2025-06-07T00:00:00"/>
    <x v="1"/>
    <s v="Your weekend playlist is waiting."/>
    <n v="3316"/>
    <n v="332"/>
    <n v="268"/>
    <n v="40095"/>
    <n v="36913"/>
    <n v="265"/>
    <s v="#MusicForEveryone"/>
    <n v="168"/>
    <s v="ChillVibes"/>
    <n v="4.4000000000000004"/>
    <n v="11908"/>
  </r>
  <r>
    <s v="SP047"/>
    <x v="0"/>
    <d v="2025-06-19T00:00:00"/>
    <x v="2"/>
    <s v="From pop to podcasts, itâ€™s all here."/>
    <n v="3361"/>
    <n v="188"/>
    <n v="358"/>
    <n v="39838"/>
    <n v="24536"/>
    <n v="120"/>
    <s v="#DiscoverWeekly"/>
    <n v="169"/>
    <s v="SummerBeats"/>
    <n v="4.33"/>
    <n v="12277"/>
  </r>
  <r>
    <s v="SP179"/>
    <x v="2"/>
    <d v="2025-10-29T00:00:00"/>
    <x v="0"/>
    <s v="Explore the latest podcasts now."/>
    <n v="2387"/>
    <n v="353"/>
    <n v="78"/>
    <n v="39745"/>
    <n v="69226"/>
    <n v="208"/>
    <s v="#SoundtrackOfLife"/>
    <n v="170"/>
    <s v="IndieWave"/>
    <n v="4.25"/>
    <n v="11911"/>
  </r>
  <r>
    <s v="SP218"/>
    <x v="2"/>
    <d v="2025-12-07T00:00:00"/>
    <x v="1"/>
    <s v="Explore the latest podcasts now."/>
    <n v="4303"/>
    <n v="306"/>
    <n v="302"/>
    <n v="39575"/>
    <n v="33762"/>
    <n v="265"/>
    <s v="#DiscoverWeekly"/>
    <n v="171"/>
    <s v="ChillVibes"/>
    <n v="4.2"/>
    <n v="24617"/>
  </r>
  <r>
    <s v="SP237"/>
    <x v="0"/>
    <d v="2025-12-26T00:00:00"/>
    <x v="0"/>
    <s v="Whatâ€™s your vibe today? #SpotifyHits"/>
    <n v="4502"/>
    <n v="238"/>
    <n v="386"/>
    <n v="39198"/>
    <n v="25050"/>
    <n v="297"/>
    <s v="#DiscoverWeekly"/>
    <n v="172"/>
    <s v="IndieWave"/>
    <n v="4.18"/>
    <n v="19538"/>
  </r>
  <r>
    <s v="SP058"/>
    <x v="0"/>
    <d v="2025-06-30T00:00:00"/>
    <x v="0"/>
    <s v="Top trending tracks updated daily!"/>
    <n v="3135"/>
    <n v="110"/>
    <n v="215"/>
    <n v="39192"/>
    <n v="24744"/>
    <n v="177"/>
    <s v="#DiscoverWeekly"/>
    <n v="173"/>
    <s v="IndieWave"/>
    <n v="4.12"/>
    <n v="13883"/>
  </r>
  <r>
    <s v="SP147"/>
    <x v="2"/>
    <d v="2025-09-27T00:00:00"/>
    <x v="1"/>
    <s v="Discover fresh beats on Spotify!"/>
    <n v="2383"/>
    <n v="136"/>
    <n v="302"/>
    <n v="39187"/>
    <n v="22133"/>
    <n v="208"/>
    <s v="#MusicForEveryone"/>
    <n v="174"/>
    <s v="ChillVibes"/>
    <n v="4.1100000000000003"/>
    <n v="20474"/>
  </r>
  <r>
    <s v="SP233"/>
    <x v="2"/>
    <d v="2025-12-22T00:00:00"/>
    <x v="0"/>
    <s v="From pop to podcasts, itâ€™s all here."/>
    <n v="2752"/>
    <n v="309"/>
    <n v="91"/>
    <n v="39038"/>
    <n v="28095"/>
    <n v="277"/>
    <s v="#NowPlaying"/>
    <n v="175"/>
    <s v="ChillVibes"/>
    <n v="4.08"/>
    <n v="24943"/>
  </r>
  <r>
    <s v="SP076"/>
    <x v="1"/>
    <d v="2025-07-18T00:00:00"/>
    <x v="0"/>
    <s v="Wrapped is here! Relive your top tracks ðŸŽ§"/>
    <n v="2464"/>
    <n v="401"/>
    <n v="78"/>
    <n v="38665"/>
    <n v="73593"/>
    <n v="207"/>
    <s v="#DiscoverWeekly"/>
    <n v="176"/>
    <s v="IndieWave"/>
    <n v="4.07"/>
    <n v="14273"/>
  </r>
  <r>
    <s v="SP012"/>
    <x v="1"/>
    <d v="2025-05-15T00:00:00"/>
    <x v="0"/>
    <s v="Discover fresh beats on Spotify!"/>
    <n v="1485"/>
    <n v="353"/>
    <n v="244"/>
    <n v="38419"/>
    <n v="38556"/>
    <n v="86"/>
    <s v="#SoundtrackOfLife"/>
    <n v="177"/>
    <s v="ChillVibes"/>
    <n v="4.0599999999999996"/>
    <n v="14563"/>
  </r>
  <r>
    <s v="SP220"/>
    <x v="0"/>
    <d v="2025-12-09T00:00:00"/>
    <x v="0"/>
    <s v="Whatâ€™s your vibe today? #SpotifyHits"/>
    <n v="2569"/>
    <n v="140"/>
    <n v="375"/>
    <n v="38372"/>
    <n v="22102"/>
    <n v="255"/>
    <s v="#DiscoverWeekly"/>
    <n v="178"/>
    <s v="IndieWave"/>
    <n v="4.03"/>
    <n v="17103"/>
  </r>
  <r>
    <s v="SP034"/>
    <x v="1"/>
    <d v="2025-06-06T00:00:00"/>
    <x v="0"/>
    <s v="New music just dropped. Hit play!"/>
    <n v="1015"/>
    <n v="366"/>
    <n v="308"/>
    <n v="38127"/>
    <n v="63790"/>
    <n v="287"/>
    <s v="#SoundtrackOfLife"/>
    <n v="179"/>
    <s v="ChillVibes"/>
    <n v="3.91"/>
    <n v="7881"/>
  </r>
  <r>
    <s v="SP185"/>
    <x v="0"/>
    <d v="2025-11-04T00:00:00"/>
    <x v="2"/>
    <s v="New music just dropped. Hit play!"/>
    <n v="2733"/>
    <n v="297"/>
    <n v="235"/>
    <n v="37980"/>
    <n v="33058"/>
    <n v="219"/>
    <s v="#DiscoverWeekly"/>
    <n v="180"/>
    <s v="SummerBeats"/>
    <n v="3.89"/>
    <n v="19000"/>
  </r>
  <r>
    <s v="SP187"/>
    <x v="0"/>
    <d v="2025-11-06T00:00:00"/>
    <x v="2"/>
    <s v="Wrapped is here! Relive your top tracks ðŸŽ§"/>
    <n v="4210"/>
    <n v="319"/>
    <n v="350"/>
    <n v="37762"/>
    <n v="55162"/>
    <n v="204"/>
    <s v="#DiscoverWeekly"/>
    <n v="181"/>
    <s v="SummerBeats"/>
    <n v="3.87"/>
    <n v="9847"/>
  </r>
  <r>
    <s v="SP135"/>
    <x v="2"/>
    <d v="2025-09-15T00:00:00"/>
    <x v="1"/>
    <s v="Explore the latest podcasts now."/>
    <n v="2870"/>
    <n v="380"/>
    <n v="393"/>
    <n v="37621"/>
    <n v="71794"/>
    <n v="127"/>
    <s v="#MusicForEveryone"/>
    <n v="182"/>
    <s v="ChillVibes"/>
    <n v="3.71"/>
    <n v="24858"/>
  </r>
  <r>
    <s v="SP215"/>
    <x v="0"/>
    <d v="2025-12-04T00:00:00"/>
    <x v="0"/>
    <s v="Your weekend playlist is waiting."/>
    <n v="2599"/>
    <n v="324"/>
    <n v="182"/>
    <n v="37525"/>
    <n v="37216"/>
    <n v="186"/>
    <s v="#DiscoverWeekly"/>
    <n v="183"/>
    <s v="IndieWave"/>
    <n v="3.71"/>
    <n v="27126"/>
  </r>
  <r>
    <s v="SP015"/>
    <x v="2"/>
    <d v="2025-05-18T00:00:00"/>
    <x v="0"/>
    <s v="Your weekend playlist is waiting."/>
    <n v="3476"/>
    <n v="355"/>
    <n v="396"/>
    <n v="37492"/>
    <n v="27285"/>
    <n v="179"/>
    <s v="#NowPlaying"/>
    <n v="184"/>
    <s v="ChillVibes"/>
    <n v="3.7"/>
    <n v="5291"/>
  </r>
  <r>
    <s v="SP080"/>
    <x v="1"/>
    <d v="2025-07-22T00:00:00"/>
    <x v="0"/>
    <s v="Music that moves youâ€”only on Spotify."/>
    <n v="2284"/>
    <n v="187"/>
    <n v="260"/>
    <n v="37400"/>
    <n v="65014"/>
    <n v="157"/>
    <s v="#SoundtrackOfLife"/>
    <n v="185"/>
    <s v="ChillVibes"/>
    <n v="3.65"/>
    <n v="13140"/>
  </r>
  <r>
    <s v="SP063"/>
    <x v="2"/>
    <d v="2025-07-05T00:00:00"/>
    <x v="0"/>
    <s v="New music just dropped. Hit play!"/>
    <n v="1035"/>
    <n v="137"/>
    <n v="184"/>
    <n v="37302"/>
    <n v="68953"/>
    <n v="237"/>
    <s v="#SoundtrackOfLife"/>
    <n v="186"/>
    <s v="IndieWave"/>
    <n v="3.57"/>
    <n v="26333"/>
  </r>
  <r>
    <s v="SP116"/>
    <x v="1"/>
    <d v="2025-08-27T00:00:00"/>
    <x v="1"/>
    <s v="New music just dropped. Hit play!"/>
    <n v="1311"/>
    <n v="181"/>
    <n v="361"/>
    <n v="37148"/>
    <n v="44875"/>
    <n v="245"/>
    <s v="#NowPlaying"/>
    <n v="187"/>
    <s v="Wrapped2024"/>
    <n v="3.55"/>
    <n v="11421"/>
  </r>
  <r>
    <s v="SP152"/>
    <x v="1"/>
    <d v="2025-10-02T00:00:00"/>
    <x v="0"/>
    <s v="Discover fresh beats on Spotify!"/>
    <n v="3118"/>
    <n v="116"/>
    <n v="195"/>
    <n v="37100"/>
    <n v="62629"/>
    <n v="272"/>
    <s v="#DiscoverWeekly"/>
    <n v="188"/>
    <s v="IndieWave"/>
    <n v="3.52"/>
    <n v="27753"/>
  </r>
  <r>
    <s v="SP227"/>
    <x v="0"/>
    <d v="2025-12-16T00:00:00"/>
    <x v="0"/>
    <s v="Music that moves youâ€”only on Spotify."/>
    <n v="4308"/>
    <n v="171"/>
    <n v="106"/>
    <n v="36955"/>
    <n v="23949"/>
    <n v="294"/>
    <s v="#DiscoverWeekly"/>
    <n v="189"/>
    <s v="IndieWave"/>
    <n v="3.5"/>
    <n v="14749"/>
  </r>
  <r>
    <s v="SP014"/>
    <x v="2"/>
    <d v="2025-05-17T00:00:00"/>
    <x v="0"/>
    <s v="From pop to podcasts, itâ€™s all here."/>
    <n v="2460"/>
    <n v="409"/>
    <n v="253"/>
    <n v="36702"/>
    <n v="46122"/>
    <n v="264"/>
    <s v="#NowPlaying"/>
    <n v="190"/>
    <s v="ChillVibes"/>
    <n v="3.49"/>
    <n v="11005"/>
  </r>
  <r>
    <s v="SP094"/>
    <x v="2"/>
    <d v="2025-08-05T00:00:00"/>
    <x v="1"/>
    <s v="Top trending tracks updated daily!"/>
    <n v="4628"/>
    <n v="257"/>
    <n v="397"/>
    <n v="36686"/>
    <n v="54683"/>
    <n v="98"/>
    <s v="#SoundtrackOfLife"/>
    <n v="191"/>
    <s v="ChillVibes"/>
    <n v="3.45"/>
    <n v="11335"/>
  </r>
  <r>
    <s v="SP073"/>
    <x v="0"/>
    <d v="2025-07-15T00:00:00"/>
    <x v="2"/>
    <s v="Discover fresh beats on Spotify!"/>
    <n v="1085"/>
    <n v="496"/>
    <n v="320"/>
    <n v="36528"/>
    <n v="38599"/>
    <n v="270"/>
    <s v="#DiscoverWeekly"/>
    <n v="192"/>
    <s v="SummerBeats"/>
    <n v="3.41"/>
    <n v="7140"/>
  </r>
  <r>
    <s v="SP104"/>
    <x v="2"/>
    <d v="2025-08-15T00:00:00"/>
    <x v="1"/>
    <s v="Whatâ€™s your vibe today? #SpotifyHits"/>
    <n v="2587"/>
    <n v="447"/>
    <n v="183"/>
    <n v="36266"/>
    <n v="32877"/>
    <n v="132"/>
    <s v="#DiscoverWeekly"/>
    <n v="193"/>
    <s v="ChillVibes"/>
    <n v="3.4"/>
    <n v="18071"/>
  </r>
  <r>
    <s v="SP236"/>
    <x v="1"/>
    <d v="2025-12-25T00:00:00"/>
    <x v="0"/>
    <s v="Discover fresh beats on Spotify!"/>
    <n v="2519"/>
    <n v="202"/>
    <n v="239"/>
    <n v="36245"/>
    <n v="48606"/>
    <n v="145"/>
    <s v="#DiscoverWeekly"/>
    <n v="194"/>
    <s v="IndieWave"/>
    <n v="3.39"/>
    <n v="10402"/>
  </r>
  <r>
    <s v="SP112"/>
    <x v="1"/>
    <d v="2025-08-23T00:00:00"/>
    <x v="0"/>
    <s v="Your weekend playlist is waiting."/>
    <n v="1333"/>
    <n v="286"/>
    <n v="298"/>
    <n v="36174"/>
    <n v="34517"/>
    <n v="170"/>
    <s v="#SoundtrackOfLife"/>
    <n v="195"/>
    <s v="ChillVibes"/>
    <n v="3.36"/>
    <n v="21134"/>
  </r>
  <r>
    <s v="SP045"/>
    <x v="0"/>
    <d v="2025-06-17T00:00:00"/>
    <x v="0"/>
    <s v="Your weekend playlist is waiting."/>
    <n v="3806"/>
    <n v="114"/>
    <n v="278"/>
    <n v="36148"/>
    <n v="24209"/>
    <n v="201"/>
    <s v="#DiscoverWeekly"/>
    <n v="196"/>
    <s v="IndieWave"/>
    <n v="3.35"/>
    <n v="22244"/>
  </r>
  <r>
    <s v="SP086"/>
    <x v="2"/>
    <d v="2025-07-28T00:00:00"/>
    <x v="1"/>
    <s v="Wrapped is here! Relive your top tracks ðŸŽ§"/>
    <n v="1371"/>
    <n v="139"/>
    <n v="96"/>
    <n v="36140"/>
    <n v="39395"/>
    <n v="169"/>
    <s v="#SoundtrackOfLife"/>
    <n v="197"/>
    <s v="ChillVibes"/>
    <n v="3.33"/>
    <n v="25267"/>
  </r>
  <r>
    <s v="SP100"/>
    <x v="1"/>
    <d v="2025-08-11T00:00:00"/>
    <x v="0"/>
    <s v="Discover fresh beats on Spotify!"/>
    <n v="3004"/>
    <n v="415"/>
    <n v="218"/>
    <n v="36090"/>
    <n v="37073"/>
    <n v="181"/>
    <s v="#DiscoverWeekly"/>
    <n v="198"/>
    <s v="IndieWave"/>
    <n v="3.27"/>
    <n v="21079"/>
  </r>
  <r>
    <s v="SP242"/>
    <x v="2"/>
    <d v="2025-12-31T00:00:00"/>
    <x v="1"/>
    <s v="From pop to podcasts, itâ€™s all here."/>
    <n v="4315"/>
    <n v="208"/>
    <n v="273"/>
    <n v="35780"/>
    <n v="44349"/>
    <n v="133"/>
    <s v="#DiscoverWeekly"/>
    <n v="199"/>
    <s v="ChillVibes"/>
    <n v="3.13"/>
    <n v="24112"/>
  </r>
  <r>
    <s v="SP079"/>
    <x v="0"/>
    <d v="2025-07-21T00:00:00"/>
    <x v="2"/>
    <s v="New music just dropped. Hit play!"/>
    <n v="4781"/>
    <n v="191"/>
    <n v="122"/>
    <n v="35535"/>
    <n v="50777"/>
    <n v="128"/>
    <s v="#DiscoverWeekly"/>
    <n v="200"/>
    <s v="SummerBeats"/>
    <n v="3.08"/>
    <n v="5281"/>
  </r>
  <r>
    <s v="SP201"/>
    <x v="2"/>
    <d v="2025-11-20T00:00:00"/>
    <x v="1"/>
    <s v="Wrapped is here! Relive your top tracks ðŸŽ§"/>
    <n v="1839"/>
    <n v="223"/>
    <n v="171"/>
    <n v="35459"/>
    <n v="69988"/>
    <n v="114"/>
    <s v="#MusicForEveryone"/>
    <n v="201"/>
    <s v="ChillVibes"/>
    <m/>
    <m/>
  </r>
  <r>
    <s v="SP109"/>
    <x v="1"/>
    <d v="2025-08-20T00:00:00"/>
    <x v="0"/>
    <s v="Music that moves youâ€”only on Spotify."/>
    <n v="4581"/>
    <n v="181"/>
    <n v="112"/>
    <n v="35221"/>
    <n v="28797"/>
    <n v="164"/>
    <s v="#SoundtrackOfLife"/>
    <n v="202"/>
    <s v="ChillVibes"/>
    <m/>
    <m/>
  </r>
  <r>
    <s v="SP083"/>
    <x v="2"/>
    <d v="2025-07-25T00:00:00"/>
    <x v="1"/>
    <s v="Get into the groove with our new drop!"/>
    <n v="4845"/>
    <n v="158"/>
    <n v="84"/>
    <n v="34578"/>
    <n v="51480"/>
    <n v="180"/>
    <s v="#SoundtrackOfLife"/>
    <n v="203"/>
    <s v="ChillVibes"/>
    <m/>
    <m/>
  </r>
  <r>
    <s v="SP254"/>
    <x v="2"/>
    <d v="2026-01-12T00:00:00"/>
    <x v="0"/>
    <s v="Whatâ€™s your vibe today? #SpotifyHits"/>
    <n v="4995"/>
    <n v="231"/>
    <n v="94"/>
    <n v="34431"/>
    <n v="32560"/>
    <n v="262"/>
    <s v="#NowPlaying"/>
    <n v="204"/>
    <s v="ChillVibes"/>
    <m/>
    <m/>
  </r>
  <r>
    <s v="SP163"/>
    <x v="0"/>
    <d v="2025-10-13T00:00:00"/>
    <x v="2"/>
    <s v="From pop to podcasts, itâ€™s all here."/>
    <n v="3414"/>
    <n v="154"/>
    <n v="204"/>
    <n v="34146"/>
    <n v="44633"/>
    <n v="256"/>
    <s v="#DiscoverWeekly"/>
    <n v="205"/>
    <s v="SummerBeats"/>
    <m/>
    <m/>
  </r>
  <r>
    <s v="SP286"/>
    <x v="1"/>
    <d v="2026-02-13T00:00:00"/>
    <x v="0"/>
    <s v="Get into the groove with our new drop!"/>
    <n v="3359"/>
    <n v="137"/>
    <n v="387"/>
    <n v="33861"/>
    <n v="47257"/>
    <n v="198"/>
    <s v="#DiscoverWeekly"/>
    <n v="206"/>
    <s v="IndieWave"/>
    <m/>
    <m/>
  </r>
  <r>
    <s v="SP168"/>
    <x v="1"/>
    <d v="2025-10-18T00:00:00"/>
    <x v="0"/>
    <s v="Top trending tracks updated daily!"/>
    <n v="2762"/>
    <n v="339"/>
    <n v="323"/>
    <n v="33757"/>
    <n v="68511"/>
    <n v="121"/>
    <s v="#SoundtrackOfLife"/>
    <n v="207"/>
    <s v="ChillVibes"/>
    <m/>
    <m/>
  </r>
  <r>
    <s v="SP158"/>
    <x v="2"/>
    <d v="2025-10-08T00:00:00"/>
    <x v="1"/>
    <s v="New music just dropped. Hit play!"/>
    <n v="4609"/>
    <n v="427"/>
    <n v="395"/>
    <n v="33698"/>
    <n v="29259"/>
    <n v="216"/>
    <s v="#DiscoverWeekly"/>
    <n v="208"/>
    <s v="ChillVibes"/>
    <m/>
    <m/>
  </r>
  <r>
    <s v="SP111"/>
    <x v="0"/>
    <d v="2025-08-22T00:00:00"/>
    <x v="2"/>
    <s v="Music that moves youâ€”only on Spotify."/>
    <n v="4955"/>
    <n v="299"/>
    <n v="345"/>
    <n v="33644"/>
    <n v="43547"/>
    <n v="194"/>
    <s v="#DiscoverWeekly"/>
    <n v="209"/>
    <s v="SummerBeats"/>
    <m/>
    <m/>
  </r>
  <r>
    <s v="SP125"/>
    <x v="2"/>
    <d v="2025-09-05T00:00:00"/>
    <x v="0"/>
    <s v="From pop to podcasts, itâ€™s all here."/>
    <n v="2956"/>
    <n v="381"/>
    <n v="345"/>
    <n v="33347"/>
    <n v="22558"/>
    <n v="173"/>
    <s v="#NowPlaying"/>
    <n v="210"/>
    <s v="ChillVibes"/>
    <m/>
    <m/>
  </r>
  <r>
    <s v="SP199"/>
    <x v="2"/>
    <d v="2025-11-18T00:00:00"/>
    <x v="1"/>
    <s v="Get into the groove with our new drop!"/>
    <n v="4247"/>
    <n v="179"/>
    <n v="175"/>
    <n v="32991"/>
    <n v="70120"/>
    <n v="276"/>
    <s v="#SoundtrackOfLife"/>
    <n v="211"/>
    <s v="ChillVibes"/>
    <m/>
    <m/>
  </r>
  <r>
    <s v="SP239"/>
    <x v="2"/>
    <d v="2025-12-28T00:00:00"/>
    <x v="1"/>
    <s v="New music just dropped. Hit play!"/>
    <n v="4984"/>
    <n v="300"/>
    <n v="338"/>
    <n v="32900"/>
    <n v="31691"/>
    <n v="160"/>
    <s v="#MusicForEveryone"/>
    <n v="212"/>
    <s v="ChillVibes"/>
    <m/>
    <m/>
  </r>
  <r>
    <s v="SP137"/>
    <x v="2"/>
    <d v="2025-09-17T00:00:00"/>
    <x v="1"/>
    <s v="New music just dropped. Hit play!"/>
    <n v="4965"/>
    <n v="175"/>
    <n v="307"/>
    <n v="32793"/>
    <n v="43412"/>
    <n v="296"/>
    <s v="#SoundtrackOfLife"/>
    <n v="213"/>
    <s v="ChillVibes"/>
    <m/>
    <m/>
  </r>
  <r>
    <s v="SP177"/>
    <x v="2"/>
    <d v="2025-10-27T00:00:00"/>
    <x v="0"/>
    <s v="Explore the latest podcasts now."/>
    <n v="4823"/>
    <n v="489"/>
    <n v="302"/>
    <n v="32470"/>
    <n v="31861"/>
    <n v="178"/>
    <s v="#SoundtrackOfLife"/>
    <n v="214"/>
    <s v="IndieWave"/>
    <m/>
    <m/>
  </r>
  <r>
    <s v="SP089"/>
    <x v="1"/>
    <d v="2025-07-31T00:00:00"/>
    <x v="0"/>
    <s v="Wrapped is here! Relive your top tracks ðŸŽ§"/>
    <n v="2601"/>
    <n v="336"/>
    <n v="260"/>
    <n v="32368"/>
    <n v="49028"/>
    <n v="120"/>
    <s v="#SoundtrackOfLife"/>
    <n v="215"/>
    <s v="ChillVibes"/>
    <m/>
    <m/>
  </r>
  <r>
    <s v="SP170"/>
    <x v="2"/>
    <d v="2025-10-20T00:00:00"/>
    <x v="0"/>
    <s v="New music just dropped. Hit play!"/>
    <n v="4318"/>
    <n v="371"/>
    <n v="329"/>
    <n v="32347"/>
    <n v="68956"/>
    <n v="259"/>
    <s v="#SoundtrackOfLife"/>
    <n v="216"/>
    <s v="IndieWave"/>
    <m/>
    <m/>
  </r>
  <r>
    <s v="SP018"/>
    <x v="1"/>
    <d v="2025-05-21T00:00:00"/>
    <x v="1"/>
    <s v="Music that moves youâ€”only on Spotify."/>
    <n v="4281"/>
    <n v="101"/>
    <n v="163"/>
    <n v="32278"/>
    <n v="53382"/>
    <n v="235"/>
    <s v="#NowPlaying"/>
    <n v="217"/>
    <s v="Wrapped2024"/>
    <m/>
    <m/>
  </r>
  <r>
    <s v="SP190"/>
    <x v="1"/>
    <d v="2025-11-09T00:00:00"/>
    <x v="0"/>
    <s v="Music that moves youâ€”only on Spotify."/>
    <n v="2605"/>
    <n v="282"/>
    <n v="148"/>
    <n v="32201"/>
    <n v="49583"/>
    <n v="241"/>
    <s v="#SoundtrackOfLife"/>
    <n v="218"/>
    <s v="ChillVibes"/>
    <m/>
    <m/>
  </r>
  <r>
    <s v="SP033"/>
    <x v="2"/>
    <d v="2025-06-05T00:00:00"/>
    <x v="1"/>
    <s v="Discover fresh beats on Spotify!"/>
    <n v="4929"/>
    <n v="182"/>
    <n v="95"/>
    <n v="32181"/>
    <n v="31084"/>
    <n v="289"/>
    <s v="#DiscoverWeekly"/>
    <n v="219"/>
    <s v="ChillVibes"/>
    <m/>
    <m/>
  </r>
  <r>
    <s v="SP259"/>
    <x v="2"/>
    <d v="2026-01-17T00:00:00"/>
    <x v="1"/>
    <s v="Music that moves youâ€”only on Spotify."/>
    <n v="1651"/>
    <n v="480"/>
    <n v="282"/>
    <n v="32140"/>
    <n v="70560"/>
    <n v="138"/>
    <s v="#SoundtrackOfLife"/>
    <n v="220"/>
    <s v="ChillVibes"/>
    <m/>
    <m/>
  </r>
  <r>
    <s v="SP103"/>
    <x v="1"/>
    <d v="2025-08-14T00:00:00"/>
    <x v="0"/>
    <s v="Music that moves youâ€”only on Spotify."/>
    <n v="1830"/>
    <n v="112"/>
    <n v="181"/>
    <n v="31870"/>
    <n v="55742"/>
    <n v="263"/>
    <s v="#SoundtrackOfLife"/>
    <n v="221"/>
    <s v="ChillVibes"/>
    <m/>
    <m/>
  </r>
  <r>
    <s v="SP019"/>
    <x v="0"/>
    <d v="2025-05-22T00:00:00"/>
    <x v="2"/>
    <s v="Get into the groove with our new drop!"/>
    <n v="1751"/>
    <n v="143"/>
    <n v="151"/>
    <n v="31826"/>
    <n v="47729"/>
    <n v="95"/>
    <s v="#DiscoverWeekly"/>
    <n v="222"/>
    <s v="SummerBeats"/>
    <m/>
    <m/>
  </r>
  <r>
    <s v="SP213"/>
    <x v="1"/>
    <d v="2025-12-02T00:00:00"/>
    <x v="1"/>
    <s v="Get into the groove with our new drop!"/>
    <n v="4902"/>
    <n v="422"/>
    <n v="376"/>
    <n v="31674"/>
    <n v="53225"/>
    <n v="147"/>
    <s v="#NowPlaying"/>
    <n v="223"/>
    <s v="Wrapped2024"/>
    <m/>
    <m/>
  </r>
  <r>
    <s v="SP011"/>
    <x v="2"/>
    <d v="2025-05-14T00:00:00"/>
    <x v="0"/>
    <s v="Discover fresh beats on Spotify!"/>
    <n v="1971"/>
    <n v="370"/>
    <n v="306"/>
    <n v="31316"/>
    <n v="27897"/>
    <n v="88"/>
    <s v="#SoundtrackOfLife"/>
    <n v="224"/>
    <s v="IndieWave"/>
    <m/>
    <m/>
  </r>
  <r>
    <s v="SP057"/>
    <x v="1"/>
    <d v="2025-06-29T00:00:00"/>
    <x v="0"/>
    <s v="Top trending tracks updated daily!"/>
    <n v="2683"/>
    <n v="405"/>
    <n v="223"/>
    <n v="31233"/>
    <n v="58106"/>
    <n v="291"/>
    <s v="#DiscoverWeekly"/>
    <n v="225"/>
    <s v="IndieWave"/>
    <m/>
    <m/>
  </r>
  <r>
    <s v="SP027"/>
    <x v="1"/>
    <d v="2025-05-30T00:00:00"/>
    <x v="0"/>
    <s v="Whatâ€™s your vibe today? #SpotifyHits"/>
    <n v="2824"/>
    <n v="425"/>
    <n v="274"/>
    <n v="31004"/>
    <n v="53488"/>
    <n v="268"/>
    <s v="#SoundtrackOfLife"/>
    <n v="226"/>
    <s v="ChillVibes"/>
    <m/>
    <m/>
  </r>
  <r>
    <s v="SP203"/>
    <x v="1"/>
    <d v="2025-11-22T00:00:00"/>
    <x v="0"/>
    <s v="Top trending tracks updated daily!"/>
    <n v="2080"/>
    <n v="389"/>
    <n v="92"/>
    <n v="30971"/>
    <n v="25347"/>
    <n v="111"/>
    <s v="#DiscoverWeekly"/>
    <n v="227"/>
    <s v="IndieWave"/>
    <m/>
    <m/>
  </r>
  <r>
    <s v="SP088"/>
    <x v="2"/>
    <d v="2025-07-30T00:00:00"/>
    <x v="1"/>
    <s v="Whatâ€™s your vibe today? #SpotifyHits"/>
    <n v="4796"/>
    <n v="427"/>
    <n v="339"/>
    <n v="30752"/>
    <n v="33870"/>
    <n v="298"/>
    <s v="#SoundtrackOfLife"/>
    <n v="228"/>
    <s v="ChillVibes"/>
    <m/>
    <m/>
  </r>
  <r>
    <s v="SP067"/>
    <x v="0"/>
    <d v="2025-07-09T00:00:00"/>
    <x v="2"/>
    <s v="Your weekend playlist is waiting."/>
    <n v="4563"/>
    <n v="488"/>
    <n v="356"/>
    <n v="30619"/>
    <n v="23328"/>
    <n v="267"/>
    <s v="#DiscoverWeekly"/>
    <n v="229"/>
    <s v="SummerBeats"/>
    <m/>
    <m/>
  </r>
  <r>
    <s v="SP077"/>
    <x v="2"/>
    <d v="2025-07-19T00:00:00"/>
    <x v="0"/>
    <s v="From pop to podcasts, itâ€™s all here."/>
    <n v="2418"/>
    <n v="161"/>
    <n v="360"/>
    <n v="30589"/>
    <n v="41383"/>
    <n v="88"/>
    <s v="#NowPlaying"/>
    <n v="230"/>
    <s v="ChillVibes"/>
    <m/>
    <m/>
  </r>
  <r>
    <s v="SP287"/>
    <x v="0"/>
    <d v="2026-02-14T00:00:00"/>
    <x v="0"/>
    <s v="Your weekend playlist is waiting."/>
    <n v="2172"/>
    <n v="338"/>
    <n v="70"/>
    <n v="30515"/>
    <n v="57853"/>
    <n v="156"/>
    <s v="#DiscoverWeekly"/>
    <n v="231"/>
    <s v="IndieWave"/>
    <m/>
    <m/>
  </r>
  <r>
    <s v="SP150"/>
    <x v="2"/>
    <d v="2025-09-30T00:00:00"/>
    <x v="1"/>
    <s v="Your weekend playlist is waiting."/>
    <n v="2311"/>
    <n v="207"/>
    <n v="363"/>
    <n v="30349"/>
    <n v="32925"/>
    <n v="88"/>
    <s v="#MusicForEveryone"/>
    <n v="232"/>
    <s v="ChillVibes"/>
    <m/>
    <m/>
  </r>
  <r>
    <s v="SP092"/>
    <x v="0"/>
    <d v="2025-08-03T00:00:00"/>
    <x v="2"/>
    <s v="Explore the latest podcasts now."/>
    <n v="1948"/>
    <n v="155"/>
    <n v="315"/>
    <n v="30321"/>
    <n v="57121"/>
    <n v="82"/>
    <s v="#DiscoverWeekly"/>
    <n v="233"/>
    <s v="SummerBeats"/>
    <m/>
    <m/>
  </r>
  <r>
    <s v="SP134"/>
    <x v="2"/>
    <d v="2025-09-14T00:00:00"/>
    <x v="0"/>
    <s v="New music just dropped. Hit play!"/>
    <n v="1583"/>
    <n v="433"/>
    <n v="249"/>
    <n v="30256"/>
    <n v="47066"/>
    <n v="196"/>
    <s v="#NowPlaying"/>
    <n v="234"/>
    <s v="ChillVibes"/>
    <m/>
    <m/>
  </r>
  <r>
    <s v="SP296"/>
    <x v="2"/>
    <d v="2026-02-23T00:00:00"/>
    <x v="1"/>
    <s v="Your weekend playlist is waiting."/>
    <n v="3393"/>
    <n v="104"/>
    <n v="79"/>
    <n v="30025"/>
    <n v="21593"/>
    <n v="165"/>
    <s v="#MusicForEveryone"/>
    <n v="235"/>
    <s v="ChillVibes"/>
    <m/>
    <m/>
  </r>
  <r>
    <s v="SP231"/>
    <x v="1"/>
    <d v="2025-12-20T00:00:00"/>
    <x v="0"/>
    <s v="Whatâ€™s your vibe today? #SpotifyHits"/>
    <n v="1673"/>
    <n v="280"/>
    <n v="67"/>
    <n v="29847"/>
    <n v="48016"/>
    <n v="213"/>
    <s v="#SoundtrackOfLife"/>
    <n v="236"/>
    <s v="ChillVibes"/>
    <m/>
    <m/>
  </r>
  <r>
    <s v="SP167"/>
    <x v="0"/>
    <d v="2025-10-17T00:00:00"/>
    <x v="0"/>
    <s v="Wrapped is here! Relive your top tracks ðŸŽ§"/>
    <n v="4294"/>
    <n v="423"/>
    <n v="93"/>
    <n v="29828"/>
    <n v="73144"/>
    <n v="298"/>
    <s v="#DiscoverWeekly"/>
    <n v="237"/>
    <s v="IndieWave"/>
    <m/>
    <m/>
  </r>
  <r>
    <s v="SP250"/>
    <x v="2"/>
    <d v="2026-01-08T00:00:00"/>
    <x v="0"/>
    <s v="Your weekend playlist is waiting."/>
    <n v="4782"/>
    <n v="210"/>
    <n v="311"/>
    <n v="29793"/>
    <n v="37543"/>
    <n v="145"/>
    <s v="#NowPlaying"/>
    <n v="238"/>
    <s v="ChillVibes"/>
    <m/>
    <m/>
  </r>
  <r>
    <s v="SP084"/>
    <x v="2"/>
    <d v="2025-07-26T00:00:00"/>
    <x v="0"/>
    <s v="Your weekend playlist is waiting."/>
    <n v="4247"/>
    <n v="390"/>
    <n v="213"/>
    <n v="29785"/>
    <n v="57768"/>
    <n v="122"/>
    <s v="#NowPlaying"/>
    <n v="239"/>
    <s v="ChillVibes"/>
    <m/>
    <m/>
  </r>
  <r>
    <s v="SP004"/>
    <x v="1"/>
    <d v="2025-05-07T00:00:00"/>
    <x v="0"/>
    <s v="Wrapped is here! Relive your top tracks ðŸŽ§"/>
    <n v="3173"/>
    <n v="229"/>
    <n v="197"/>
    <n v="29604"/>
    <n v="21809"/>
    <n v="272"/>
    <s v="#SoundtrackOfLife"/>
    <n v="240"/>
    <s v="ChillVibes"/>
    <m/>
    <m/>
  </r>
  <r>
    <s v="SP140"/>
    <x v="2"/>
    <d v="2025-09-20T00:00:00"/>
    <x v="1"/>
    <s v="New music just dropped. Hit play!"/>
    <n v="1856"/>
    <n v="357"/>
    <n v="348"/>
    <n v="29428"/>
    <n v="70206"/>
    <n v="236"/>
    <s v="#MusicForEveryone"/>
    <n v="241"/>
    <s v="ChillVibes"/>
    <m/>
    <m/>
  </r>
  <r>
    <s v="SP020"/>
    <x v="1"/>
    <d v="2025-05-23T00:00:00"/>
    <x v="0"/>
    <s v="Your weekend playlist is waiting."/>
    <n v="3753"/>
    <n v="411"/>
    <n v="308"/>
    <n v="29138"/>
    <n v="27678"/>
    <n v="90"/>
    <s v="#DiscoverWeekly"/>
    <n v="242"/>
    <s v="IndieWave"/>
    <m/>
    <m/>
  </r>
  <r>
    <s v="SP002"/>
    <x v="1"/>
    <d v="2025-05-04T00:00:00"/>
    <x v="0"/>
    <s v="Explore the latest podcasts now."/>
    <n v="1934"/>
    <n v="210"/>
    <n v="393"/>
    <n v="29129"/>
    <n v="73287"/>
    <n v="273"/>
    <s v="#DiscoverWeekly"/>
    <n v="243"/>
    <s v="IndieWave"/>
    <m/>
    <m/>
  </r>
  <r>
    <s v="SP071"/>
    <x v="2"/>
    <d v="2025-07-13T00:00:00"/>
    <x v="0"/>
    <s v="Whatâ€™s your vibe today? #SpotifyHits"/>
    <n v="4218"/>
    <n v="247"/>
    <n v="183"/>
    <n v="28914"/>
    <n v="18310"/>
    <n v="135"/>
    <s v="#SoundtrackOfLife"/>
    <n v="244"/>
    <s v="IndieWave"/>
    <m/>
    <m/>
  </r>
  <r>
    <s v="SP300"/>
    <x v="1"/>
    <d v="2026-02-27T00:00:00"/>
    <x v="0"/>
    <s v="Music that moves youâ€”only on Spotify."/>
    <n v="1883"/>
    <n v="432"/>
    <n v="397"/>
    <n v="28759"/>
    <n v="18691"/>
    <n v="270"/>
    <s v="#SoundtrackOfLife"/>
    <n v="245"/>
    <s v="ChillVibes"/>
    <m/>
    <m/>
  </r>
  <r>
    <s v="SP024"/>
    <x v="2"/>
    <d v="2025-05-27T00:00:00"/>
    <x v="0"/>
    <s v="New music just dropped. Hit play!"/>
    <n v="2607"/>
    <n v="379"/>
    <n v="180"/>
    <n v="28712"/>
    <n v="61620"/>
    <n v="174"/>
    <s v="#SoundtrackOfLife"/>
    <n v="246"/>
    <s v="IndieWave"/>
    <m/>
    <m/>
  </r>
  <r>
    <s v="SP022"/>
    <x v="1"/>
    <d v="2025-05-25T00:00:00"/>
    <x v="0"/>
    <s v="Whatâ€™s your vibe today? #SpotifyHits"/>
    <n v="4896"/>
    <n v="466"/>
    <n v="233"/>
    <n v="28621"/>
    <n v="34270"/>
    <n v="84"/>
    <s v="#SoundtrackOfLife"/>
    <n v="247"/>
    <s v="ChillVibes"/>
    <m/>
    <m/>
  </r>
  <r>
    <s v="SP248"/>
    <x v="0"/>
    <d v="2026-01-06T00:00:00"/>
    <x v="2"/>
    <s v="Wrapped is here! Relive your top tracks ðŸŽ§"/>
    <n v="4722"/>
    <n v="310"/>
    <n v="344"/>
    <n v="27911"/>
    <n v="19000"/>
    <n v="225"/>
    <s v="#DiscoverWeekly"/>
    <n v="248"/>
    <s v="SummerBeats"/>
    <m/>
    <m/>
  </r>
  <r>
    <s v="SP243"/>
    <x v="2"/>
    <d v="2026-01-01T00:00:00"/>
    <x v="1"/>
    <s v="Wrapped is here! Relive your top tracks ðŸŽ§"/>
    <n v="2267"/>
    <n v="230"/>
    <n v="243"/>
    <n v="27904"/>
    <n v="69771"/>
    <n v="255"/>
    <s v="#DiscoverWeekly"/>
    <n v="249"/>
    <s v="ChillVibes"/>
    <m/>
    <m/>
  </r>
  <r>
    <s v="SP139"/>
    <x v="2"/>
    <d v="2025-09-19T00:00:00"/>
    <x v="0"/>
    <s v="Your weekend playlist is waiting."/>
    <n v="2754"/>
    <n v="215"/>
    <n v="264"/>
    <n v="27762"/>
    <n v="70203"/>
    <n v="289"/>
    <s v="#NowPlaying"/>
    <n v="250"/>
    <s v="ChillVibes"/>
    <m/>
    <m/>
  </r>
  <r>
    <s v="SP284"/>
    <x v="1"/>
    <d v="2026-02-11T00:00:00"/>
    <x v="1"/>
    <s v="Top trending tracks updated daily!"/>
    <n v="1914"/>
    <n v="255"/>
    <n v="156"/>
    <n v="27660"/>
    <n v="47776"/>
    <n v="111"/>
    <s v="#NowPlaying"/>
    <n v="251"/>
    <s v="Wrapped2024"/>
    <m/>
    <m/>
  </r>
  <r>
    <s v="SP040"/>
    <x v="2"/>
    <d v="2025-06-12T00:00:00"/>
    <x v="0"/>
    <s v="Explore the latest podcasts now."/>
    <n v="3615"/>
    <n v="192"/>
    <n v="162"/>
    <n v="27492"/>
    <n v="35341"/>
    <n v="125"/>
    <s v="#NowPlaying"/>
    <n v="252"/>
    <s v="ChillVibes"/>
    <m/>
    <m/>
  </r>
  <r>
    <s v="SP165"/>
    <x v="1"/>
    <d v="2025-10-15T00:00:00"/>
    <x v="1"/>
    <s v="Music that moves youâ€”only on Spotify."/>
    <n v="2414"/>
    <n v="220"/>
    <n v="280"/>
    <n v="27355"/>
    <n v="50562"/>
    <n v="258"/>
    <s v="#NowPlaying"/>
    <n v="253"/>
    <s v="Wrapped2024"/>
    <m/>
    <m/>
  </r>
  <r>
    <s v="SP172"/>
    <x v="0"/>
    <d v="2025-10-22T00:00:00"/>
    <x v="0"/>
    <s v="Explore the latest podcasts now."/>
    <n v="4023"/>
    <n v="293"/>
    <n v="91"/>
    <n v="26795"/>
    <n v="28924"/>
    <n v="278"/>
    <s v="#DiscoverWeekly"/>
    <n v="254"/>
    <s v="IndieWave"/>
    <m/>
    <m/>
  </r>
  <r>
    <s v="SP030"/>
    <x v="2"/>
    <d v="2025-06-02T00:00:00"/>
    <x v="0"/>
    <s v="Discover fresh beats on Spotify!"/>
    <n v="2411"/>
    <n v="194"/>
    <n v="168"/>
    <n v="26665"/>
    <n v="71699"/>
    <n v="197"/>
    <s v="#NowPlaying"/>
    <n v="255"/>
    <s v="ChillVibes"/>
    <m/>
    <m/>
  </r>
  <r>
    <s v="SP292"/>
    <x v="2"/>
    <d v="2026-02-19T00:00:00"/>
    <x v="1"/>
    <s v="Explore the latest podcasts now."/>
    <n v="3061"/>
    <n v="320"/>
    <n v="76"/>
    <n v="26640"/>
    <n v="24306"/>
    <n v="112"/>
    <s v="#MusicForEveryone"/>
    <n v="256"/>
    <s v="ChillVibes"/>
    <m/>
    <m/>
  </r>
  <r>
    <s v="SP249"/>
    <x v="1"/>
    <d v="2026-01-07T00:00:00"/>
    <x v="0"/>
    <s v="Whatâ€™s your vibe today? #SpotifyHits"/>
    <n v="3529"/>
    <n v="263"/>
    <n v="107"/>
    <n v="26570"/>
    <n v="19367"/>
    <n v="96"/>
    <s v="#DiscoverWeekly"/>
    <n v="257"/>
    <s v="IndieWave"/>
    <m/>
    <m/>
  </r>
  <r>
    <s v="SP193"/>
    <x v="0"/>
    <d v="2025-11-12T00:00:00"/>
    <x v="2"/>
    <s v="Wrapped is here! Relive your top tracks ðŸŽ§"/>
    <n v="1211"/>
    <n v="431"/>
    <n v="83"/>
    <n v="26532"/>
    <n v="47305"/>
    <n v="232"/>
    <s v="#DiscoverWeekly"/>
    <n v="258"/>
    <s v="SummerBeats"/>
    <m/>
    <m/>
  </r>
  <r>
    <s v="SP221"/>
    <x v="2"/>
    <d v="2025-12-10T00:00:00"/>
    <x v="1"/>
    <s v="Music that moves youâ€”only on Spotify."/>
    <n v="2778"/>
    <n v="241"/>
    <n v="317"/>
    <n v="26247"/>
    <n v="20677"/>
    <n v="282"/>
    <s v="#MusicForEveryone"/>
    <n v="259"/>
    <s v="ChillVibes"/>
    <m/>
    <m/>
  </r>
  <r>
    <s v="SP171"/>
    <x v="1"/>
    <d v="2025-10-21T00:00:00"/>
    <x v="1"/>
    <s v="Wrapped is here! Relive your top tracks ðŸŽ§"/>
    <n v="2335"/>
    <n v="150"/>
    <n v="75"/>
    <n v="26114"/>
    <n v="57549"/>
    <n v="135"/>
    <s v="#NowPlaying"/>
    <n v="260"/>
    <s v="Wrapped2024"/>
    <m/>
    <m/>
  </r>
  <r>
    <s v="SP217"/>
    <x v="1"/>
    <d v="2025-12-06T00:00:00"/>
    <x v="0"/>
    <s v="Whatâ€™s your vibe today? #SpotifyHits"/>
    <n v="2169"/>
    <n v="240"/>
    <n v="57"/>
    <n v="26109"/>
    <n v="46667"/>
    <n v="133"/>
    <s v="#SoundtrackOfLife"/>
    <n v="261"/>
    <s v="ChillVibes"/>
    <m/>
    <m/>
  </r>
  <r>
    <s v="SP295"/>
    <x v="1"/>
    <d v="2026-02-22T00:00:00"/>
    <x v="1"/>
    <s v="Top trending tracks updated daily!"/>
    <n v="2244"/>
    <n v="392"/>
    <n v="231"/>
    <n v="25834"/>
    <n v="50906"/>
    <n v="165"/>
    <s v="#NowPlaying"/>
    <n v="262"/>
    <s v="Wrapped2024"/>
    <m/>
    <m/>
  </r>
  <r>
    <s v="SP266"/>
    <x v="1"/>
    <d v="2026-01-24T00:00:00"/>
    <x v="1"/>
    <s v="Get into the groove with our new drop!"/>
    <n v="2448"/>
    <n v="464"/>
    <n v="98"/>
    <n v="25737"/>
    <n v="48545"/>
    <n v="246"/>
    <s v="#NowPlaying"/>
    <n v="263"/>
    <s v="Wrapped2024"/>
    <m/>
    <m/>
  </r>
  <r>
    <s v="SP093"/>
    <x v="1"/>
    <d v="2025-08-04T00:00:00"/>
    <x v="0"/>
    <s v="From pop to podcasts, itâ€™s all here."/>
    <n v="1100"/>
    <n v="229"/>
    <n v="312"/>
    <n v="25641"/>
    <n v="34601"/>
    <n v="169"/>
    <s v="#DiscoverWeekly"/>
    <n v="264"/>
    <s v="IndieWave"/>
    <m/>
    <m/>
  </r>
  <r>
    <s v="SP159"/>
    <x v="1"/>
    <d v="2025-10-09T00:00:00"/>
    <x v="1"/>
    <s v="Get into the groove with our new drop!"/>
    <n v="1558"/>
    <n v="352"/>
    <n v="202"/>
    <n v="25405"/>
    <n v="69941"/>
    <n v="219"/>
    <s v="#NowPlaying"/>
    <n v="265"/>
    <s v="Wrapped2024"/>
    <m/>
    <m/>
  </r>
  <r>
    <s v="SP110"/>
    <x v="1"/>
    <d v="2025-08-21T00:00:00"/>
    <x v="0"/>
    <s v="New music just dropped. Hit play!"/>
    <n v="3253"/>
    <n v="483"/>
    <n v="336"/>
    <n v="25397"/>
    <n v="51485"/>
    <n v="131"/>
    <s v="#DiscoverWeekly"/>
    <n v="266"/>
    <s v="IndieWave"/>
    <m/>
    <m/>
  </r>
  <r>
    <s v="SP162"/>
    <x v="1"/>
    <d v="2025-10-12T00:00:00"/>
    <x v="0"/>
    <s v="Music that moves youâ€”only on Spotify."/>
    <n v="2422"/>
    <n v="318"/>
    <n v="118"/>
    <n v="25386"/>
    <n v="20873"/>
    <n v="100"/>
    <s v="#SoundtrackOfLife"/>
    <n v="267"/>
    <s v="ChillVibes"/>
    <m/>
    <m/>
  </r>
  <r>
    <s v="SP234"/>
    <x v="2"/>
    <d v="2025-12-23T00:00:00"/>
    <x v="0"/>
    <s v="From pop to podcasts, itâ€™s all here."/>
    <n v="3818"/>
    <n v="115"/>
    <n v="286"/>
    <n v="25127"/>
    <n v="22277"/>
    <n v="263"/>
    <s v="#NowPlaying"/>
    <n v="268"/>
    <s v="ChillVibes"/>
    <m/>
    <m/>
  </r>
  <r>
    <s v="SP202"/>
    <x v="2"/>
    <d v="2025-11-21T00:00:00"/>
    <x v="1"/>
    <s v="Wrapped is here! Relive your top tracks ðŸŽ§"/>
    <n v="2340"/>
    <n v="141"/>
    <n v="206"/>
    <n v="24916"/>
    <n v="30582"/>
    <n v="157"/>
    <s v="#SoundtrackOfLife"/>
    <n v="269"/>
    <s v="ChillVibes"/>
    <m/>
    <m/>
  </r>
  <r>
    <s v="SP050"/>
    <x v="2"/>
    <d v="2025-06-22T00:00:00"/>
    <x v="0"/>
    <s v="Discover fresh beats on Spotify!"/>
    <n v="4401"/>
    <n v="421"/>
    <n v="216"/>
    <n v="24890"/>
    <n v="54361"/>
    <n v="148"/>
    <s v="#NowPlaying"/>
    <n v="270"/>
    <s v="ChillVibes"/>
    <m/>
    <m/>
  </r>
  <r>
    <s v="SP128"/>
    <x v="1"/>
    <d v="2025-09-08T00:00:00"/>
    <x v="0"/>
    <s v="New music just dropped. Hit play!"/>
    <n v="1902"/>
    <n v="394"/>
    <n v="279"/>
    <n v="24615"/>
    <n v="51330"/>
    <n v="176"/>
    <s v="#SoundtrackOfLife"/>
    <n v="271"/>
    <s v="ChillVibes"/>
    <m/>
    <m/>
  </r>
  <r>
    <s v="SP157"/>
    <x v="0"/>
    <d v="2025-10-07T00:00:00"/>
    <x v="0"/>
    <s v="From pop to podcasts, itâ€™s all here."/>
    <n v="4425"/>
    <n v="185"/>
    <n v="162"/>
    <n v="24610"/>
    <n v="21342"/>
    <n v="158"/>
    <s v="#DiscoverWeekly"/>
    <n v="272"/>
    <s v="IndieWave"/>
    <m/>
    <m/>
  </r>
  <r>
    <s v="SP005"/>
    <x v="0"/>
    <d v="2025-05-08T00:00:00"/>
    <x v="0"/>
    <s v="Music that moves youâ€”only on Spotify."/>
    <n v="2748"/>
    <n v="145"/>
    <n v="315"/>
    <n v="24401"/>
    <n v="61182"/>
    <n v="200"/>
    <s v="#DiscoverWeekly"/>
    <n v="273"/>
    <s v="IndieWave"/>
    <m/>
    <m/>
  </r>
  <r>
    <s v="SP096"/>
    <x v="2"/>
    <d v="2025-08-07T00:00:00"/>
    <x v="1"/>
    <s v="Wrapped is here! Relive your top tracks ðŸŽ§"/>
    <n v="2895"/>
    <n v="292"/>
    <n v="90"/>
    <n v="24223"/>
    <n v="54626"/>
    <n v="114"/>
    <s v="#SoundtrackOfLife"/>
    <n v="274"/>
    <s v="ChillVibes"/>
    <m/>
    <m/>
  </r>
  <r>
    <s v="SP048"/>
    <x v="1"/>
    <d v="2025-06-20T00:00:00"/>
    <x v="1"/>
    <s v="Music that moves youâ€”only on Spotify."/>
    <n v="3074"/>
    <n v="371"/>
    <n v="348"/>
    <n v="24104"/>
    <n v="57803"/>
    <n v="213"/>
    <s v="#NowPlaying"/>
    <n v="275"/>
    <s v="Wrapped2024"/>
    <m/>
    <m/>
  </r>
  <r>
    <s v="SP046"/>
    <x v="1"/>
    <d v="2025-06-18T00:00:00"/>
    <x v="0"/>
    <s v="Explore the latest podcasts now."/>
    <n v="2923"/>
    <n v="330"/>
    <n v="250"/>
    <n v="23993"/>
    <n v="74590"/>
    <n v="92"/>
    <s v="#DiscoverWeekly"/>
    <n v="276"/>
    <s v="IndieWave"/>
    <m/>
    <m/>
  </r>
  <r>
    <s v="SP290"/>
    <x v="2"/>
    <d v="2026-02-17T00:00:00"/>
    <x v="0"/>
    <s v="Explore the latest podcasts now."/>
    <n v="3418"/>
    <n v="107"/>
    <n v="221"/>
    <n v="23927"/>
    <n v="26182"/>
    <n v="155"/>
    <s v="#SoundtrackOfLife"/>
    <n v="277"/>
    <s v="IndieWave"/>
    <m/>
    <m/>
  </r>
  <r>
    <s v="SP271"/>
    <x v="2"/>
    <d v="2026-01-29T00:00:00"/>
    <x v="1"/>
    <s v="Discover fresh beats on Spotify!"/>
    <n v="3029"/>
    <n v="440"/>
    <n v="66"/>
    <n v="23815"/>
    <n v="47895"/>
    <n v="210"/>
    <s v="#DiscoverWeekly"/>
    <n v="278"/>
    <s v="ChillVibes"/>
    <m/>
    <m/>
  </r>
  <r>
    <s v="SP102"/>
    <x v="2"/>
    <d v="2025-08-13T00:00:00"/>
    <x v="0"/>
    <s v="Discover fresh beats on Spotify!"/>
    <n v="3036"/>
    <n v="293"/>
    <n v="115"/>
    <n v="23776"/>
    <n v="46386"/>
    <n v="282"/>
    <s v="#NowPlaying"/>
    <n v="279"/>
    <s v="ChillVibes"/>
    <m/>
    <m/>
  </r>
  <r>
    <s v="SP056"/>
    <x v="1"/>
    <d v="2025-06-28T00:00:00"/>
    <x v="1"/>
    <s v="From pop to podcasts, itâ€™s all here."/>
    <n v="2422"/>
    <n v="455"/>
    <n v="376"/>
    <n v="23428"/>
    <n v="46775"/>
    <n v="259"/>
    <s v="#NowPlaying"/>
    <n v="280"/>
    <s v="Wrapped2024"/>
    <m/>
    <m/>
  </r>
  <r>
    <s v="SP277"/>
    <x v="1"/>
    <d v="2026-02-04T00:00:00"/>
    <x v="1"/>
    <s v="New music just dropped. Hit play!"/>
    <n v="1205"/>
    <n v="486"/>
    <n v="269"/>
    <n v="23341"/>
    <n v="42411"/>
    <n v="184"/>
    <s v="#NowPlaying"/>
    <n v="281"/>
    <s v="Wrapped2024"/>
    <m/>
    <m/>
  </r>
  <r>
    <s v="SP214"/>
    <x v="2"/>
    <d v="2025-12-03T00:00:00"/>
    <x v="0"/>
    <s v="Wrapped is here! Relive your top tracks ðŸŽ§"/>
    <n v="2659"/>
    <n v="167"/>
    <n v="73"/>
    <n v="23090"/>
    <n v="25872"/>
    <n v="293"/>
    <s v="#SoundtrackOfLife"/>
    <n v="282"/>
    <s v="IndieWave"/>
    <m/>
    <m/>
  </r>
  <r>
    <s v="SP136"/>
    <x v="2"/>
    <d v="2025-09-16T00:00:00"/>
    <x v="0"/>
    <s v="Top trending tracks updated daily!"/>
    <n v="3728"/>
    <n v="271"/>
    <n v="275"/>
    <n v="22827"/>
    <n v="37034"/>
    <n v="199"/>
    <s v="#NowPlaying"/>
    <n v="283"/>
    <s v="ChillVibes"/>
    <m/>
    <m/>
  </r>
  <r>
    <s v="SP161"/>
    <x v="1"/>
    <d v="2025-10-11T00:00:00"/>
    <x v="0"/>
    <s v="Discover fresh beats on Spotify!"/>
    <n v="3086"/>
    <n v="148"/>
    <n v="310"/>
    <n v="22824"/>
    <n v="58103"/>
    <n v="275"/>
    <s v="#DiscoverWeekly"/>
    <n v="284"/>
    <s v="IndieWave"/>
    <m/>
    <m/>
  </r>
  <r>
    <s v="SP078"/>
    <x v="2"/>
    <d v="2025-07-20T00:00:00"/>
    <x v="1"/>
    <s v="Discover fresh beats on Spotify!"/>
    <n v="2494"/>
    <n v="494"/>
    <n v="55"/>
    <n v="22580"/>
    <n v="22214"/>
    <n v="109"/>
    <s v="#MusicForEveryone"/>
    <n v="285"/>
    <s v="ChillVibes"/>
    <m/>
    <m/>
  </r>
  <r>
    <s v="SP186"/>
    <x v="2"/>
    <d v="2025-11-05T00:00:00"/>
    <x v="1"/>
    <s v="Explore the latest podcasts now."/>
    <n v="4618"/>
    <n v="312"/>
    <n v="254"/>
    <n v="22571"/>
    <n v="29453"/>
    <n v="197"/>
    <s v="#MusicForEveryone"/>
    <n v="286"/>
    <s v="ChillVibes"/>
    <m/>
    <m/>
  </r>
  <r>
    <s v="SP090"/>
    <x v="2"/>
    <d v="2025-08-01T00:00:00"/>
    <x v="1"/>
    <s v="Wrapped is here! Relive your top tracks ðŸŽ§"/>
    <n v="3336"/>
    <n v="229"/>
    <n v="337"/>
    <n v="22117"/>
    <n v="26205"/>
    <n v="160"/>
    <s v="#MusicForEveryone"/>
    <n v="287"/>
    <s v="ChillVibes"/>
    <m/>
    <m/>
  </r>
  <r>
    <s v="SP183"/>
    <x v="2"/>
    <d v="2025-11-02T00:00:00"/>
    <x v="0"/>
    <s v="Top trending tracks updated daily!"/>
    <n v="3204"/>
    <n v="398"/>
    <n v="85"/>
    <n v="22020"/>
    <n v="58353"/>
    <n v="286"/>
    <s v="#SoundtrackOfLife"/>
    <n v="288"/>
    <s v="IndieWave"/>
    <m/>
    <m/>
  </r>
  <r>
    <s v="SP052"/>
    <x v="2"/>
    <d v="2025-06-24T00:00:00"/>
    <x v="1"/>
    <s v="New music just dropped. Hit play!"/>
    <n v="2613"/>
    <n v="455"/>
    <n v="228"/>
    <n v="21645"/>
    <n v="61334"/>
    <n v="261"/>
    <s v="#DiscoverWeekly"/>
    <n v="289"/>
    <s v="ChillVibes"/>
    <m/>
    <m/>
  </r>
  <r>
    <s v="SP010"/>
    <x v="2"/>
    <d v="2025-05-13T00:00:00"/>
    <x v="0"/>
    <s v="Wrapped is here! Relive your top tracks ðŸŽ§"/>
    <n v="2357"/>
    <n v="274"/>
    <n v="172"/>
    <n v="21566"/>
    <n v="66829"/>
    <n v="284"/>
    <s v="#NowPlaying"/>
    <n v="290"/>
    <s v="ChillVibes"/>
    <m/>
    <m/>
  </r>
  <r>
    <s v="SP106"/>
    <x v="2"/>
    <d v="2025-08-17T00:00:00"/>
    <x v="1"/>
    <s v="New music just dropped. Hit play!"/>
    <n v="4619"/>
    <n v="272"/>
    <n v="57"/>
    <n v="21334"/>
    <n v="46292"/>
    <n v="91"/>
    <s v="#SoundtrackOfLife"/>
    <n v="291"/>
    <s v="ChillVibes"/>
    <m/>
    <m/>
  </r>
  <r>
    <s v="SP095"/>
    <x v="1"/>
    <d v="2025-08-06T00:00:00"/>
    <x v="1"/>
    <s v="Discover fresh beats on Spotify!"/>
    <n v="2319"/>
    <n v="484"/>
    <n v="193"/>
    <n v="21202"/>
    <n v="18091"/>
    <n v="241"/>
    <s v="#NowPlaying"/>
    <n v="292"/>
    <s v="Wrapped2024"/>
    <m/>
    <m/>
  </r>
  <r>
    <s v="SP001"/>
    <x v="1"/>
    <d v="2025-05-04T00:00:00"/>
    <x v="0"/>
    <s v="Discover fresh beats on Spotify!"/>
    <n v="2414"/>
    <n v="245"/>
    <n v="137"/>
    <n v="21181"/>
    <n v="45292"/>
    <n v="133"/>
    <s v="#SoundtrackOfLife"/>
    <n v="293"/>
    <s v="ChillVibes"/>
    <m/>
    <m/>
  </r>
  <r>
    <s v="SP008"/>
    <x v="2"/>
    <d v="2025-05-11T00:00:00"/>
    <x v="1"/>
    <s v="Wrapped is here! Relive your top tracks ðŸŽ§"/>
    <n v="1428"/>
    <n v="347"/>
    <n v="67"/>
    <n v="21148"/>
    <n v="19712"/>
    <n v="120"/>
    <s v="#DiscoverWeekly"/>
    <m/>
    <s v="ChillVibes"/>
    <m/>
    <m/>
  </r>
  <r>
    <s v="SP007"/>
    <x v="2"/>
    <d v="2025-05-10T00:00:00"/>
    <x v="1"/>
    <s v="Get into the groove with our new drop!"/>
    <n v="4674"/>
    <n v="409"/>
    <n v="327"/>
    <n v="20756"/>
    <n v="63599"/>
    <n v="212"/>
    <s v="#SoundtrackOfLife"/>
    <m/>
    <s v="ChillVibes"/>
    <m/>
    <m/>
  </r>
  <r>
    <s v="SP246"/>
    <x v="2"/>
    <d v="2026-01-04T00:00:00"/>
    <x v="1"/>
    <s v="Top trending tracks updated daily!"/>
    <n v="2981"/>
    <n v="258"/>
    <n v="168"/>
    <n v="20677"/>
    <n v="68290"/>
    <n v="130"/>
    <s v="#SoundtrackOfLife"/>
    <m/>
    <s v="ChillVibes"/>
    <m/>
    <m/>
  </r>
  <r>
    <s v="SP091"/>
    <x v="2"/>
    <d v="2025-08-02T00:00:00"/>
    <x v="0"/>
    <s v="Explore the latest podcasts now."/>
    <n v="1165"/>
    <n v="294"/>
    <n v="163"/>
    <n v="20659"/>
    <n v="45926"/>
    <n v="111"/>
    <s v="#SoundtrackOfLife"/>
    <m/>
    <s v="IndieWave"/>
    <m/>
    <m/>
  </r>
  <r>
    <s v="SP068"/>
    <x v="2"/>
    <d v="2025-07-10T00:00:00"/>
    <x v="0"/>
    <s v="Music that moves youâ€”only on Spotify."/>
    <n v="3276"/>
    <n v="421"/>
    <n v="114"/>
    <n v="20580"/>
    <n v="30324"/>
    <n v="221"/>
    <s v="#SoundtrackOfLife"/>
    <m/>
    <s v="IndieWave"/>
    <m/>
    <m/>
  </r>
  <r>
    <s v="SP279"/>
    <x v="2"/>
    <d v="2026-02-06T00:00:00"/>
    <x v="1"/>
    <s v="New music just dropped. Hit play!"/>
    <n v="3507"/>
    <n v="295"/>
    <n v="371"/>
    <n v="20410"/>
    <n v="53965"/>
    <n v="212"/>
    <s v="#SoundtrackOfLife"/>
    <m/>
    <s v="ChillVibes"/>
    <m/>
    <m/>
  </r>
  <r>
    <s v="SP072"/>
    <x v="1"/>
    <d v="2025-07-14T00:00:00"/>
    <x v="0"/>
    <s v="From pop to podcasts, itâ€™s all here."/>
    <n v="1360"/>
    <n v="249"/>
    <n v="52"/>
    <n v="20368"/>
    <n v="42152"/>
    <n v="193"/>
    <s v="#DiscoverWeekly"/>
    <m/>
    <s v="IndieWave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x v="0"/>
    <n v="2414"/>
    <n v="245"/>
    <n v="137"/>
    <n v="21181"/>
    <n v="45292"/>
    <n v="133"/>
    <x v="0"/>
    <s v="#NowPlaying"/>
    <s v="ChillVibes"/>
    <n v="13.200509890939994"/>
  </r>
  <r>
    <s v="SP002"/>
    <x v="0"/>
    <d v="2025-02-01T00:00:00"/>
    <x v="0"/>
    <x v="1"/>
    <n v="1934"/>
    <n v="210"/>
    <n v="393"/>
    <n v="29129"/>
    <n v="73287"/>
    <n v="273"/>
    <x v="1"/>
    <s v="NA"/>
    <s v="IndieWave"/>
    <n v="8.7095334546328402"/>
  </r>
  <r>
    <s v="SP003"/>
    <x v="1"/>
    <d v="2024-12-03T00:00:00"/>
    <x v="1"/>
    <x v="2"/>
    <n v="3092"/>
    <n v="177"/>
    <n v="81"/>
    <n v="47533"/>
    <n v="29220"/>
    <n v="121"/>
    <x v="2"/>
    <s v="#NowPlaying"/>
    <s v="ChillVibes"/>
    <n v="7.0477352576105021"/>
  </r>
  <r>
    <s v="SP004"/>
    <x v="0"/>
    <d v="2024-12-03T00:00:00"/>
    <x v="0"/>
    <x v="3"/>
    <n v="3173"/>
    <n v="229"/>
    <n v="197"/>
    <n v="29604"/>
    <n v="21809"/>
    <n v="272"/>
    <x v="0"/>
    <s v="#NowPlaying"/>
    <s v="ChillVibes"/>
    <n v="12.15714092690177"/>
  </r>
  <r>
    <s v="SP005"/>
    <x v="2"/>
    <d v="2024-04-06T00:00:00"/>
    <x v="0"/>
    <x v="4"/>
    <n v="2748"/>
    <n v="145"/>
    <n v="315"/>
    <n v="24401"/>
    <n v="61182"/>
    <n v="200"/>
    <x v="1"/>
    <s v="#SpotifyWrapped"/>
    <s v="IndieWave"/>
    <n v="13.14700217204213"/>
  </r>
  <r>
    <s v="SP006"/>
    <x v="2"/>
    <d v="2024-06-13T00:00:00"/>
    <x v="0"/>
    <x v="5"/>
    <n v="3882"/>
    <n v="239"/>
    <n v="275"/>
    <n v="58748"/>
    <n v="44646"/>
    <n v="149"/>
    <x v="1"/>
    <s v="#SpotifyWrapped"/>
    <s v="IndieWave"/>
    <n v="7.4828079253761839"/>
  </r>
  <r>
    <s v="SP007"/>
    <x v="1"/>
    <d v="2024-12-19T00:00:00"/>
    <x v="1"/>
    <x v="6"/>
    <n v="4674"/>
    <n v="409"/>
    <n v="327"/>
    <n v="20756"/>
    <n v="63599"/>
    <n v="212"/>
    <x v="0"/>
    <s v="#NowPlaying"/>
    <s v="ChillVibes"/>
    <n v="26.064752360763155"/>
  </r>
  <r>
    <s v="SP008"/>
    <x v="1"/>
    <d v="2024-05-09T00:00:00"/>
    <x v="1"/>
    <x v="3"/>
    <n v="1428"/>
    <n v="347"/>
    <n v="67"/>
    <n v="21148"/>
    <n v="19712"/>
    <n v="120"/>
    <x v="1"/>
    <s v="#MusicForEveryone"/>
    <s v="ChillVibes"/>
    <n v="8.7100435029317183"/>
  </r>
  <r>
    <s v="SP009"/>
    <x v="1"/>
    <d v="2025-06-15T00:00:00"/>
    <x v="0"/>
    <x v="7"/>
    <n v="4432"/>
    <n v="223"/>
    <n v="299"/>
    <n v="59016"/>
    <n v="21742"/>
    <n v="171"/>
    <x v="3"/>
    <s v="NA"/>
    <s v="ChillVibes"/>
    <n v="8.3943337400027112"/>
  </r>
  <r>
    <s v="SP010"/>
    <x v="1"/>
    <d v="2024-12-04T00:00:00"/>
    <x v="0"/>
    <x v="3"/>
    <n v="2357"/>
    <n v="274"/>
    <n v="172"/>
    <n v="21566"/>
    <n v="66829"/>
    <n v="284"/>
    <x v="3"/>
    <s v="NA"/>
    <s v="ChillVibes"/>
    <n v="12.997310581470833"/>
  </r>
  <r>
    <s v="SP011"/>
    <x v="1"/>
    <d v="2024-03-06T00:00:00"/>
    <x v="0"/>
    <x v="0"/>
    <n v="1971"/>
    <n v="370"/>
    <n v="306"/>
    <n v="31316"/>
    <n v="27897"/>
    <n v="88"/>
    <x v="0"/>
    <s v="NA"/>
    <s v="IndieWave"/>
    <n v="8.4525482181632388"/>
  </r>
  <r>
    <s v="SP012"/>
    <x v="0"/>
    <d v="2024-05-14T00:00:00"/>
    <x v="0"/>
    <x v="0"/>
    <n v="1485"/>
    <n v="353"/>
    <n v="244"/>
    <n v="38419"/>
    <n v="38556"/>
    <n v="86"/>
    <x v="0"/>
    <s v="#NowPlaying"/>
    <s v="ChillVibes"/>
    <n v="5.4191936281527369"/>
  </r>
  <r>
    <s v="SP013"/>
    <x v="1"/>
    <d v="2025-06-18T00:00:00"/>
    <x v="1"/>
    <x v="0"/>
    <n v="3956"/>
    <n v="319"/>
    <n v="61"/>
    <n v="58162"/>
    <n v="28720"/>
    <n v="213"/>
    <x v="2"/>
    <s v="#NowPlaying"/>
    <s v="ChillVibes"/>
    <n v="7.4550393727863558"/>
  </r>
  <r>
    <s v="SP014"/>
    <x v="1"/>
    <d v="2024-10-08T00:00:00"/>
    <x v="0"/>
    <x v="8"/>
    <n v="2460"/>
    <n v="409"/>
    <n v="253"/>
    <n v="36702"/>
    <n v="46122"/>
    <n v="264"/>
    <x v="3"/>
    <s v="NA"/>
    <s v="ChillVibes"/>
    <n v="8.5063484278785886"/>
  </r>
  <r>
    <s v="SP015"/>
    <x v="1"/>
    <d v="2024-05-06T00:00:00"/>
    <x v="0"/>
    <x v="9"/>
    <n v="3476"/>
    <n v="355"/>
    <n v="396"/>
    <n v="37492"/>
    <n v="27285"/>
    <n v="179"/>
    <x v="3"/>
    <s v="NA"/>
    <s v="ChillVibes"/>
    <n v="11.27440520644404"/>
  </r>
  <r>
    <s v="SP016"/>
    <x v="1"/>
    <d v="2024-12-29T00:00:00"/>
    <x v="1"/>
    <x v="2"/>
    <n v="4049"/>
    <n v="377"/>
    <n v="94"/>
    <n v="48182"/>
    <n v="42875"/>
    <n v="172"/>
    <x v="2"/>
    <s v="#NowPlaying"/>
    <s v="ChillVibes"/>
    <n v="9.3810966751068872"/>
  </r>
  <r>
    <s v="SP017"/>
    <x v="1"/>
    <d v="2024-06-10T00:00:00"/>
    <x v="0"/>
    <x v="5"/>
    <n v="1514"/>
    <n v="164"/>
    <n v="275"/>
    <n v="41364"/>
    <n v="44389"/>
    <n v="83"/>
    <x v="3"/>
    <s v="NA"/>
    <s v="ChillVibes"/>
    <n v="4.7214969538729328"/>
  </r>
  <r>
    <s v="SP018"/>
    <x v="0"/>
    <d v="2024-02-03T00:00:00"/>
    <x v="1"/>
    <x v="4"/>
    <n v="4281"/>
    <n v="101"/>
    <n v="163"/>
    <n v="32278"/>
    <n v="53382"/>
    <n v="235"/>
    <x v="3"/>
    <s v="NA"/>
    <s v="Wrapped2024"/>
    <n v="14.080798066794721"/>
  </r>
  <r>
    <s v="SP019"/>
    <x v="2"/>
    <d v="2024-06-15T00:00:00"/>
    <x v="2"/>
    <x v="6"/>
    <n v="1751"/>
    <n v="143"/>
    <n v="151"/>
    <n v="31826"/>
    <n v="47729"/>
    <n v="95"/>
    <x v="1"/>
    <s v="#SoundtrackOfLife"/>
    <s v="SummerBeats"/>
    <n v="6.4255640042732365"/>
  </r>
  <r>
    <s v="SP020"/>
    <x v="0"/>
    <d v="2024-07-05T00:00:00"/>
    <x v="0"/>
    <x v="9"/>
    <n v="3753"/>
    <n v="411"/>
    <n v="308"/>
    <n v="29138"/>
    <n v="27678"/>
    <n v="90"/>
    <x v="1"/>
    <s v="NA"/>
    <s v="IndieWave"/>
    <n v="15.347655981879333"/>
  </r>
  <r>
    <s v="SP021"/>
    <x v="0"/>
    <d v="2024-11-07T00:00:00"/>
    <x v="1"/>
    <x v="3"/>
    <n v="1678"/>
    <n v="423"/>
    <n v="323"/>
    <n v="55668"/>
    <n v="37945"/>
    <n v="230"/>
    <x v="3"/>
    <s v="NA"/>
    <s v="Wrapped2024"/>
    <n v="4.3543867212761374"/>
  </r>
  <r>
    <s v="SP022"/>
    <x v="0"/>
    <d v="2025-06-15T00:00:00"/>
    <x v="0"/>
    <x v="5"/>
    <n v="4896"/>
    <n v="466"/>
    <n v="233"/>
    <n v="28621"/>
    <n v="34270"/>
    <n v="84"/>
    <x v="0"/>
    <s v="#NowPlaying"/>
    <s v="ChillVibes"/>
    <n v="19.548583208133888"/>
  </r>
  <r>
    <s v="SP023"/>
    <x v="2"/>
    <d v="2024-06-09T00:00:00"/>
    <x v="2"/>
    <x v="8"/>
    <n v="2786"/>
    <n v="368"/>
    <n v="208"/>
    <n v="42000"/>
    <n v="39967"/>
    <n v="103"/>
    <x v="1"/>
    <s v="#SoundtrackOfLife"/>
    <s v="SummerBeats"/>
    <n v="8.0047619047619047"/>
  </r>
  <r>
    <s v="SP024"/>
    <x v="1"/>
    <d v="2024-10-18T00:00:00"/>
    <x v="0"/>
    <x v="2"/>
    <n v="2607"/>
    <n v="379"/>
    <n v="180"/>
    <n v="28712"/>
    <n v="61620"/>
    <n v="174"/>
    <x v="0"/>
    <s v="NA"/>
    <s v="IndieWave"/>
    <n v="11.026748397882418"/>
  </r>
  <r>
    <s v="SP025"/>
    <x v="2"/>
    <d v="2024-10-10T00:00:00"/>
    <x v="2"/>
    <x v="8"/>
    <n v="4013"/>
    <n v="320"/>
    <n v="92"/>
    <n v="54605"/>
    <n v="60169"/>
    <n v="232"/>
    <x v="1"/>
    <s v="#SoundtrackOfLife"/>
    <s v="SummerBeats"/>
    <n v="8.1036535115831878"/>
  </r>
  <r>
    <s v="SP026"/>
    <x v="1"/>
    <d v="2025-05-14T00:00:00"/>
    <x v="1"/>
    <x v="8"/>
    <n v="2707"/>
    <n v="103"/>
    <n v="51"/>
    <n v="55302"/>
    <n v="18801"/>
    <n v="147"/>
    <x v="1"/>
    <s v="#MusicForEveryone"/>
    <s v="ChillVibes"/>
    <n v="5.1734114498571477"/>
  </r>
  <r>
    <s v="SP027"/>
    <x v="0"/>
    <d v="2024-11-29T00:00:00"/>
    <x v="0"/>
    <x v="5"/>
    <n v="2824"/>
    <n v="425"/>
    <n v="274"/>
    <n v="31004"/>
    <n v="53488"/>
    <n v="268"/>
    <x v="0"/>
    <s v="#NowPlaying"/>
    <s v="ChillVibes"/>
    <n v="11.363049929041415"/>
  </r>
  <r>
    <s v="SP028"/>
    <x v="2"/>
    <d v="2024-03-05T00:00:00"/>
    <x v="2"/>
    <x v="1"/>
    <n v="3558"/>
    <n v="314"/>
    <n v="199"/>
    <n v="49612"/>
    <n v="53929"/>
    <n v="206"/>
    <x v="1"/>
    <s v="#SoundtrackOfLife"/>
    <s v="SummerBeats"/>
    <n v="8.2056760461178744"/>
  </r>
  <r>
    <s v="SP029"/>
    <x v="1"/>
    <d v="2025-03-18T00:00:00"/>
    <x v="1"/>
    <x v="1"/>
    <n v="3418"/>
    <n v="188"/>
    <n v="387"/>
    <n v="57431"/>
    <n v="36933"/>
    <n v="202"/>
    <x v="2"/>
    <s v="#NowPlaying"/>
    <s v="ChillVibes"/>
    <n v="6.9526910553533803"/>
  </r>
  <r>
    <s v="SP030"/>
    <x v="1"/>
    <d v="2025-04-26T00:00:00"/>
    <x v="0"/>
    <x v="0"/>
    <n v="2411"/>
    <n v="194"/>
    <n v="168"/>
    <n v="26665"/>
    <n v="71699"/>
    <n v="197"/>
    <x v="3"/>
    <s v="NA"/>
    <s v="ChillVibes"/>
    <n v="10.399399962497656"/>
  </r>
  <r>
    <s v="SP031"/>
    <x v="0"/>
    <d v="2025-01-01T00:00:00"/>
    <x v="0"/>
    <x v="2"/>
    <n v="4036"/>
    <n v="112"/>
    <n v="382"/>
    <n v="56284"/>
    <n v="29440"/>
    <n v="279"/>
    <x v="0"/>
    <s v="#NowPlaying"/>
    <s v="ChillVibes"/>
    <n v="8.0484684812735416"/>
  </r>
  <r>
    <s v="SP032"/>
    <x v="1"/>
    <d v="2024-05-07T00:00:00"/>
    <x v="1"/>
    <x v="1"/>
    <n v="2776"/>
    <n v="307"/>
    <n v="178"/>
    <n v="43365"/>
    <n v="48408"/>
    <n v="138"/>
    <x v="0"/>
    <s v="#NowPlaying"/>
    <s v="ChillVibes"/>
    <n v="7.5198893116568657"/>
  </r>
  <r>
    <s v="SP033"/>
    <x v="1"/>
    <d v="2024-10-09T00:00:00"/>
    <x v="1"/>
    <x v="0"/>
    <n v="4929"/>
    <n v="182"/>
    <n v="95"/>
    <n v="32181"/>
    <n v="31084"/>
    <n v="289"/>
    <x v="1"/>
    <s v="#MusicForEveryone"/>
    <s v="ChillVibes"/>
    <n v="16.177247444144061"/>
  </r>
  <r>
    <s v="SP034"/>
    <x v="0"/>
    <d v="2025-01-09T00:00:00"/>
    <x v="0"/>
    <x v="2"/>
    <n v="1015"/>
    <n v="366"/>
    <n v="308"/>
    <n v="38127"/>
    <n v="63790"/>
    <n v="287"/>
    <x v="0"/>
    <s v="#NowPlaying"/>
    <s v="ChillVibes"/>
    <n v="4.4299315445747114"/>
  </r>
  <r>
    <s v="SP035"/>
    <x v="1"/>
    <d v="2025-05-08T00:00:00"/>
    <x v="1"/>
    <x v="9"/>
    <n v="3316"/>
    <n v="332"/>
    <n v="268"/>
    <n v="40095"/>
    <n v="36913"/>
    <n v="265"/>
    <x v="2"/>
    <s v="#NowPlaying"/>
    <s v="ChillVibes"/>
    <n v="9.7668038408779143"/>
  </r>
  <r>
    <s v="SP036"/>
    <x v="0"/>
    <d v="2024-05-04T00:00:00"/>
    <x v="0"/>
    <x v="3"/>
    <n v="2274"/>
    <n v="243"/>
    <n v="222"/>
    <n v="43066"/>
    <n v="59174"/>
    <n v="80"/>
    <x v="1"/>
    <s v="NA"/>
    <s v="IndieWave"/>
    <n v="6.3600055728416844"/>
  </r>
  <r>
    <s v="SP037"/>
    <x v="1"/>
    <d v="2025-05-27T00:00:00"/>
    <x v="1"/>
    <x v="1"/>
    <n v="4095"/>
    <n v="385"/>
    <n v="400"/>
    <n v="45300"/>
    <n v="31795"/>
    <n v="80"/>
    <x v="2"/>
    <s v="#NowPlaying"/>
    <s v="ChillVibes"/>
    <n v="10.772626931567329"/>
  </r>
  <r>
    <s v="SP038"/>
    <x v="0"/>
    <d v="2024-09-10T00:00:00"/>
    <x v="1"/>
    <x v="2"/>
    <n v="1230"/>
    <n v="309"/>
    <n v="207"/>
    <n v="44629"/>
    <n v="40699"/>
    <n v="195"/>
    <x v="3"/>
    <s v="NA"/>
    <s v="Wrapped2024"/>
    <n v="3.9122543637545095"/>
  </r>
  <r>
    <s v="SP039"/>
    <x v="0"/>
    <d v="2024-11-25T00:00:00"/>
    <x v="0"/>
    <x v="8"/>
    <n v="1341"/>
    <n v="472"/>
    <n v="238"/>
    <n v="51386"/>
    <n v="51706"/>
    <n v="133"/>
    <x v="1"/>
    <s v="NA"/>
    <s v="IndieWave"/>
    <n v="3.9913595142645857"/>
  </r>
  <r>
    <s v="SP040"/>
    <x v="1"/>
    <d v="2025-06-10T00:00:00"/>
    <x v="0"/>
    <x v="1"/>
    <n v="3615"/>
    <n v="192"/>
    <n v="162"/>
    <n v="27492"/>
    <n v="35341"/>
    <n v="125"/>
    <x v="3"/>
    <s v="NA"/>
    <s v="ChillVibes"/>
    <n v="14.436927106067218"/>
  </r>
  <r>
    <s v="SP041"/>
    <x v="0"/>
    <d v="2024-04-19T00:00:00"/>
    <x v="0"/>
    <x v="2"/>
    <n v="4001"/>
    <n v="353"/>
    <n v="129"/>
    <n v="41265"/>
    <n v="37279"/>
    <n v="275"/>
    <x v="0"/>
    <s v="#NowPlaying"/>
    <s v="ChillVibes"/>
    <n v="10.863928268508422"/>
  </r>
  <r>
    <s v="SP042"/>
    <x v="0"/>
    <d v="2025-01-26T00:00:00"/>
    <x v="1"/>
    <x v="5"/>
    <n v="3451"/>
    <n v="363"/>
    <n v="393"/>
    <n v="44853"/>
    <n v="69032"/>
    <n v="211"/>
    <x v="3"/>
    <s v="NA"/>
    <s v="Wrapped2024"/>
    <n v="9.3795286825853346"/>
  </r>
  <r>
    <s v="SP043"/>
    <x v="0"/>
    <d v="2025-02-14T00:00:00"/>
    <x v="0"/>
    <x v="7"/>
    <n v="4891"/>
    <n v="450"/>
    <n v="387"/>
    <n v="48746"/>
    <n v="37312"/>
    <n v="154"/>
    <x v="0"/>
    <s v="#NowPlaying"/>
    <s v="ChillVibes"/>
    <n v="11.750707750379519"/>
  </r>
  <r>
    <s v="SP044"/>
    <x v="0"/>
    <d v="2024-09-06T00:00:00"/>
    <x v="0"/>
    <x v="2"/>
    <n v="1452"/>
    <n v="281"/>
    <n v="326"/>
    <n v="51556"/>
    <n v="62599"/>
    <n v="290"/>
    <x v="1"/>
    <s v="NA"/>
    <s v="IndieWave"/>
    <n v="3.9937155714174879"/>
  </r>
  <r>
    <s v="SP045"/>
    <x v="2"/>
    <d v="2024-07-14T00:00:00"/>
    <x v="0"/>
    <x v="9"/>
    <n v="3806"/>
    <n v="114"/>
    <n v="278"/>
    <n v="36148"/>
    <n v="24209"/>
    <n v="201"/>
    <x v="1"/>
    <s v="#SpotifyWrapped"/>
    <s v="IndieWave"/>
    <n v="11.613367267898639"/>
  </r>
  <r>
    <s v="SP046"/>
    <x v="0"/>
    <d v="2024-02-12T00:00:00"/>
    <x v="0"/>
    <x v="1"/>
    <n v="2923"/>
    <n v="330"/>
    <n v="250"/>
    <n v="23993"/>
    <n v="74590"/>
    <n v="92"/>
    <x v="1"/>
    <s v="NA"/>
    <s v="IndieWave"/>
    <n v="14.600091693410578"/>
  </r>
  <r>
    <s v="SP047"/>
    <x v="2"/>
    <d v="2024-03-14T00:00:00"/>
    <x v="2"/>
    <x v="8"/>
    <n v="3361"/>
    <n v="188"/>
    <n v="358"/>
    <n v="39838"/>
    <n v="24536"/>
    <n v="120"/>
    <x v="1"/>
    <s v="#SoundtrackOfLife"/>
    <s v="SummerBeats"/>
    <n v="9.8072192379135501"/>
  </r>
  <r>
    <s v="SP048"/>
    <x v="0"/>
    <d v="2025-02-05T00:00:00"/>
    <x v="1"/>
    <x v="4"/>
    <n v="3074"/>
    <n v="371"/>
    <n v="348"/>
    <n v="24104"/>
    <n v="57803"/>
    <n v="213"/>
    <x v="3"/>
    <s v="NA"/>
    <s v="Wrapped2024"/>
    <n v="15.735977431131762"/>
  </r>
  <r>
    <s v="SP049"/>
    <x v="1"/>
    <d v="2024-08-29T00:00:00"/>
    <x v="1"/>
    <x v="6"/>
    <n v="4276"/>
    <n v="227"/>
    <n v="223"/>
    <n v="43443"/>
    <n v="41005"/>
    <n v="191"/>
    <x v="1"/>
    <s v="#MusicForEveryone"/>
    <s v="ChillVibes"/>
    <n v="10.87862256289851"/>
  </r>
  <r>
    <s v="SP050"/>
    <x v="1"/>
    <d v="2025-04-22T00:00:00"/>
    <x v="0"/>
    <x v="0"/>
    <n v="4401"/>
    <n v="421"/>
    <n v="216"/>
    <n v="24890"/>
    <n v="54361"/>
    <n v="148"/>
    <x v="3"/>
    <s v="NA"/>
    <s v="ChillVibes"/>
    <n v="20.241060666934512"/>
  </r>
  <r>
    <s v="SP051"/>
    <x v="2"/>
    <d v="2024-05-13T00:00:00"/>
    <x v="2"/>
    <x v="1"/>
    <n v="4161"/>
    <n v="481"/>
    <n v="61"/>
    <n v="45884"/>
    <n v="48955"/>
    <n v="215"/>
    <x v="1"/>
    <s v="#SoundtrackOfLife"/>
    <s v="SummerBeats"/>
    <n v="10.249760265016128"/>
  </r>
  <r>
    <s v="SP052"/>
    <x v="1"/>
    <d v="2024-09-04T00:00:00"/>
    <x v="1"/>
    <x v="2"/>
    <n v="2613"/>
    <n v="455"/>
    <n v="228"/>
    <n v="21645"/>
    <n v="61334"/>
    <n v="261"/>
    <x v="1"/>
    <s v="#MusicForEveryone"/>
    <s v="ChillVibes"/>
    <n v="15.227535227535228"/>
  </r>
  <r>
    <s v="SP053"/>
    <x v="1"/>
    <d v="2024-08-12T00:00:00"/>
    <x v="1"/>
    <x v="5"/>
    <n v="2842"/>
    <n v="213"/>
    <n v="331"/>
    <n v="57660"/>
    <n v="68606"/>
    <n v="87"/>
    <x v="2"/>
    <s v="#NowPlaying"/>
    <s v="ChillVibes"/>
    <n v="5.8723551855705862"/>
  </r>
  <r>
    <s v="SP054"/>
    <x v="0"/>
    <d v="2025-03-06T00:00:00"/>
    <x v="0"/>
    <x v="6"/>
    <n v="4851"/>
    <n v="460"/>
    <n v="212"/>
    <n v="58075"/>
    <n v="59574"/>
    <n v="239"/>
    <x v="1"/>
    <s v="NA"/>
    <s v="IndieWave"/>
    <n v="9.5101162290142049"/>
  </r>
  <r>
    <s v="SP055"/>
    <x v="1"/>
    <d v="2024-05-08T00:00:00"/>
    <x v="0"/>
    <x v="1"/>
    <n v="1828"/>
    <n v="450"/>
    <n v="214"/>
    <n v="52115"/>
    <n v="19166"/>
    <n v="190"/>
    <x v="3"/>
    <s v="NA"/>
    <s v="ChillVibes"/>
    <n v="4.7817327065144388"/>
  </r>
  <r>
    <s v="SP056"/>
    <x v="0"/>
    <d v="2025-02-19T00:00:00"/>
    <x v="1"/>
    <x v="8"/>
    <n v="2422"/>
    <n v="455"/>
    <n v="376"/>
    <n v="23428"/>
    <n v="46775"/>
    <n v="259"/>
    <x v="3"/>
    <s v="NA"/>
    <s v="Wrapped2024"/>
    <n v="13.885094758408743"/>
  </r>
  <r>
    <s v="SP057"/>
    <x v="0"/>
    <d v="2024-01-08T00:00:00"/>
    <x v="0"/>
    <x v="7"/>
    <n v="2683"/>
    <n v="405"/>
    <n v="223"/>
    <n v="31233"/>
    <n v="58106"/>
    <n v="291"/>
    <x v="1"/>
    <s v="NA"/>
    <s v="IndieWave"/>
    <n v="10.600966926007748"/>
  </r>
  <r>
    <s v="SP058"/>
    <x v="2"/>
    <d v="2024-07-17T00:00:00"/>
    <x v="0"/>
    <x v="7"/>
    <n v="3135"/>
    <n v="110"/>
    <n v="215"/>
    <n v="39192"/>
    <n v="24744"/>
    <n v="177"/>
    <x v="1"/>
    <s v="#SpotifyWrapped"/>
    <s v="IndieWave"/>
    <n v="8.8283323127168813"/>
  </r>
  <r>
    <s v="SP059"/>
    <x v="2"/>
    <d v="2024-08-10T00:00:00"/>
    <x v="0"/>
    <x v="8"/>
    <n v="1105"/>
    <n v="181"/>
    <n v="55"/>
    <n v="53581"/>
    <n v="74048"/>
    <n v="220"/>
    <x v="1"/>
    <s v="#SpotifyWrapped"/>
    <s v="IndieWave"/>
    <n v="2.5027528414923199"/>
  </r>
  <r>
    <s v="SP060"/>
    <x v="2"/>
    <d v="2024-04-16T00:00:00"/>
    <x v="0"/>
    <x v="0"/>
    <n v="4674"/>
    <n v="326"/>
    <n v="62"/>
    <n v="45503"/>
    <n v="46814"/>
    <n v="116"/>
    <x v="1"/>
    <s v="#SpotifyWrapped"/>
    <s v="IndieWave"/>
    <n v="11.124541239039184"/>
  </r>
  <r>
    <s v="SP061"/>
    <x v="2"/>
    <d v="2024-01-01T00:00:00"/>
    <x v="2"/>
    <x v="1"/>
    <n v="3437"/>
    <n v="129"/>
    <n v="359"/>
    <n v="44558"/>
    <n v="30854"/>
    <n v="171"/>
    <x v="1"/>
    <s v="#SoundtrackOfLife"/>
    <s v="SummerBeats"/>
    <n v="8.8087436599488314"/>
  </r>
  <r>
    <s v="SP062"/>
    <x v="1"/>
    <d v="2024-11-03T00:00:00"/>
    <x v="1"/>
    <x v="3"/>
    <n v="1959"/>
    <n v="316"/>
    <n v="82"/>
    <n v="54036"/>
    <n v="69015"/>
    <n v="182"/>
    <x v="2"/>
    <s v="#NowPlaying"/>
    <s v="ChillVibes"/>
    <n v="4.3619068768968834"/>
  </r>
  <r>
    <s v="SP063"/>
    <x v="1"/>
    <d v="2024-07-07T00:00:00"/>
    <x v="0"/>
    <x v="2"/>
    <n v="1035"/>
    <n v="137"/>
    <n v="184"/>
    <n v="37302"/>
    <n v="68953"/>
    <n v="237"/>
    <x v="0"/>
    <s v="NA"/>
    <s v="IndieWave"/>
    <n v="3.6351938233874859"/>
  </r>
  <r>
    <s v="SP064"/>
    <x v="1"/>
    <d v="2025-01-22T00:00:00"/>
    <x v="1"/>
    <x v="2"/>
    <n v="4478"/>
    <n v="101"/>
    <n v="121"/>
    <n v="51035"/>
    <n v="58207"/>
    <n v="205"/>
    <x v="2"/>
    <s v="#NowPlaying"/>
    <s v="ChillVibes"/>
    <n v="9.2093661212893121"/>
  </r>
  <r>
    <s v="SP065"/>
    <x v="2"/>
    <d v="2024-05-26T00:00:00"/>
    <x v="0"/>
    <x v="8"/>
    <n v="1488"/>
    <n v="327"/>
    <n v="110"/>
    <n v="53805"/>
    <n v="30239"/>
    <n v="109"/>
    <x v="1"/>
    <s v="#SpotifyWrapped"/>
    <s v="IndieWave"/>
    <n v="3.5777344113000655"/>
  </r>
  <r>
    <s v="SP066"/>
    <x v="0"/>
    <d v="2025-04-16T00:00:00"/>
    <x v="0"/>
    <x v="3"/>
    <n v="4836"/>
    <n v="331"/>
    <n v="140"/>
    <n v="58792"/>
    <n v="47711"/>
    <n v="227"/>
    <x v="0"/>
    <s v="#NowPlaying"/>
    <s v="ChillVibes"/>
    <n v="9.0267383317458165"/>
  </r>
  <r>
    <s v="SP067"/>
    <x v="2"/>
    <d v="2024-04-02T00:00:00"/>
    <x v="2"/>
    <x v="9"/>
    <n v="4563"/>
    <n v="488"/>
    <n v="356"/>
    <n v="30619"/>
    <n v="23328"/>
    <n v="267"/>
    <x v="1"/>
    <s v="#SoundtrackOfLife"/>
    <s v="SummerBeats"/>
    <n v="17.658969920637514"/>
  </r>
  <r>
    <s v="SP068"/>
    <x v="1"/>
    <d v="2024-03-28T00:00:00"/>
    <x v="0"/>
    <x v="4"/>
    <n v="3276"/>
    <n v="421"/>
    <n v="114"/>
    <n v="20580"/>
    <n v="30324"/>
    <n v="221"/>
    <x v="0"/>
    <s v="NA"/>
    <s v="IndieWave"/>
    <n v="18.517978620019438"/>
  </r>
  <r>
    <s v="SP069"/>
    <x v="1"/>
    <d v="2024-12-17T00:00:00"/>
    <x v="1"/>
    <x v="4"/>
    <n v="1316"/>
    <n v="472"/>
    <n v="286"/>
    <n v="44692"/>
    <n v="53343"/>
    <n v="227"/>
    <x v="1"/>
    <s v="#MusicForEveryone"/>
    <s v="ChillVibes"/>
    <n v="4.6406515707509168"/>
  </r>
  <r>
    <s v="SP070"/>
    <x v="1"/>
    <d v="2025-01-05T00:00:00"/>
    <x v="0"/>
    <x v="3"/>
    <n v="4811"/>
    <n v="473"/>
    <n v="254"/>
    <n v="51964"/>
    <n v="68795"/>
    <n v="107"/>
    <x v="3"/>
    <s v="NA"/>
    <s v="ChillVibes"/>
    <n v="10.657378184897237"/>
  </r>
  <r>
    <s v="SP071"/>
    <x v="1"/>
    <d v="2024-01-11T00:00:00"/>
    <x v="0"/>
    <x v="5"/>
    <n v="4218"/>
    <n v="247"/>
    <n v="183"/>
    <n v="28914"/>
    <n v="18310"/>
    <n v="135"/>
    <x v="0"/>
    <s v="NA"/>
    <s v="IndieWave"/>
    <n v="16.07525766064882"/>
  </r>
  <r>
    <s v="SP072"/>
    <x v="0"/>
    <d v="2024-10-11T00:00:00"/>
    <x v="0"/>
    <x v="8"/>
    <n v="1360"/>
    <n v="249"/>
    <n v="52"/>
    <n v="20368"/>
    <n v="42152"/>
    <n v="193"/>
    <x v="1"/>
    <s v="NA"/>
    <s v="IndieWave"/>
    <n v="8.1549489395129608"/>
  </r>
  <r>
    <s v="SP073"/>
    <x v="2"/>
    <d v="2025-05-06T00:00:00"/>
    <x v="2"/>
    <x v="0"/>
    <n v="1085"/>
    <n v="496"/>
    <n v="320"/>
    <n v="36528"/>
    <n v="38599"/>
    <n v="270"/>
    <x v="1"/>
    <s v="#SoundtrackOfLife"/>
    <s v="SummerBeats"/>
    <n v="5.2042268944371441"/>
  </r>
  <r>
    <s v="SP074"/>
    <x v="1"/>
    <d v="2024-05-19T00:00:00"/>
    <x v="1"/>
    <x v="6"/>
    <n v="1763"/>
    <n v="206"/>
    <n v="187"/>
    <n v="53342"/>
    <n v="25095"/>
    <n v="88"/>
    <x v="1"/>
    <s v="#MusicForEveryone"/>
    <s v="ChillVibes"/>
    <n v="4.0418432004799225"/>
  </r>
  <r>
    <s v="SP075"/>
    <x v="1"/>
    <d v="2024-01-22T00:00:00"/>
    <x v="1"/>
    <x v="8"/>
    <n v="1554"/>
    <n v="455"/>
    <n v="158"/>
    <n v="41947"/>
    <n v="48578"/>
    <n v="101"/>
    <x v="0"/>
    <s v="#NowPlaying"/>
    <s v="ChillVibes"/>
    <n v="5.1660428636136073"/>
  </r>
  <r>
    <s v="SP076"/>
    <x v="0"/>
    <d v="2024-07-14T00:00:00"/>
    <x v="0"/>
    <x v="3"/>
    <n v="2464"/>
    <n v="401"/>
    <n v="78"/>
    <n v="38665"/>
    <n v="73593"/>
    <n v="207"/>
    <x v="1"/>
    <s v="NA"/>
    <s v="IndieWave"/>
    <n v="7.6115349799560317"/>
  </r>
  <r>
    <s v="SP077"/>
    <x v="1"/>
    <d v="2025-05-28T00:00:00"/>
    <x v="0"/>
    <x v="8"/>
    <n v="2418"/>
    <n v="161"/>
    <n v="360"/>
    <n v="30589"/>
    <n v="41383"/>
    <n v="88"/>
    <x v="3"/>
    <s v="NA"/>
    <s v="ChillVibes"/>
    <n v="9.6080290300434807"/>
  </r>
  <r>
    <s v="SP078"/>
    <x v="1"/>
    <d v="2025-01-21T00:00:00"/>
    <x v="1"/>
    <x v="0"/>
    <n v="2494"/>
    <n v="494"/>
    <n v="55"/>
    <n v="22580"/>
    <n v="22214"/>
    <n v="109"/>
    <x v="2"/>
    <s v="#NowPlaying"/>
    <s v="ChillVibes"/>
    <n v="13.476527900797167"/>
  </r>
  <r>
    <s v="SP079"/>
    <x v="2"/>
    <d v="2024-01-13T00:00:00"/>
    <x v="2"/>
    <x v="2"/>
    <n v="4781"/>
    <n v="191"/>
    <n v="122"/>
    <n v="35535"/>
    <n v="50777"/>
    <n v="128"/>
    <x v="1"/>
    <s v="#SoundtrackOfLife"/>
    <s v="SummerBeats"/>
    <n v="14.335162515829463"/>
  </r>
  <r>
    <s v="SP080"/>
    <x v="0"/>
    <d v="2025-06-17T00:00:00"/>
    <x v="0"/>
    <x v="4"/>
    <n v="2284"/>
    <n v="187"/>
    <n v="260"/>
    <n v="37400"/>
    <n v="65014"/>
    <n v="157"/>
    <x v="0"/>
    <s v="#NowPlaying"/>
    <s v="ChillVibes"/>
    <n v="7.3021390374331556"/>
  </r>
  <r>
    <s v="SP081"/>
    <x v="1"/>
    <d v="2025-03-07T00:00:00"/>
    <x v="0"/>
    <x v="6"/>
    <n v="4234"/>
    <n v="486"/>
    <n v="276"/>
    <n v="56623"/>
    <n v="41343"/>
    <n v="184"/>
    <x v="0"/>
    <s v="NA"/>
    <s v="IndieWave"/>
    <n v="8.8232696960599046"/>
  </r>
  <r>
    <s v="SP082"/>
    <x v="0"/>
    <d v="2024-08-26T00:00:00"/>
    <x v="0"/>
    <x v="9"/>
    <n v="2102"/>
    <n v="181"/>
    <n v="306"/>
    <n v="43650"/>
    <n v="50079"/>
    <n v="182"/>
    <x v="1"/>
    <s v="NA"/>
    <s v="IndieWave"/>
    <n v="5.9312714776632305"/>
  </r>
  <r>
    <s v="SP083"/>
    <x v="1"/>
    <d v="2025-01-03T00:00:00"/>
    <x v="1"/>
    <x v="6"/>
    <n v="4845"/>
    <n v="158"/>
    <n v="84"/>
    <n v="34578"/>
    <n v="51480"/>
    <n v="180"/>
    <x v="0"/>
    <s v="#NowPlaying"/>
    <s v="ChillVibes"/>
    <n v="14.711666377465441"/>
  </r>
  <r>
    <s v="SP084"/>
    <x v="1"/>
    <d v="2024-08-03T00:00:00"/>
    <x v="0"/>
    <x v="9"/>
    <n v="4247"/>
    <n v="390"/>
    <n v="213"/>
    <n v="29785"/>
    <n v="57768"/>
    <n v="122"/>
    <x v="3"/>
    <s v="NA"/>
    <s v="ChillVibes"/>
    <n v="16.283364109451064"/>
  </r>
  <r>
    <s v="SP085"/>
    <x v="0"/>
    <d v="2024-08-18T00:00:00"/>
    <x v="0"/>
    <x v="1"/>
    <n v="2965"/>
    <n v="328"/>
    <n v="171"/>
    <n v="57685"/>
    <n v="67536"/>
    <n v="264"/>
    <x v="0"/>
    <s v="#NowPlaying"/>
    <s v="ChillVibes"/>
    <n v="6.005027303458438"/>
  </r>
  <r>
    <s v="SP086"/>
    <x v="1"/>
    <d v="2025-05-14T00:00:00"/>
    <x v="1"/>
    <x v="3"/>
    <n v="1371"/>
    <n v="139"/>
    <n v="96"/>
    <n v="36140"/>
    <n v="39395"/>
    <n v="169"/>
    <x v="0"/>
    <s v="#NowPlaying"/>
    <s v="ChillVibes"/>
    <n v="4.4438295517432209"/>
  </r>
  <r>
    <s v="SP087"/>
    <x v="1"/>
    <d v="2024-04-23T00:00:00"/>
    <x v="1"/>
    <x v="0"/>
    <n v="2683"/>
    <n v="496"/>
    <n v="89"/>
    <n v="53435"/>
    <n v="30334"/>
    <n v="160"/>
    <x v="0"/>
    <s v="#NowPlaying"/>
    <s v="ChillVibes"/>
    <n v="6.1158416768035933"/>
  </r>
  <r>
    <s v="SP088"/>
    <x v="1"/>
    <d v="2025-02-17T00:00:00"/>
    <x v="1"/>
    <x v="5"/>
    <n v="4796"/>
    <n v="427"/>
    <n v="339"/>
    <n v="30752"/>
    <n v="33870"/>
    <n v="298"/>
    <x v="0"/>
    <s v="#NowPlaying"/>
    <s v="ChillVibes"/>
    <n v="18.086628511966701"/>
  </r>
  <r>
    <s v="SP089"/>
    <x v="0"/>
    <d v="2024-12-04T00:00:00"/>
    <x v="0"/>
    <x v="3"/>
    <n v="2601"/>
    <n v="336"/>
    <n v="260"/>
    <n v="32368"/>
    <n v="49028"/>
    <n v="120"/>
    <x v="0"/>
    <s v="#NowPlaying"/>
    <s v="ChillVibes"/>
    <n v="9.8770390509144832"/>
  </r>
  <r>
    <s v="SP090"/>
    <x v="1"/>
    <d v="2024-07-22T00:00:00"/>
    <x v="1"/>
    <x v="3"/>
    <n v="3336"/>
    <n v="229"/>
    <n v="337"/>
    <n v="22117"/>
    <n v="26205"/>
    <n v="160"/>
    <x v="2"/>
    <s v="#NowPlaying"/>
    <s v="ChillVibes"/>
    <n v="17.642537414658406"/>
  </r>
  <r>
    <s v="SP091"/>
    <x v="1"/>
    <d v="2025-04-27T00:00:00"/>
    <x v="0"/>
    <x v="1"/>
    <n v="1165"/>
    <n v="294"/>
    <n v="163"/>
    <n v="20659"/>
    <n v="45926"/>
    <n v="111"/>
    <x v="0"/>
    <s v="NA"/>
    <s v="IndieWave"/>
    <n v="7.8512996756861426"/>
  </r>
  <r>
    <s v="SP092"/>
    <x v="2"/>
    <d v="2024-03-25T00:00:00"/>
    <x v="2"/>
    <x v="1"/>
    <n v="1948"/>
    <n v="155"/>
    <n v="315"/>
    <n v="30321"/>
    <n v="57121"/>
    <n v="82"/>
    <x v="1"/>
    <s v="#SoundtrackOfLife"/>
    <s v="SummerBeats"/>
    <n v="7.974671020085089"/>
  </r>
  <r>
    <s v="SP093"/>
    <x v="0"/>
    <d v="2024-02-29T00:00:00"/>
    <x v="0"/>
    <x v="8"/>
    <n v="1100"/>
    <n v="229"/>
    <n v="312"/>
    <n v="25641"/>
    <n v="34601"/>
    <n v="169"/>
    <x v="1"/>
    <s v="NA"/>
    <s v="IndieWave"/>
    <n v="6.3999063999063992"/>
  </r>
  <r>
    <s v="SP094"/>
    <x v="1"/>
    <d v="2024-11-13T00:00:00"/>
    <x v="1"/>
    <x v="7"/>
    <n v="4628"/>
    <n v="257"/>
    <n v="397"/>
    <n v="36686"/>
    <n v="54683"/>
    <n v="98"/>
    <x v="0"/>
    <s v="#NowPlaying"/>
    <s v="ChillVibes"/>
    <n v="14.397862944992641"/>
  </r>
  <r>
    <s v="SP095"/>
    <x v="0"/>
    <d v="2024-03-22T00:00:00"/>
    <x v="1"/>
    <x v="0"/>
    <n v="2319"/>
    <n v="484"/>
    <n v="193"/>
    <n v="21202"/>
    <n v="18091"/>
    <n v="241"/>
    <x v="3"/>
    <s v="NA"/>
    <s v="Wrapped2024"/>
    <n v="14.130742382794075"/>
  </r>
  <r>
    <s v="SP096"/>
    <x v="1"/>
    <d v="2024-03-16T00:00:00"/>
    <x v="1"/>
    <x v="3"/>
    <n v="2895"/>
    <n v="292"/>
    <n v="90"/>
    <n v="24223"/>
    <n v="54626"/>
    <n v="114"/>
    <x v="0"/>
    <s v="#NowPlaying"/>
    <s v="ChillVibes"/>
    <n v="13.528464682326714"/>
  </r>
  <r>
    <s v="SP097"/>
    <x v="0"/>
    <d v="2024-01-26T00:00:00"/>
    <x v="0"/>
    <x v="5"/>
    <n v="3878"/>
    <n v="431"/>
    <n v="97"/>
    <n v="41763"/>
    <n v="29729"/>
    <n v="191"/>
    <x v="1"/>
    <s v="NA"/>
    <s v="IndieWave"/>
    <n v="10.550008380623996"/>
  </r>
  <r>
    <s v="SP098"/>
    <x v="1"/>
    <d v="2024-03-15T00:00:00"/>
    <x v="1"/>
    <x v="6"/>
    <n v="4969"/>
    <n v="433"/>
    <n v="237"/>
    <n v="59552"/>
    <n v="23885"/>
    <n v="157"/>
    <x v="1"/>
    <s v="#MusicForEveryone"/>
    <s v="ChillVibes"/>
    <n v="9.4690354648038682"/>
  </r>
  <r>
    <s v="SP099"/>
    <x v="1"/>
    <d v="2024-10-15T00:00:00"/>
    <x v="0"/>
    <x v="3"/>
    <n v="1984"/>
    <n v="481"/>
    <n v="356"/>
    <n v="40681"/>
    <n v="63111"/>
    <n v="258"/>
    <x v="3"/>
    <s v="NA"/>
    <s v="ChillVibes"/>
    <n v="6.9344411395983379"/>
  </r>
  <r>
    <s v="SP100"/>
    <x v="0"/>
    <d v="2024-07-21T00:00:00"/>
    <x v="0"/>
    <x v="0"/>
    <n v="3004"/>
    <n v="415"/>
    <n v="218"/>
    <n v="36090"/>
    <n v="37073"/>
    <n v="181"/>
    <x v="1"/>
    <s v="NA"/>
    <s v="IndieWave"/>
    <n v="10.077583818232197"/>
  </r>
  <r>
    <s v="SP101"/>
    <x v="1"/>
    <d v="2024-10-12T00:00:00"/>
    <x v="0"/>
    <x v="6"/>
    <n v="3169"/>
    <n v="386"/>
    <n v="175"/>
    <n v="45012"/>
    <n v="38508"/>
    <n v="218"/>
    <x v="3"/>
    <s v="NA"/>
    <s v="ChillVibes"/>
    <n v="8.2866791077934785"/>
  </r>
  <r>
    <s v="SP102"/>
    <x v="1"/>
    <d v="2024-10-26T00:00:00"/>
    <x v="0"/>
    <x v="0"/>
    <n v="3036"/>
    <n v="293"/>
    <n v="115"/>
    <n v="23776"/>
    <n v="46386"/>
    <n v="282"/>
    <x v="3"/>
    <s v="NA"/>
    <s v="ChillVibes"/>
    <n v="14.485195154777927"/>
  </r>
  <r>
    <s v="SP103"/>
    <x v="0"/>
    <d v="2024-02-14T00:00:00"/>
    <x v="0"/>
    <x v="4"/>
    <n v="1830"/>
    <n v="112"/>
    <n v="181"/>
    <n v="31870"/>
    <n v="55742"/>
    <n v="263"/>
    <x v="0"/>
    <s v="#NowPlaying"/>
    <s v="ChillVibes"/>
    <n v="6.6614370881706932"/>
  </r>
  <r>
    <s v="SP104"/>
    <x v="1"/>
    <d v="2024-05-01T00:00:00"/>
    <x v="1"/>
    <x v="5"/>
    <n v="2587"/>
    <n v="447"/>
    <n v="183"/>
    <n v="36266"/>
    <n v="32877"/>
    <n v="132"/>
    <x v="1"/>
    <s v="#MusicForEveryone"/>
    <s v="ChillVibes"/>
    <n v="8.8705674736667941"/>
  </r>
  <r>
    <s v="SP105"/>
    <x v="1"/>
    <d v="2024-09-18T00:00:00"/>
    <x v="0"/>
    <x v="0"/>
    <n v="2878"/>
    <n v="265"/>
    <n v="91"/>
    <n v="52090"/>
    <n v="28924"/>
    <n v="133"/>
    <x v="3"/>
    <s v="NA"/>
    <s v="ChillVibes"/>
    <n v="6.2084853138798231"/>
  </r>
  <r>
    <s v="SP106"/>
    <x v="1"/>
    <d v="2025-01-20T00:00:00"/>
    <x v="1"/>
    <x v="2"/>
    <n v="4619"/>
    <n v="272"/>
    <n v="57"/>
    <n v="21334"/>
    <n v="46292"/>
    <n v="91"/>
    <x v="0"/>
    <s v="#NowPlaying"/>
    <s v="ChillVibes"/>
    <n v="23.193025217961939"/>
  </r>
  <r>
    <s v="SP107"/>
    <x v="1"/>
    <d v="2025-01-13T00:00:00"/>
    <x v="0"/>
    <x v="4"/>
    <n v="4090"/>
    <n v="209"/>
    <n v="278"/>
    <n v="52853"/>
    <n v="57084"/>
    <n v="102"/>
    <x v="0"/>
    <s v="NA"/>
    <s v="IndieWave"/>
    <n v="8.659867935594951"/>
  </r>
  <r>
    <s v="SP108"/>
    <x v="2"/>
    <d v="2024-09-07T00:00:00"/>
    <x v="2"/>
    <x v="4"/>
    <n v="3882"/>
    <n v="342"/>
    <n v="374"/>
    <n v="41991"/>
    <n v="48554"/>
    <n v="118"/>
    <x v="1"/>
    <s v="#SoundtrackOfLife"/>
    <s v="SummerBeats"/>
    <n v="10.949965468790932"/>
  </r>
  <r>
    <s v="SP109"/>
    <x v="0"/>
    <d v="2024-11-21T00:00:00"/>
    <x v="0"/>
    <x v="4"/>
    <n v="4581"/>
    <n v="181"/>
    <n v="112"/>
    <n v="35221"/>
    <n v="28797"/>
    <n v="164"/>
    <x v="0"/>
    <s v="#NowPlaying"/>
    <s v="ChillVibes"/>
    <n v="13.838335084182733"/>
  </r>
  <r>
    <s v="SP110"/>
    <x v="0"/>
    <d v="2024-06-26T00:00:00"/>
    <x v="0"/>
    <x v="2"/>
    <n v="3253"/>
    <n v="483"/>
    <n v="336"/>
    <n v="25397"/>
    <n v="51485"/>
    <n v="131"/>
    <x v="1"/>
    <s v="NA"/>
    <s v="IndieWave"/>
    <n v="16.033389770445329"/>
  </r>
  <r>
    <s v="SP111"/>
    <x v="2"/>
    <d v="2024-07-20T00:00:00"/>
    <x v="2"/>
    <x v="4"/>
    <n v="4955"/>
    <n v="299"/>
    <n v="345"/>
    <n v="33644"/>
    <n v="43547"/>
    <n v="194"/>
    <x v="1"/>
    <s v="#SoundtrackOfLife"/>
    <s v="SummerBeats"/>
    <n v="16.641897515158721"/>
  </r>
  <r>
    <s v="SP112"/>
    <x v="0"/>
    <d v="2025-02-16T00:00:00"/>
    <x v="0"/>
    <x v="9"/>
    <n v="1333"/>
    <n v="286"/>
    <n v="298"/>
    <n v="36174"/>
    <n v="34517"/>
    <n v="170"/>
    <x v="0"/>
    <s v="#NowPlaying"/>
    <s v="ChillVibes"/>
    <n v="5.2993862995521646"/>
  </r>
  <r>
    <s v="SP113"/>
    <x v="0"/>
    <d v="2024-09-09T00:00:00"/>
    <x v="0"/>
    <x v="2"/>
    <n v="1616"/>
    <n v="360"/>
    <n v="180"/>
    <n v="54342"/>
    <n v="18796"/>
    <n v="282"/>
    <x v="0"/>
    <s v="#NowPlaying"/>
    <s v="ChillVibes"/>
    <n v="3.967465312281476"/>
  </r>
  <r>
    <s v="SP114"/>
    <x v="1"/>
    <d v="2024-07-16T00:00:00"/>
    <x v="0"/>
    <x v="7"/>
    <n v="1803"/>
    <n v="273"/>
    <n v="287"/>
    <n v="46176"/>
    <n v="25488"/>
    <n v="141"/>
    <x v="3"/>
    <s v="NA"/>
    <s v="ChillVibes"/>
    <n v="5.1173769923769923"/>
  </r>
  <r>
    <s v="SP115"/>
    <x v="0"/>
    <d v="2025-04-15T00:00:00"/>
    <x v="0"/>
    <x v="1"/>
    <n v="4177"/>
    <n v="489"/>
    <n v="331"/>
    <n v="57451"/>
    <n v="73793"/>
    <n v="251"/>
    <x v="1"/>
    <s v="NA"/>
    <s v="IndieWave"/>
    <n v="8.6978468608031196"/>
  </r>
  <r>
    <s v="SP116"/>
    <x v="0"/>
    <d v="2025-05-04T00:00:00"/>
    <x v="1"/>
    <x v="2"/>
    <n v="1311"/>
    <n v="181"/>
    <n v="361"/>
    <n v="37148"/>
    <n v="44875"/>
    <n v="245"/>
    <x v="3"/>
    <s v="NA"/>
    <s v="Wrapped2024"/>
    <n v="4.9881554861634543"/>
  </r>
  <r>
    <s v="SP117"/>
    <x v="0"/>
    <d v="2024-02-18T00:00:00"/>
    <x v="1"/>
    <x v="8"/>
    <n v="1516"/>
    <n v="215"/>
    <n v="332"/>
    <n v="58981"/>
    <n v="36118"/>
    <n v="211"/>
    <x v="3"/>
    <s v="NA"/>
    <s v="Wrapped2024"/>
    <n v="3.4977365592309386"/>
  </r>
  <r>
    <s v="SP118"/>
    <x v="1"/>
    <d v="2024-05-16T00:00:00"/>
    <x v="1"/>
    <x v="4"/>
    <n v="2023"/>
    <n v="124"/>
    <n v="99"/>
    <n v="54524"/>
    <n v="34790"/>
    <n v="195"/>
    <x v="1"/>
    <s v="#MusicForEveryone"/>
    <s v="ChillVibes"/>
    <n v="4.119286919521679"/>
  </r>
  <r>
    <s v="SP119"/>
    <x v="1"/>
    <d v="2025-05-29T00:00:00"/>
    <x v="1"/>
    <x v="4"/>
    <n v="2134"/>
    <n v="322"/>
    <n v="114"/>
    <n v="44338"/>
    <n v="52165"/>
    <n v="176"/>
    <x v="2"/>
    <s v="#NowPlaying"/>
    <s v="ChillVibes"/>
    <n v="5.7963823356939868"/>
  </r>
  <r>
    <s v="SP120"/>
    <x v="0"/>
    <d v="2025-01-17T00:00:00"/>
    <x v="0"/>
    <x v="7"/>
    <n v="2266"/>
    <n v="126"/>
    <n v="140"/>
    <n v="53759"/>
    <n v="46834"/>
    <n v="277"/>
    <x v="1"/>
    <s v="NA"/>
    <s v="IndieWave"/>
    <n v="4.7099090384865789"/>
  </r>
  <r>
    <s v="SP121"/>
    <x v="0"/>
    <d v="2025-04-30T00:00:00"/>
    <x v="1"/>
    <x v="2"/>
    <n v="3916"/>
    <n v="459"/>
    <n v="229"/>
    <n v="48989"/>
    <n v="39768"/>
    <n v="200"/>
    <x v="3"/>
    <s v="NA"/>
    <s v="Wrapped2024"/>
    <n v="9.3980281287635989"/>
  </r>
  <r>
    <s v="SP122"/>
    <x v="1"/>
    <d v="2024-02-24T00:00:00"/>
    <x v="1"/>
    <x v="4"/>
    <n v="1022"/>
    <n v="463"/>
    <n v="360"/>
    <n v="51468"/>
    <n v="24279"/>
    <n v="230"/>
    <x v="1"/>
    <s v="#MusicForEveryone"/>
    <s v="ChillVibes"/>
    <n v="3.5847516903707159"/>
  </r>
  <r>
    <s v="SP123"/>
    <x v="2"/>
    <d v="2024-05-12T00:00:00"/>
    <x v="0"/>
    <x v="8"/>
    <n v="2911"/>
    <n v="467"/>
    <n v="94"/>
    <n v="59083"/>
    <n v="49762"/>
    <n v="236"/>
    <x v="1"/>
    <s v="#SpotifyWrapped"/>
    <s v="IndieWave"/>
    <n v="5.8764788517847775"/>
  </r>
  <r>
    <s v="SP124"/>
    <x v="1"/>
    <d v="2024-05-09T00:00:00"/>
    <x v="1"/>
    <x v="2"/>
    <n v="3277"/>
    <n v="423"/>
    <n v="259"/>
    <n v="46328"/>
    <n v="44293"/>
    <n v="299"/>
    <x v="0"/>
    <s v="#NowPlaying"/>
    <s v="ChillVibes"/>
    <n v="8.545587981350371"/>
  </r>
  <r>
    <s v="SP125"/>
    <x v="1"/>
    <d v="2024-11-06T00:00:00"/>
    <x v="0"/>
    <x v="8"/>
    <n v="2956"/>
    <n v="381"/>
    <n v="345"/>
    <n v="33347"/>
    <n v="22558"/>
    <n v="173"/>
    <x v="3"/>
    <s v="NA"/>
    <s v="ChillVibes"/>
    <n v="11.041472996071612"/>
  </r>
  <r>
    <s v="SP126"/>
    <x v="1"/>
    <d v="2024-01-04T00:00:00"/>
    <x v="1"/>
    <x v="5"/>
    <n v="3208"/>
    <n v="476"/>
    <n v="277"/>
    <n v="56072"/>
    <n v="21061"/>
    <n v="113"/>
    <x v="2"/>
    <s v="#NowPlaying"/>
    <s v="ChillVibes"/>
    <n v="7.064131830503638"/>
  </r>
  <r>
    <s v="SP127"/>
    <x v="1"/>
    <d v="2024-01-28T00:00:00"/>
    <x v="0"/>
    <x v="4"/>
    <n v="1456"/>
    <n v="265"/>
    <n v="137"/>
    <n v="53485"/>
    <n v="59729"/>
    <n v="145"/>
    <x v="0"/>
    <s v="NA"/>
    <s v="IndieWave"/>
    <n v="3.4738711788351875"/>
  </r>
  <r>
    <s v="SP128"/>
    <x v="0"/>
    <d v="2024-02-22T00:00:00"/>
    <x v="0"/>
    <x v="2"/>
    <n v="1902"/>
    <n v="394"/>
    <n v="279"/>
    <n v="24615"/>
    <n v="51330"/>
    <n v="176"/>
    <x v="0"/>
    <s v="#NowPlaying"/>
    <s v="ChillVibes"/>
    <n v="10.461100954702417"/>
  </r>
  <r>
    <s v="SP129"/>
    <x v="1"/>
    <d v="2025-07-01T00:00:00"/>
    <x v="1"/>
    <x v="1"/>
    <n v="3219"/>
    <n v="424"/>
    <n v="267"/>
    <n v="48879"/>
    <n v="37691"/>
    <n v="224"/>
    <x v="1"/>
    <s v="#MusicForEveryone"/>
    <s v="ChillVibes"/>
    <n v="7.9993453221219744"/>
  </r>
  <r>
    <s v="SP130"/>
    <x v="2"/>
    <d v="2024-01-10T00:00:00"/>
    <x v="0"/>
    <x v="1"/>
    <n v="1261"/>
    <n v="190"/>
    <n v="233"/>
    <n v="59888"/>
    <n v="51449"/>
    <n v="205"/>
    <x v="1"/>
    <s v="#SpotifyWrapped"/>
    <s v="IndieWave"/>
    <n v="2.8119155757413838"/>
  </r>
  <r>
    <s v="SP131"/>
    <x v="1"/>
    <d v="2025-03-20T00:00:00"/>
    <x v="0"/>
    <x v="9"/>
    <n v="1564"/>
    <n v="362"/>
    <n v="371"/>
    <n v="42075"/>
    <n v="66659"/>
    <n v="205"/>
    <x v="0"/>
    <s v="NA"/>
    <s v="IndieWave"/>
    <n v="5.4592988710635764"/>
  </r>
  <r>
    <s v="SP132"/>
    <x v="1"/>
    <d v="2024-09-28T00:00:00"/>
    <x v="0"/>
    <x v="5"/>
    <n v="4006"/>
    <n v="420"/>
    <n v="194"/>
    <n v="49964"/>
    <n v="20685"/>
    <n v="148"/>
    <x v="3"/>
    <s v="NA"/>
    <s v="ChillVibes"/>
    <n v="9.2466575934672957"/>
  </r>
  <r>
    <s v="SP133"/>
    <x v="2"/>
    <d v="2024-01-27T00:00:00"/>
    <x v="0"/>
    <x v="9"/>
    <n v="1976"/>
    <n v="262"/>
    <n v="218"/>
    <n v="51696"/>
    <n v="44846"/>
    <n v="139"/>
    <x v="1"/>
    <s v="#SpotifyWrapped"/>
    <s v="IndieWave"/>
    <n v="4.7508511296812133"/>
  </r>
  <r>
    <s v="SP134"/>
    <x v="1"/>
    <d v="2025-05-15T00:00:00"/>
    <x v="0"/>
    <x v="2"/>
    <n v="1583"/>
    <n v="433"/>
    <n v="249"/>
    <n v="30256"/>
    <n v="47066"/>
    <n v="196"/>
    <x v="3"/>
    <s v="NA"/>
    <s v="ChillVibes"/>
    <n v="7.4861184558434681"/>
  </r>
  <r>
    <s v="SP135"/>
    <x v="1"/>
    <d v="2024-10-04T00:00:00"/>
    <x v="1"/>
    <x v="1"/>
    <n v="2870"/>
    <n v="380"/>
    <n v="393"/>
    <n v="37621"/>
    <n v="71794"/>
    <n v="127"/>
    <x v="2"/>
    <s v="#NowPlaying"/>
    <s v="ChillVibes"/>
    <n v="9.6834214933149045"/>
  </r>
  <r>
    <s v="SP136"/>
    <x v="1"/>
    <d v="2024-11-19T00:00:00"/>
    <x v="0"/>
    <x v="7"/>
    <n v="3728"/>
    <n v="271"/>
    <n v="275"/>
    <n v="22827"/>
    <n v="37034"/>
    <n v="199"/>
    <x v="3"/>
    <s v="NA"/>
    <s v="ChillVibes"/>
    <n v="18.723441538528935"/>
  </r>
  <r>
    <s v="SP137"/>
    <x v="1"/>
    <d v="2024-04-05T00:00:00"/>
    <x v="1"/>
    <x v="2"/>
    <n v="4965"/>
    <n v="175"/>
    <n v="307"/>
    <n v="32793"/>
    <n v="43412"/>
    <n v="296"/>
    <x v="0"/>
    <s v="#NowPlaying"/>
    <s v="ChillVibes"/>
    <n v="16.610252187966946"/>
  </r>
  <r>
    <s v="SP138"/>
    <x v="1"/>
    <d v="2024-11-28T00:00:00"/>
    <x v="1"/>
    <x v="2"/>
    <n v="1131"/>
    <n v="100"/>
    <n v="116"/>
    <n v="48437"/>
    <n v="72704"/>
    <n v="236"/>
    <x v="1"/>
    <s v="#MusicForEveryone"/>
    <s v="ChillVibes"/>
    <n v="2.7809319322005903"/>
  </r>
  <r>
    <s v="SP139"/>
    <x v="1"/>
    <d v="2025-03-09T00:00:00"/>
    <x v="0"/>
    <x v="9"/>
    <n v="2754"/>
    <n v="215"/>
    <n v="264"/>
    <n v="27762"/>
    <n v="70203"/>
    <n v="289"/>
    <x v="3"/>
    <s v="NA"/>
    <s v="ChillVibes"/>
    <n v="11.645414595490239"/>
  </r>
  <r>
    <s v="SP140"/>
    <x v="1"/>
    <d v="2024-08-27T00:00:00"/>
    <x v="1"/>
    <x v="2"/>
    <n v="1856"/>
    <n v="357"/>
    <n v="348"/>
    <n v="29428"/>
    <n v="70206"/>
    <n v="236"/>
    <x v="2"/>
    <s v="#NowPlaying"/>
    <s v="ChillVibes"/>
    <n v="8.7025961669158622"/>
  </r>
  <r>
    <s v="SP141"/>
    <x v="2"/>
    <d v="2024-10-01T00:00:00"/>
    <x v="2"/>
    <x v="1"/>
    <n v="3543"/>
    <n v="334"/>
    <n v="218"/>
    <n v="58007"/>
    <n v="24792"/>
    <n v="273"/>
    <x v="1"/>
    <s v="#SoundtrackOfLife"/>
    <s v="SummerBeats"/>
    <n v="7.059492819832089"/>
  </r>
  <r>
    <s v="SP142"/>
    <x v="0"/>
    <d v="2024-12-21T00:00:00"/>
    <x v="1"/>
    <x v="2"/>
    <n v="4563"/>
    <n v="398"/>
    <n v="163"/>
    <n v="43679"/>
    <n v="48760"/>
    <n v="92"/>
    <x v="3"/>
    <s v="NA"/>
    <s v="Wrapped2024"/>
    <n v="11.731037798484397"/>
  </r>
  <r>
    <s v="SP143"/>
    <x v="0"/>
    <d v="2024-06-17T00:00:00"/>
    <x v="0"/>
    <x v="0"/>
    <n v="4283"/>
    <n v="471"/>
    <n v="156"/>
    <n v="53004"/>
    <n v="25678"/>
    <n v="105"/>
    <x v="1"/>
    <s v="NA"/>
    <s v="IndieWave"/>
    <n v="9.2634518149573619"/>
  </r>
  <r>
    <s v="SP144"/>
    <x v="0"/>
    <d v="2025-02-14T00:00:00"/>
    <x v="0"/>
    <x v="0"/>
    <n v="2329"/>
    <n v="373"/>
    <n v="291"/>
    <n v="49577"/>
    <n v="28002"/>
    <n v="82"/>
    <x v="0"/>
    <s v="#NowPlaying"/>
    <s v="ChillVibes"/>
    <n v="6.0370736430199488"/>
  </r>
  <r>
    <s v="SP145"/>
    <x v="1"/>
    <d v="2025-05-28T00:00:00"/>
    <x v="1"/>
    <x v="7"/>
    <n v="4287"/>
    <n v="273"/>
    <n v="122"/>
    <n v="40792"/>
    <n v="23878"/>
    <n v="277"/>
    <x v="2"/>
    <s v="#NowPlaying"/>
    <s v="ChillVibes"/>
    <n v="11.477740733477154"/>
  </r>
  <r>
    <s v="SP146"/>
    <x v="0"/>
    <d v="2025-05-22T00:00:00"/>
    <x v="0"/>
    <x v="0"/>
    <n v="2633"/>
    <n v="318"/>
    <n v="380"/>
    <n v="40869"/>
    <n v="64474"/>
    <n v="245"/>
    <x v="1"/>
    <s v="NA"/>
    <s v="IndieWave"/>
    <n v="8.1504318676747669"/>
  </r>
  <r>
    <s v="SP147"/>
    <x v="1"/>
    <d v="2024-01-21T00:00:00"/>
    <x v="1"/>
    <x v="0"/>
    <n v="2383"/>
    <n v="136"/>
    <n v="302"/>
    <n v="39187"/>
    <n v="22133"/>
    <n v="208"/>
    <x v="2"/>
    <s v="#NowPlaying"/>
    <s v="ChillVibes"/>
    <n v="7.1988159338556148"/>
  </r>
  <r>
    <s v="SP148"/>
    <x v="1"/>
    <d v="2025-02-08T00:00:00"/>
    <x v="1"/>
    <x v="9"/>
    <n v="4752"/>
    <n v="334"/>
    <n v="56"/>
    <n v="48017"/>
    <n v="55534"/>
    <n v="270"/>
    <x v="1"/>
    <s v="#MusicForEveryone"/>
    <s v="ChillVibes"/>
    <n v="10.708707332819627"/>
  </r>
  <r>
    <s v="SP149"/>
    <x v="1"/>
    <d v="2025-04-13T00:00:00"/>
    <x v="0"/>
    <x v="8"/>
    <n v="3890"/>
    <n v="408"/>
    <n v="338"/>
    <n v="56994"/>
    <n v="32621"/>
    <n v="286"/>
    <x v="0"/>
    <s v="NA"/>
    <s v="IndieWave"/>
    <n v="8.1341895638137345"/>
  </r>
  <r>
    <s v="SP150"/>
    <x v="1"/>
    <d v="2024-05-30T00:00:00"/>
    <x v="1"/>
    <x v="9"/>
    <n v="2311"/>
    <n v="207"/>
    <n v="363"/>
    <n v="30349"/>
    <n v="32925"/>
    <n v="88"/>
    <x v="2"/>
    <s v="#NowPlaying"/>
    <s v="ChillVibes"/>
    <n v="9.4928992718046725"/>
  </r>
  <r>
    <s v="SP151"/>
    <x v="0"/>
    <d v="2024-08-12T00:00:00"/>
    <x v="1"/>
    <x v="0"/>
    <n v="2962"/>
    <n v="400"/>
    <n v="280"/>
    <n v="52508"/>
    <n v="58329"/>
    <n v="219"/>
    <x v="3"/>
    <s v="NA"/>
    <s v="Wrapped2024"/>
    <n v="6.9360859297630837"/>
  </r>
  <r>
    <s v="SP152"/>
    <x v="0"/>
    <d v="2024-09-27T00:00:00"/>
    <x v="0"/>
    <x v="0"/>
    <n v="3118"/>
    <n v="116"/>
    <n v="195"/>
    <n v="37100"/>
    <n v="62629"/>
    <n v="272"/>
    <x v="1"/>
    <s v="NA"/>
    <s v="IndieWave"/>
    <n v="9.2425876010781671"/>
  </r>
  <r>
    <s v="SP153"/>
    <x v="1"/>
    <d v="2025-06-11T00:00:00"/>
    <x v="1"/>
    <x v="1"/>
    <n v="3805"/>
    <n v="453"/>
    <n v="63"/>
    <n v="52395"/>
    <n v="72934"/>
    <n v="87"/>
    <x v="1"/>
    <s v="#MusicForEveryone"/>
    <s v="ChillVibes"/>
    <n v="8.2469701307376653"/>
  </r>
  <r>
    <s v="SP154"/>
    <x v="0"/>
    <d v="2024-11-19T00:00:00"/>
    <x v="0"/>
    <x v="5"/>
    <n v="2525"/>
    <n v="272"/>
    <n v="294"/>
    <n v="51875"/>
    <n v="24732"/>
    <n v="92"/>
    <x v="1"/>
    <s v="NA"/>
    <s v="IndieWave"/>
    <n v="5.9585542168674701"/>
  </r>
  <r>
    <s v="SP155"/>
    <x v="0"/>
    <d v="2024-04-25T00:00:00"/>
    <x v="0"/>
    <x v="4"/>
    <n v="3563"/>
    <n v="483"/>
    <n v="227"/>
    <n v="41085"/>
    <n v="26393"/>
    <n v="236"/>
    <x v="0"/>
    <s v="#NowPlaying"/>
    <s v="ChillVibes"/>
    <n v="10.400389436534015"/>
  </r>
  <r>
    <s v="SP156"/>
    <x v="2"/>
    <d v="2024-09-03T00:00:00"/>
    <x v="2"/>
    <x v="5"/>
    <n v="1437"/>
    <n v="494"/>
    <n v="129"/>
    <n v="53048"/>
    <n v="44090"/>
    <n v="230"/>
    <x v="1"/>
    <s v="#SoundtrackOfLife"/>
    <s v="SummerBeats"/>
    <n v="3.8832755240536874"/>
  </r>
  <r>
    <s v="SP157"/>
    <x v="2"/>
    <d v="2025-03-02T00:00:00"/>
    <x v="0"/>
    <x v="8"/>
    <n v="4425"/>
    <n v="185"/>
    <n v="162"/>
    <n v="24610"/>
    <n v="21342"/>
    <n v="158"/>
    <x v="1"/>
    <s v="#SpotifyWrapped"/>
    <s v="IndieWave"/>
    <n v="19.390491670052825"/>
  </r>
  <r>
    <s v="SP158"/>
    <x v="1"/>
    <d v="2025-03-21T00:00:00"/>
    <x v="1"/>
    <x v="2"/>
    <n v="4609"/>
    <n v="427"/>
    <n v="395"/>
    <n v="33698"/>
    <n v="29259"/>
    <n v="216"/>
    <x v="1"/>
    <s v="#MusicForEveryone"/>
    <s v="ChillVibes"/>
    <n v="16.116683482699269"/>
  </r>
  <r>
    <s v="SP159"/>
    <x v="0"/>
    <d v="2024-04-12T00:00:00"/>
    <x v="1"/>
    <x v="6"/>
    <n v="1558"/>
    <n v="352"/>
    <n v="202"/>
    <n v="25405"/>
    <n v="69941"/>
    <n v="219"/>
    <x v="3"/>
    <s v="NA"/>
    <s v="Wrapped2024"/>
    <n v="8.3133241487896079"/>
  </r>
  <r>
    <s v="SP160"/>
    <x v="2"/>
    <d v="2024-02-08T00:00:00"/>
    <x v="2"/>
    <x v="7"/>
    <n v="1889"/>
    <n v="298"/>
    <n v="122"/>
    <n v="46225"/>
    <n v="74305"/>
    <n v="293"/>
    <x v="1"/>
    <s v="#SoundtrackOfLife"/>
    <s v="SummerBeats"/>
    <n v="4.9951325040562464"/>
  </r>
  <r>
    <s v="SP161"/>
    <x v="0"/>
    <d v="2025-05-26T00:00:00"/>
    <x v="0"/>
    <x v="0"/>
    <n v="3086"/>
    <n v="148"/>
    <n v="310"/>
    <n v="22824"/>
    <n v="58103"/>
    <n v="275"/>
    <x v="1"/>
    <s v="NA"/>
    <s v="IndieWave"/>
    <n v="15.527514896600071"/>
  </r>
  <r>
    <s v="SP162"/>
    <x v="0"/>
    <d v="2024-11-14T00:00:00"/>
    <x v="0"/>
    <x v="4"/>
    <n v="2422"/>
    <n v="318"/>
    <n v="118"/>
    <n v="25386"/>
    <n v="20873"/>
    <n v="100"/>
    <x v="0"/>
    <s v="#NowPlaying"/>
    <s v="ChillVibes"/>
    <n v="11.258173796580792"/>
  </r>
  <r>
    <s v="SP163"/>
    <x v="2"/>
    <d v="2024-08-09T00:00:00"/>
    <x v="2"/>
    <x v="8"/>
    <n v="3414"/>
    <n v="154"/>
    <n v="204"/>
    <n v="34146"/>
    <n v="44633"/>
    <n v="256"/>
    <x v="1"/>
    <s v="#SoundtrackOfLife"/>
    <s v="SummerBeats"/>
    <n v="11.046681895390382"/>
  </r>
  <r>
    <s v="SP164"/>
    <x v="0"/>
    <d v="2025-06-27T00:00:00"/>
    <x v="1"/>
    <x v="5"/>
    <n v="1342"/>
    <n v="332"/>
    <n v="163"/>
    <n v="51712"/>
    <n v="57922"/>
    <n v="168"/>
    <x v="3"/>
    <s v="NA"/>
    <s v="Wrapped2024"/>
    <n v="3.5523669554455446"/>
  </r>
  <r>
    <s v="SP165"/>
    <x v="0"/>
    <d v="2024-05-08T00:00:00"/>
    <x v="1"/>
    <x v="4"/>
    <n v="2414"/>
    <n v="220"/>
    <n v="280"/>
    <n v="27355"/>
    <n v="50562"/>
    <n v="258"/>
    <x v="3"/>
    <s v="NA"/>
    <s v="Wrapped2024"/>
    <n v="10.652531529884847"/>
  </r>
  <r>
    <s v="SP166"/>
    <x v="0"/>
    <d v="2024-04-05T00:00:00"/>
    <x v="0"/>
    <x v="2"/>
    <n v="4383"/>
    <n v="352"/>
    <n v="176"/>
    <n v="53239"/>
    <n v="34168"/>
    <n v="288"/>
    <x v="1"/>
    <s v="NA"/>
    <s v="IndieWave"/>
    <n v="9.2244407295403743"/>
  </r>
  <r>
    <s v="SP167"/>
    <x v="2"/>
    <d v="2025-01-27T00:00:00"/>
    <x v="0"/>
    <x v="3"/>
    <n v="4294"/>
    <n v="423"/>
    <n v="93"/>
    <n v="29828"/>
    <n v="73144"/>
    <n v="298"/>
    <x v="1"/>
    <s v="#SpotifyWrapped"/>
    <s v="IndieWave"/>
    <n v="16.125787850341961"/>
  </r>
  <r>
    <s v="SP168"/>
    <x v="0"/>
    <d v="2024-04-03T00:00:00"/>
    <x v="0"/>
    <x v="7"/>
    <n v="2762"/>
    <n v="339"/>
    <n v="323"/>
    <n v="33757"/>
    <n v="68511"/>
    <n v="121"/>
    <x v="0"/>
    <s v="#NowPlaying"/>
    <s v="ChillVibes"/>
    <n v="10.143081434961637"/>
  </r>
  <r>
    <s v="SP169"/>
    <x v="2"/>
    <d v="2025-01-03T00:00:00"/>
    <x v="0"/>
    <x v="2"/>
    <n v="3782"/>
    <n v="484"/>
    <n v="144"/>
    <n v="52172"/>
    <n v="59386"/>
    <n v="175"/>
    <x v="1"/>
    <s v="#SpotifyWrapped"/>
    <s v="IndieWave"/>
    <n v="8.4528099363643339"/>
  </r>
  <r>
    <s v="SP170"/>
    <x v="1"/>
    <d v="2024-11-23T00:00:00"/>
    <x v="0"/>
    <x v="2"/>
    <n v="4318"/>
    <n v="371"/>
    <n v="329"/>
    <n v="32347"/>
    <n v="68956"/>
    <n v="259"/>
    <x v="0"/>
    <s v="NA"/>
    <s v="IndieWave"/>
    <n v="15.513030574705535"/>
  </r>
  <r>
    <s v="SP171"/>
    <x v="0"/>
    <d v="2024-09-01T00:00:00"/>
    <x v="1"/>
    <x v="3"/>
    <n v="2335"/>
    <n v="150"/>
    <n v="75"/>
    <n v="26114"/>
    <n v="57549"/>
    <n v="135"/>
    <x v="3"/>
    <s v="NA"/>
    <s v="Wrapped2024"/>
    <n v="9.8031707130274945"/>
  </r>
  <r>
    <s v="SP172"/>
    <x v="2"/>
    <d v="2024-04-18T00:00:00"/>
    <x v="0"/>
    <x v="1"/>
    <n v="4023"/>
    <n v="293"/>
    <n v="91"/>
    <n v="26795"/>
    <n v="28924"/>
    <n v="278"/>
    <x v="1"/>
    <s v="#SpotifyWrapped"/>
    <s v="IndieWave"/>
    <n v="16.447098339242398"/>
  </r>
  <r>
    <s v="SP173"/>
    <x v="0"/>
    <d v="2024-06-04T00:00:00"/>
    <x v="0"/>
    <x v="6"/>
    <n v="3948"/>
    <n v="151"/>
    <n v="249"/>
    <n v="43147"/>
    <n v="63136"/>
    <n v="230"/>
    <x v="1"/>
    <s v="NA"/>
    <s v="IndieWave"/>
    <n v="10.077178019329269"/>
  </r>
  <r>
    <s v="SP174"/>
    <x v="2"/>
    <d v="2025-04-02T00:00:00"/>
    <x v="0"/>
    <x v="3"/>
    <n v="4598"/>
    <n v="455"/>
    <n v="378"/>
    <n v="52952"/>
    <n v="58504"/>
    <n v="269"/>
    <x v="1"/>
    <s v="#SpotifyWrapped"/>
    <s v="IndieWave"/>
    <n v="10.256458679558845"/>
  </r>
  <r>
    <s v="SP175"/>
    <x v="1"/>
    <d v="2025-04-01T00:00:00"/>
    <x v="1"/>
    <x v="4"/>
    <n v="2665"/>
    <n v="143"/>
    <n v="315"/>
    <n v="54808"/>
    <n v="29818"/>
    <n v="98"/>
    <x v="1"/>
    <s v="#MusicForEveryone"/>
    <s v="ChillVibes"/>
    <n v="5.6980732739746021"/>
  </r>
  <r>
    <s v="SP176"/>
    <x v="0"/>
    <d v="2024-07-02T00:00:00"/>
    <x v="0"/>
    <x v="7"/>
    <n v="3469"/>
    <n v="371"/>
    <n v="76"/>
    <n v="46493"/>
    <n v="26906"/>
    <n v="150"/>
    <x v="0"/>
    <s v="#NowPlaying"/>
    <s v="ChillVibes"/>
    <n v="8.4227733207149456"/>
  </r>
  <r>
    <s v="SP177"/>
    <x v="1"/>
    <d v="2024-11-10T00:00:00"/>
    <x v="0"/>
    <x v="1"/>
    <n v="4823"/>
    <n v="489"/>
    <n v="302"/>
    <n v="32470"/>
    <n v="31861"/>
    <n v="178"/>
    <x v="0"/>
    <s v="NA"/>
    <s v="IndieWave"/>
    <n v="17.289805974745921"/>
  </r>
  <r>
    <s v="SP178"/>
    <x v="0"/>
    <d v="2024-12-14T00:00:00"/>
    <x v="1"/>
    <x v="8"/>
    <n v="3812"/>
    <n v="321"/>
    <n v="289"/>
    <n v="59838"/>
    <n v="36337"/>
    <n v="161"/>
    <x v="3"/>
    <s v="NA"/>
    <s v="Wrapped2024"/>
    <n v="7.3899528727564414"/>
  </r>
  <r>
    <s v="SP179"/>
    <x v="1"/>
    <d v="2024-11-19T00:00:00"/>
    <x v="0"/>
    <x v="1"/>
    <n v="2387"/>
    <n v="353"/>
    <n v="78"/>
    <n v="39745"/>
    <n v="69226"/>
    <n v="208"/>
    <x v="0"/>
    <s v="NA"/>
    <s v="IndieWave"/>
    <n v="7.0902000251603976"/>
  </r>
  <r>
    <s v="SP180"/>
    <x v="1"/>
    <d v="2025-04-30T00:00:00"/>
    <x v="1"/>
    <x v="3"/>
    <n v="3929"/>
    <n v="275"/>
    <n v="330"/>
    <n v="58329"/>
    <n v="33196"/>
    <n v="85"/>
    <x v="2"/>
    <s v="#NowPlaying"/>
    <s v="ChillVibes"/>
    <n v="7.773148862486928"/>
  </r>
  <r>
    <s v="SP181"/>
    <x v="1"/>
    <d v="2024-03-19T00:00:00"/>
    <x v="0"/>
    <x v="8"/>
    <n v="2191"/>
    <n v="288"/>
    <n v="83"/>
    <n v="59606"/>
    <n v="24765"/>
    <n v="281"/>
    <x v="0"/>
    <s v="NA"/>
    <s v="IndieWave"/>
    <n v="4.2982250109049422"/>
  </r>
  <r>
    <s v="SP182"/>
    <x v="0"/>
    <d v="2024-03-19T00:00:00"/>
    <x v="0"/>
    <x v="8"/>
    <n v="2878"/>
    <n v="278"/>
    <n v="255"/>
    <n v="47235"/>
    <n v="57922"/>
    <n v="112"/>
    <x v="0"/>
    <s v="#NowPlaying"/>
    <s v="ChillVibes"/>
    <n v="7.2213401079707848"/>
  </r>
  <r>
    <s v="SP183"/>
    <x v="1"/>
    <d v="2024-07-23T00:00:00"/>
    <x v="0"/>
    <x v="7"/>
    <n v="3204"/>
    <n v="398"/>
    <n v="85"/>
    <n v="22020"/>
    <n v="58353"/>
    <n v="286"/>
    <x v="0"/>
    <s v="NA"/>
    <s v="IndieWave"/>
    <n v="16.743869209809265"/>
  </r>
  <r>
    <s v="SP184"/>
    <x v="1"/>
    <d v="2024-07-13T00:00:00"/>
    <x v="1"/>
    <x v="6"/>
    <n v="2408"/>
    <n v="323"/>
    <n v="251"/>
    <n v="47599"/>
    <n v="35543"/>
    <n v="287"/>
    <x v="2"/>
    <s v="#NowPlaying"/>
    <s v="ChillVibes"/>
    <n v="6.2648374965860638"/>
  </r>
  <r>
    <s v="SP185"/>
    <x v="2"/>
    <d v="2025-04-22T00:00:00"/>
    <x v="2"/>
    <x v="2"/>
    <n v="2733"/>
    <n v="297"/>
    <n v="235"/>
    <n v="37980"/>
    <n v="33058"/>
    <n v="219"/>
    <x v="1"/>
    <s v="#SoundtrackOfLife"/>
    <s v="SummerBeats"/>
    <n v="8.5966298051606103"/>
  </r>
  <r>
    <s v="SP186"/>
    <x v="1"/>
    <d v="2024-06-16T00:00:00"/>
    <x v="1"/>
    <x v="1"/>
    <n v="4618"/>
    <n v="312"/>
    <n v="254"/>
    <n v="22571"/>
    <n v="29453"/>
    <n v="197"/>
    <x v="2"/>
    <s v="#NowPlaying"/>
    <s v="ChillVibes"/>
    <n v="22.967524699836073"/>
  </r>
  <r>
    <s v="SP187"/>
    <x v="2"/>
    <d v="2025-05-18T00:00:00"/>
    <x v="2"/>
    <x v="3"/>
    <n v="4210"/>
    <n v="319"/>
    <n v="350"/>
    <n v="37762"/>
    <n v="55162"/>
    <n v="204"/>
    <x v="1"/>
    <s v="#SoundtrackOfLife"/>
    <s v="SummerBeats"/>
    <n v="12.920396165457337"/>
  </r>
  <r>
    <s v="SP188"/>
    <x v="0"/>
    <d v="2025-06-06T00:00:00"/>
    <x v="0"/>
    <x v="3"/>
    <n v="3987"/>
    <n v="171"/>
    <n v="274"/>
    <n v="45122"/>
    <n v="65431"/>
    <n v="168"/>
    <x v="1"/>
    <s v="NA"/>
    <s v="IndieWave"/>
    <n v="9.8222596516111871"/>
  </r>
  <r>
    <s v="SP189"/>
    <x v="2"/>
    <d v="2025-02-20T00:00:00"/>
    <x v="2"/>
    <x v="6"/>
    <n v="4957"/>
    <n v="262"/>
    <n v="365"/>
    <n v="49199"/>
    <n v="40314"/>
    <n v="216"/>
    <x v="1"/>
    <s v="#SoundtrackOfLife"/>
    <s v="SummerBeats"/>
    <n v="11.349824183418363"/>
  </r>
  <r>
    <s v="SP190"/>
    <x v="0"/>
    <d v="2025-01-16T00:00:00"/>
    <x v="0"/>
    <x v="4"/>
    <n v="2605"/>
    <n v="282"/>
    <n v="148"/>
    <n v="32201"/>
    <n v="49583"/>
    <n v="241"/>
    <x v="0"/>
    <s v="#NowPlaying"/>
    <s v="ChillVibes"/>
    <n v="9.4251731312692151"/>
  </r>
  <r>
    <s v="SP191"/>
    <x v="2"/>
    <d v="2024-02-24T00:00:00"/>
    <x v="2"/>
    <x v="0"/>
    <n v="4221"/>
    <n v="307"/>
    <n v="58"/>
    <n v="45080"/>
    <n v="37214"/>
    <n v="240"/>
    <x v="1"/>
    <s v="#SoundtrackOfLife"/>
    <s v="SummerBeats"/>
    <n v="10.173025732031943"/>
  </r>
  <r>
    <s v="SP192"/>
    <x v="1"/>
    <d v="2024-09-16T00:00:00"/>
    <x v="1"/>
    <x v="5"/>
    <n v="4422"/>
    <n v="434"/>
    <n v="156"/>
    <n v="56165"/>
    <n v="52431"/>
    <n v="173"/>
    <x v="1"/>
    <s v="#MusicForEveryone"/>
    <s v="ChillVibes"/>
    <n v="8.9237069349238851"/>
  </r>
  <r>
    <s v="SP193"/>
    <x v="2"/>
    <d v="2024-06-04T00:00:00"/>
    <x v="2"/>
    <x v="3"/>
    <n v="1211"/>
    <n v="431"/>
    <n v="83"/>
    <n v="26532"/>
    <n v="47305"/>
    <n v="232"/>
    <x v="1"/>
    <s v="#SoundtrackOfLife"/>
    <s v="SummerBeats"/>
    <n v="6.5015829941203069"/>
  </r>
  <r>
    <s v="SP194"/>
    <x v="1"/>
    <d v="2024-05-10T00:00:00"/>
    <x v="1"/>
    <x v="1"/>
    <n v="2784"/>
    <n v="111"/>
    <n v="399"/>
    <n v="58366"/>
    <n v="69512"/>
    <n v="269"/>
    <x v="2"/>
    <s v="#NowPlaying"/>
    <s v="ChillVibes"/>
    <n v="5.6436966727204192"/>
  </r>
  <r>
    <s v="SP195"/>
    <x v="2"/>
    <d v="2024-01-14T00:00:00"/>
    <x v="0"/>
    <x v="2"/>
    <n v="3634"/>
    <n v="280"/>
    <n v="399"/>
    <n v="40256"/>
    <n v="52605"/>
    <n v="213"/>
    <x v="1"/>
    <s v="#SpotifyWrapped"/>
    <s v="IndieWave"/>
    <n v="10.713930842607313"/>
  </r>
  <r>
    <s v="SP196"/>
    <x v="0"/>
    <d v="2025-01-12T00:00:00"/>
    <x v="0"/>
    <x v="8"/>
    <n v="1771"/>
    <n v="487"/>
    <n v="272"/>
    <n v="48810"/>
    <n v="48084"/>
    <n v="272"/>
    <x v="0"/>
    <s v="#NowPlaying"/>
    <s v="ChillVibes"/>
    <n v="5.1833640647408314"/>
  </r>
  <r>
    <s v="SP197"/>
    <x v="2"/>
    <d v="2024-12-08T00:00:00"/>
    <x v="0"/>
    <x v="7"/>
    <n v="1424"/>
    <n v="396"/>
    <n v="312"/>
    <n v="59517"/>
    <n v="46102"/>
    <n v="239"/>
    <x v="1"/>
    <s v="#SpotifyWrapped"/>
    <s v="IndieWave"/>
    <n v="3.5821698002251456"/>
  </r>
  <r>
    <s v="SP198"/>
    <x v="1"/>
    <d v="2025-02-01T00:00:00"/>
    <x v="1"/>
    <x v="7"/>
    <n v="1079"/>
    <n v="265"/>
    <n v="190"/>
    <n v="43786"/>
    <n v="72428"/>
    <n v="222"/>
    <x v="0"/>
    <s v="#NowPlaying"/>
    <s v="ChillVibes"/>
    <n v="3.5034029141734799"/>
  </r>
  <r>
    <s v="SP199"/>
    <x v="1"/>
    <d v="2024-07-11T00:00:00"/>
    <x v="1"/>
    <x v="6"/>
    <n v="4247"/>
    <n v="179"/>
    <n v="175"/>
    <n v="32991"/>
    <n v="70120"/>
    <n v="276"/>
    <x v="0"/>
    <s v="#NowPlaying"/>
    <s v="ChillVibes"/>
    <n v="13.946227759085811"/>
  </r>
  <r>
    <s v="SP200"/>
    <x v="1"/>
    <d v="2024-03-18T00:00:00"/>
    <x v="0"/>
    <x v="2"/>
    <n v="2033"/>
    <n v="420"/>
    <n v="94"/>
    <n v="56290"/>
    <n v="57391"/>
    <n v="196"/>
    <x v="3"/>
    <s v="NA"/>
    <s v="ChillVibes"/>
    <n v="4.5247823769763729"/>
  </r>
  <r>
    <s v="SP201"/>
    <x v="1"/>
    <d v="2024-09-12T00:00:00"/>
    <x v="1"/>
    <x v="3"/>
    <n v="1839"/>
    <n v="223"/>
    <n v="171"/>
    <n v="35459"/>
    <n v="69988"/>
    <n v="114"/>
    <x v="2"/>
    <s v="#NowPlaying"/>
    <s v="ChillVibes"/>
    <n v="6.2974139146620036"/>
  </r>
  <r>
    <s v="SP202"/>
    <x v="1"/>
    <d v="2024-01-11T00:00:00"/>
    <x v="1"/>
    <x v="3"/>
    <n v="2340"/>
    <n v="141"/>
    <n v="206"/>
    <n v="24916"/>
    <n v="30582"/>
    <n v="157"/>
    <x v="0"/>
    <s v="#NowPlaying"/>
    <s v="ChillVibes"/>
    <n v="10.784235029699792"/>
  </r>
  <r>
    <s v="SP203"/>
    <x v="0"/>
    <d v="2024-10-06T00:00:00"/>
    <x v="0"/>
    <x v="7"/>
    <n v="2080"/>
    <n v="389"/>
    <n v="92"/>
    <n v="30971"/>
    <n v="25347"/>
    <n v="111"/>
    <x v="1"/>
    <s v="NA"/>
    <s v="IndieWave"/>
    <n v="8.269025862904007"/>
  </r>
  <r>
    <s v="SP204"/>
    <x v="1"/>
    <d v="2024-12-30T00:00:00"/>
    <x v="0"/>
    <x v="6"/>
    <n v="4214"/>
    <n v="286"/>
    <n v="127"/>
    <n v="47293"/>
    <n v="27184"/>
    <n v="232"/>
    <x v="3"/>
    <s v="NA"/>
    <s v="ChillVibes"/>
    <n v="9.7836889180216957"/>
  </r>
  <r>
    <s v="SP205"/>
    <x v="1"/>
    <d v="2025-04-16T00:00:00"/>
    <x v="0"/>
    <x v="3"/>
    <n v="3792"/>
    <n v="315"/>
    <n v="120"/>
    <n v="54592"/>
    <n v="67886"/>
    <n v="117"/>
    <x v="0"/>
    <s v="NA"/>
    <s v="IndieWave"/>
    <n v="7.7428927315357567"/>
  </r>
  <r>
    <s v="SP206"/>
    <x v="1"/>
    <d v="2024-08-21T00:00:00"/>
    <x v="1"/>
    <x v="1"/>
    <n v="3989"/>
    <n v="476"/>
    <n v="128"/>
    <n v="57569"/>
    <n v="40193"/>
    <n v="222"/>
    <x v="1"/>
    <s v="#MusicForEveryone"/>
    <s v="ChillVibes"/>
    <n v="7.9782521843353189"/>
  </r>
  <r>
    <s v="SP207"/>
    <x v="1"/>
    <d v="2024-04-05T00:00:00"/>
    <x v="1"/>
    <x v="3"/>
    <n v="2857"/>
    <n v="443"/>
    <n v="359"/>
    <n v="51519"/>
    <n v="28256"/>
    <n v="155"/>
    <x v="0"/>
    <s v="#NowPlaying"/>
    <s v="ChillVibes"/>
    <n v="7.102234127215203"/>
  </r>
  <r>
    <s v="SP208"/>
    <x v="1"/>
    <d v="2025-04-07T00:00:00"/>
    <x v="0"/>
    <x v="8"/>
    <n v="1403"/>
    <n v="385"/>
    <n v="344"/>
    <n v="54223"/>
    <n v="72595"/>
    <n v="239"/>
    <x v="0"/>
    <s v="NA"/>
    <s v="IndieWave"/>
    <n v="3.9319108127547353"/>
  </r>
  <r>
    <s v="SP209"/>
    <x v="1"/>
    <d v="2024-07-19T00:00:00"/>
    <x v="1"/>
    <x v="5"/>
    <n v="3071"/>
    <n v="126"/>
    <n v="200"/>
    <n v="44013"/>
    <n v="44679"/>
    <n v="118"/>
    <x v="1"/>
    <s v="#MusicForEveryone"/>
    <s v="ChillVibes"/>
    <n v="7.7181741758116917"/>
  </r>
  <r>
    <s v="SP210"/>
    <x v="1"/>
    <d v="2025-05-03T00:00:00"/>
    <x v="1"/>
    <x v="7"/>
    <n v="1010"/>
    <n v="361"/>
    <n v="240"/>
    <n v="47229"/>
    <n v="72573"/>
    <n v="275"/>
    <x v="0"/>
    <s v="#NowPlaying"/>
    <s v="ChillVibes"/>
    <n v="3.4110398272247981"/>
  </r>
  <r>
    <s v="SP211"/>
    <x v="1"/>
    <d v="2024-04-14T00:00:00"/>
    <x v="1"/>
    <x v="0"/>
    <n v="1295"/>
    <n v="153"/>
    <n v="81"/>
    <n v="48350"/>
    <n v="61033"/>
    <n v="232"/>
    <x v="1"/>
    <s v="#MusicForEveryone"/>
    <s v="ChillVibes"/>
    <n v="3.1623578076525334"/>
  </r>
  <r>
    <s v="SP212"/>
    <x v="1"/>
    <d v="2025-06-19T00:00:00"/>
    <x v="1"/>
    <x v="5"/>
    <n v="1433"/>
    <n v="452"/>
    <n v="305"/>
    <n v="54541"/>
    <n v="63700"/>
    <n v="296"/>
    <x v="1"/>
    <s v="#MusicForEveryone"/>
    <s v="ChillVibes"/>
    <n v="4.0153279184466735"/>
  </r>
  <r>
    <s v="SP213"/>
    <x v="0"/>
    <d v="2025-06-24T00:00:00"/>
    <x v="1"/>
    <x v="6"/>
    <n v="4902"/>
    <n v="422"/>
    <n v="376"/>
    <n v="31674"/>
    <n v="53225"/>
    <n v="147"/>
    <x v="3"/>
    <s v="NA"/>
    <s v="Wrapped2024"/>
    <n v="17.995832544042432"/>
  </r>
  <r>
    <s v="SP214"/>
    <x v="1"/>
    <d v="2024-10-09T00:00:00"/>
    <x v="0"/>
    <x v="3"/>
    <n v="2659"/>
    <n v="167"/>
    <n v="73"/>
    <n v="23090"/>
    <n v="25872"/>
    <n v="293"/>
    <x v="0"/>
    <s v="NA"/>
    <s v="IndieWave"/>
    <n v="12.555218709398009"/>
  </r>
  <r>
    <s v="SP215"/>
    <x v="2"/>
    <d v="2025-01-15T00:00:00"/>
    <x v="0"/>
    <x v="9"/>
    <n v="2599"/>
    <n v="324"/>
    <n v="182"/>
    <n v="37525"/>
    <n v="37216"/>
    <n v="186"/>
    <x v="1"/>
    <s v="#SpotifyWrapped"/>
    <s v="IndieWave"/>
    <n v="8.2744836775483019"/>
  </r>
  <r>
    <s v="SP216"/>
    <x v="1"/>
    <d v="2025-01-12T00:00:00"/>
    <x v="0"/>
    <x v="4"/>
    <n v="1765"/>
    <n v="285"/>
    <n v="100"/>
    <n v="41313"/>
    <n v="56575"/>
    <n v="174"/>
    <x v="0"/>
    <s v="NA"/>
    <s v="IndieWave"/>
    <n v="5.2041730205988426"/>
  </r>
  <r>
    <s v="SP217"/>
    <x v="0"/>
    <d v="2025-05-31T00:00:00"/>
    <x v="0"/>
    <x v="5"/>
    <n v="2169"/>
    <n v="240"/>
    <n v="57"/>
    <n v="26109"/>
    <n v="46667"/>
    <n v="133"/>
    <x v="0"/>
    <s v="#NowPlaying"/>
    <s v="ChillVibes"/>
    <n v="9.4450189589796612"/>
  </r>
  <r>
    <s v="SP218"/>
    <x v="1"/>
    <d v="2024-10-14T00:00:00"/>
    <x v="1"/>
    <x v="1"/>
    <n v="4303"/>
    <n v="306"/>
    <n v="302"/>
    <n v="39575"/>
    <n v="33762"/>
    <n v="265"/>
    <x v="1"/>
    <s v="#MusicForEveryone"/>
    <s v="ChillVibes"/>
    <n v="12.409349336702464"/>
  </r>
  <r>
    <s v="SP219"/>
    <x v="1"/>
    <d v="2024-02-10T00:00:00"/>
    <x v="0"/>
    <x v="8"/>
    <n v="1519"/>
    <n v="456"/>
    <n v="379"/>
    <n v="51611"/>
    <n v="45880"/>
    <n v="176"/>
    <x v="0"/>
    <s v="NA"/>
    <s v="IndieWave"/>
    <n v="4.5610431884675746"/>
  </r>
  <r>
    <s v="SP220"/>
    <x v="2"/>
    <d v="2024-12-10T00:00:00"/>
    <x v="0"/>
    <x v="5"/>
    <n v="2569"/>
    <n v="140"/>
    <n v="375"/>
    <n v="38372"/>
    <n v="22102"/>
    <n v="255"/>
    <x v="1"/>
    <s v="#SpotifyWrapped"/>
    <s v="IndieWave"/>
    <n v="8.0371103929948919"/>
  </r>
  <r>
    <s v="SP221"/>
    <x v="1"/>
    <d v="2025-05-09T00:00:00"/>
    <x v="1"/>
    <x v="4"/>
    <n v="2778"/>
    <n v="241"/>
    <n v="317"/>
    <n v="26247"/>
    <n v="20677"/>
    <n v="282"/>
    <x v="2"/>
    <s v="#NowPlaying"/>
    <s v="ChillVibes"/>
    <n v="12.71002400274317"/>
  </r>
  <r>
    <s v="SP222"/>
    <x v="1"/>
    <d v="2025-06-21T00:00:00"/>
    <x v="0"/>
    <x v="1"/>
    <n v="3611"/>
    <n v="127"/>
    <n v="139"/>
    <n v="44768"/>
    <n v="29435"/>
    <n v="178"/>
    <x v="3"/>
    <s v="NA"/>
    <s v="ChillVibes"/>
    <n v="8.6602037169406714"/>
  </r>
  <r>
    <s v="SP223"/>
    <x v="1"/>
    <d v="2024-06-19T00:00:00"/>
    <x v="0"/>
    <x v="5"/>
    <n v="1224"/>
    <n v="168"/>
    <n v="199"/>
    <n v="54232"/>
    <n v="52844"/>
    <n v="271"/>
    <x v="0"/>
    <s v="NA"/>
    <s v="IndieWave"/>
    <n v="2.9336922849977873"/>
  </r>
  <r>
    <s v="SP224"/>
    <x v="1"/>
    <d v="2024-12-10T00:00:00"/>
    <x v="0"/>
    <x v="8"/>
    <n v="4673"/>
    <n v="270"/>
    <n v="93"/>
    <n v="45260"/>
    <n v="57513"/>
    <n v="103"/>
    <x v="3"/>
    <s v="NA"/>
    <s v="ChillVibes"/>
    <n v="11.126822801590809"/>
  </r>
  <r>
    <s v="SP225"/>
    <x v="2"/>
    <d v="2024-02-01T00:00:00"/>
    <x v="0"/>
    <x v="3"/>
    <n v="1432"/>
    <n v="437"/>
    <n v="267"/>
    <n v="40634"/>
    <n v="54511"/>
    <n v="197"/>
    <x v="1"/>
    <s v="#SpotifyWrapped"/>
    <s v="IndieWave"/>
    <n v="5.2566815966924256"/>
  </r>
  <r>
    <s v="SP226"/>
    <x v="1"/>
    <d v="2024-01-17T00:00:00"/>
    <x v="1"/>
    <x v="2"/>
    <n v="2174"/>
    <n v="499"/>
    <n v="212"/>
    <n v="54938"/>
    <n v="27190"/>
    <n v="265"/>
    <x v="2"/>
    <s v="#NowPlaying"/>
    <s v="ChillVibes"/>
    <n v="5.2513742764570974"/>
  </r>
  <r>
    <s v="SP227"/>
    <x v="2"/>
    <d v="2025-03-22T00:00:00"/>
    <x v="0"/>
    <x v="4"/>
    <n v="4308"/>
    <n v="171"/>
    <n v="106"/>
    <n v="36955"/>
    <n v="23949"/>
    <n v="294"/>
    <x v="1"/>
    <s v="#SpotifyWrapped"/>
    <s v="IndieWave"/>
    <n v="12.406981463942634"/>
  </r>
  <r>
    <s v="SP228"/>
    <x v="2"/>
    <d v="2024-05-30T00:00:00"/>
    <x v="2"/>
    <x v="5"/>
    <n v="1060"/>
    <n v="442"/>
    <n v="319"/>
    <n v="57194"/>
    <n v="24258"/>
    <n v="101"/>
    <x v="1"/>
    <s v="#SoundtrackOfLife"/>
    <s v="SummerBeats"/>
    <n v="3.1839004091338254"/>
  </r>
  <r>
    <s v="SP229"/>
    <x v="2"/>
    <d v="2024-02-24T00:00:00"/>
    <x v="0"/>
    <x v="4"/>
    <n v="4653"/>
    <n v="226"/>
    <n v="349"/>
    <n v="56876"/>
    <n v="28452"/>
    <n v="257"/>
    <x v="1"/>
    <s v="#SpotifyWrapped"/>
    <s v="IndieWave"/>
    <n v="9.1919262958013928"/>
  </r>
  <r>
    <s v="SP230"/>
    <x v="2"/>
    <d v="2025-05-14T00:00:00"/>
    <x v="0"/>
    <x v="0"/>
    <n v="1701"/>
    <n v="272"/>
    <n v="385"/>
    <n v="47496"/>
    <n v="40832"/>
    <n v="246"/>
    <x v="1"/>
    <s v="#SpotifyWrapped"/>
    <s v="IndieWave"/>
    <n v="4.9646286003031834"/>
  </r>
  <r>
    <s v="SP231"/>
    <x v="0"/>
    <d v="2024-03-28T00:00:00"/>
    <x v="0"/>
    <x v="5"/>
    <n v="1673"/>
    <n v="280"/>
    <n v="67"/>
    <n v="29847"/>
    <n v="48016"/>
    <n v="213"/>
    <x v="0"/>
    <s v="#NowPlaying"/>
    <s v="ChillVibes"/>
    <n v="6.7678493650953202"/>
  </r>
  <r>
    <s v="SP232"/>
    <x v="2"/>
    <d v="2025-03-07T00:00:00"/>
    <x v="0"/>
    <x v="7"/>
    <n v="4310"/>
    <n v="284"/>
    <n v="306"/>
    <n v="44606"/>
    <n v="42604"/>
    <n v="290"/>
    <x v="1"/>
    <s v="#SpotifyWrapped"/>
    <s v="IndieWave"/>
    <n v="10.985069273191947"/>
  </r>
  <r>
    <s v="SP233"/>
    <x v="1"/>
    <d v="2024-10-20T00:00:00"/>
    <x v="0"/>
    <x v="8"/>
    <n v="2752"/>
    <n v="309"/>
    <n v="91"/>
    <n v="39038"/>
    <n v="28095"/>
    <n v="277"/>
    <x v="3"/>
    <s v="NA"/>
    <s v="ChillVibes"/>
    <n v="8.0741841282852604"/>
  </r>
  <r>
    <s v="SP234"/>
    <x v="1"/>
    <d v="2024-02-02T00:00:00"/>
    <x v="0"/>
    <x v="8"/>
    <n v="3818"/>
    <n v="115"/>
    <n v="286"/>
    <n v="25127"/>
    <n v="22277"/>
    <n v="263"/>
    <x v="3"/>
    <s v="NA"/>
    <s v="ChillVibes"/>
    <n v="16.790703227603775"/>
  </r>
  <r>
    <s v="SP235"/>
    <x v="2"/>
    <d v="2024-09-07T00:00:00"/>
    <x v="0"/>
    <x v="9"/>
    <n v="2101"/>
    <n v="411"/>
    <n v="190"/>
    <n v="41791"/>
    <n v="57090"/>
    <n v="172"/>
    <x v="1"/>
    <s v="#SpotifyWrapped"/>
    <s v="IndieWave"/>
    <n v="6.4655069273288515"/>
  </r>
  <r>
    <s v="SP236"/>
    <x v="0"/>
    <d v="2024-12-20T00:00:00"/>
    <x v="0"/>
    <x v="0"/>
    <n v="2519"/>
    <n v="202"/>
    <n v="239"/>
    <n v="36245"/>
    <n v="48606"/>
    <n v="145"/>
    <x v="1"/>
    <s v="NA"/>
    <s v="IndieWave"/>
    <n v="8.166643674989654"/>
  </r>
  <r>
    <s v="SP237"/>
    <x v="2"/>
    <d v="2024-01-14T00:00:00"/>
    <x v="0"/>
    <x v="5"/>
    <n v="4502"/>
    <n v="238"/>
    <n v="386"/>
    <n v="39198"/>
    <n v="25050"/>
    <n v="297"/>
    <x v="1"/>
    <s v="#SpotifyWrapped"/>
    <s v="IndieWave"/>
    <n v="13.077197816215113"/>
  </r>
  <r>
    <s v="SP238"/>
    <x v="0"/>
    <d v="2025-06-15T00:00:00"/>
    <x v="0"/>
    <x v="1"/>
    <n v="2478"/>
    <n v="427"/>
    <n v="242"/>
    <n v="59272"/>
    <n v="37833"/>
    <n v="214"/>
    <x v="0"/>
    <s v="#NowPlaying"/>
    <s v="ChillVibes"/>
    <n v="5.3094209744904841"/>
  </r>
  <r>
    <s v="SP239"/>
    <x v="1"/>
    <d v="2024-12-13T00:00:00"/>
    <x v="1"/>
    <x v="2"/>
    <n v="4984"/>
    <n v="300"/>
    <n v="338"/>
    <n v="32900"/>
    <n v="31691"/>
    <n v="160"/>
    <x v="2"/>
    <s v="#NowPlaying"/>
    <s v="ChillVibes"/>
    <n v="17.088145896656535"/>
  </r>
  <r>
    <s v="SP240"/>
    <x v="2"/>
    <d v="2024-08-29T00:00:00"/>
    <x v="0"/>
    <x v="3"/>
    <n v="4774"/>
    <n v="389"/>
    <n v="358"/>
    <n v="52346"/>
    <n v="30518"/>
    <n v="277"/>
    <x v="1"/>
    <s v="#SpotifyWrapped"/>
    <s v="IndieWave"/>
    <n v="10.547128720437092"/>
  </r>
  <r>
    <s v="SP241"/>
    <x v="1"/>
    <d v="2024-09-15T00:00:00"/>
    <x v="0"/>
    <x v="6"/>
    <n v="2145"/>
    <n v="340"/>
    <n v="85"/>
    <n v="53323"/>
    <n v="49938"/>
    <n v="104"/>
    <x v="3"/>
    <s v="NA"/>
    <s v="ChillVibes"/>
    <n v="4.8196838137389122"/>
  </r>
  <r>
    <s v="SP242"/>
    <x v="1"/>
    <d v="2025-04-12T00:00:00"/>
    <x v="1"/>
    <x v="8"/>
    <n v="4315"/>
    <n v="208"/>
    <n v="273"/>
    <n v="35780"/>
    <n v="44349"/>
    <n v="133"/>
    <x v="1"/>
    <s v="#MusicForEveryone"/>
    <s v="ChillVibes"/>
    <n v="13.404136389044158"/>
  </r>
  <r>
    <s v="SP243"/>
    <x v="1"/>
    <d v="2024-12-10T00:00:00"/>
    <x v="1"/>
    <x v="3"/>
    <n v="2267"/>
    <n v="230"/>
    <n v="243"/>
    <n v="27904"/>
    <n v="69771"/>
    <n v="255"/>
    <x v="1"/>
    <s v="#MusicForEveryone"/>
    <s v="ChillVibes"/>
    <n v="9.8193807339449553"/>
  </r>
  <r>
    <s v="SP244"/>
    <x v="2"/>
    <d v="2025-06-08T00:00:00"/>
    <x v="0"/>
    <x v="4"/>
    <n v="4375"/>
    <n v="303"/>
    <n v="294"/>
    <n v="57468"/>
    <n v="53397"/>
    <n v="159"/>
    <x v="1"/>
    <s v="#SpotifyWrapped"/>
    <s v="IndieWave"/>
    <n v="8.6517714206166918"/>
  </r>
  <r>
    <s v="SP245"/>
    <x v="1"/>
    <d v="2025-01-09T00:00:00"/>
    <x v="1"/>
    <x v="9"/>
    <n v="3817"/>
    <n v="284"/>
    <n v="204"/>
    <n v="46434"/>
    <n v="53396"/>
    <n v="104"/>
    <x v="2"/>
    <s v="#NowPlaying"/>
    <s v="ChillVibes"/>
    <n v="9.271223672309084"/>
  </r>
  <r>
    <s v="SP246"/>
    <x v="1"/>
    <d v="2024-07-08T00:00:00"/>
    <x v="1"/>
    <x v="7"/>
    <n v="2981"/>
    <n v="258"/>
    <n v="168"/>
    <n v="20677"/>
    <n v="68290"/>
    <n v="130"/>
    <x v="0"/>
    <s v="#NowPlaying"/>
    <s v="ChillVibes"/>
    <n v="16.477245248343568"/>
  </r>
  <r>
    <s v="SP247"/>
    <x v="1"/>
    <d v="2024-09-16T00:00:00"/>
    <x v="1"/>
    <x v="9"/>
    <n v="3300"/>
    <n v="354"/>
    <n v="397"/>
    <n v="56773"/>
    <n v="72110"/>
    <n v="163"/>
    <x v="1"/>
    <s v="#MusicForEveryone"/>
    <s v="ChillVibes"/>
    <n v="7.1354340971940893"/>
  </r>
  <r>
    <s v="SP248"/>
    <x v="2"/>
    <d v="2024-06-14T00:00:00"/>
    <x v="2"/>
    <x v="3"/>
    <n v="4722"/>
    <n v="310"/>
    <n v="344"/>
    <n v="27911"/>
    <n v="19000"/>
    <n v="225"/>
    <x v="1"/>
    <s v="#SoundtrackOfLife"/>
    <s v="SummerBeats"/>
    <n v="19.261223173659133"/>
  </r>
  <r>
    <s v="SP249"/>
    <x v="0"/>
    <d v="2024-03-06T00:00:00"/>
    <x v="0"/>
    <x v="5"/>
    <n v="3529"/>
    <n v="263"/>
    <n v="107"/>
    <n v="26570"/>
    <n v="19367"/>
    <n v="96"/>
    <x v="1"/>
    <s v="NA"/>
    <s v="IndieWave"/>
    <n v="14.674444862627023"/>
  </r>
  <r>
    <s v="SP250"/>
    <x v="1"/>
    <d v="2025-05-15T00:00:00"/>
    <x v="0"/>
    <x v="9"/>
    <n v="4782"/>
    <n v="210"/>
    <n v="311"/>
    <n v="29793"/>
    <n v="37543"/>
    <n v="145"/>
    <x v="3"/>
    <s v="NA"/>
    <s v="ChillVibes"/>
    <n v="17.79948310005706"/>
  </r>
  <r>
    <s v="SP251"/>
    <x v="1"/>
    <d v="2024-07-07T00:00:00"/>
    <x v="0"/>
    <x v="5"/>
    <n v="1848"/>
    <n v="417"/>
    <n v="294"/>
    <n v="57819"/>
    <n v="19798"/>
    <n v="262"/>
    <x v="0"/>
    <s v="NA"/>
    <s v="IndieWave"/>
    <n v="4.4258807658382189"/>
  </r>
  <r>
    <s v="SP252"/>
    <x v="2"/>
    <d v="2024-10-26T00:00:00"/>
    <x v="0"/>
    <x v="2"/>
    <n v="4676"/>
    <n v="211"/>
    <n v="55"/>
    <n v="45917"/>
    <n v="73503"/>
    <n v="248"/>
    <x v="1"/>
    <s v="#SpotifyWrapped"/>
    <s v="IndieWave"/>
    <n v="10.762898272970794"/>
  </r>
  <r>
    <s v="SP253"/>
    <x v="2"/>
    <d v="2024-08-08T00:00:00"/>
    <x v="0"/>
    <x v="8"/>
    <n v="1994"/>
    <n v="197"/>
    <n v="290"/>
    <n v="49500"/>
    <n v="23343"/>
    <n v="160"/>
    <x v="1"/>
    <s v="#SpotifyWrapped"/>
    <s v="IndieWave"/>
    <n v="5.0121212121212118"/>
  </r>
  <r>
    <s v="SP254"/>
    <x v="1"/>
    <d v="2025-02-03T00:00:00"/>
    <x v="0"/>
    <x v="5"/>
    <n v="4995"/>
    <n v="231"/>
    <n v="94"/>
    <n v="34431"/>
    <n v="32560"/>
    <n v="262"/>
    <x v="3"/>
    <s v="NA"/>
    <s v="ChillVibes"/>
    <n v="15.451192239551567"/>
  </r>
  <r>
    <s v="SP255"/>
    <x v="1"/>
    <d v="2024-04-03T00:00:00"/>
    <x v="1"/>
    <x v="7"/>
    <n v="2291"/>
    <n v="146"/>
    <n v="399"/>
    <n v="49319"/>
    <n v="28056"/>
    <n v="90"/>
    <x v="1"/>
    <s v="#MusicForEveryone"/>
    <s v="ChillVibes"/>
    <n v="5.750319349540745"/>
  </r>
  <r>
    <s v="SP256"/>
    <x v="1"/>
    <d v="2024-07-08T00:00:00"/>
    <x v="1"/>
    <x v="3"/>
    <n v="2304"/>
    <n v="289"/>
    <n v="161"/>
    <n v="52645"/>
    <n v="66262"/>
    <n v="146"/>
    <x v="2"/>
    <s v="#NowPlaying"/>
    <s v="ChillVibes"/>
    <n v="5.2312660271630733"/>
  </r>
  <r>
    <s v="SP257"/>
    <x v="1"/>
    <d v="2024-06-08T00:00:00"/>
    <x v="1"/>
    <x v="7"/>
    <n v="3413"/>
    <n v="326"/>
    <n v="86"/>
    <n v="44680"/>
    <n v="52719"/>
    <n v="272"/>
    <x v="1"/>
    <s v="#MusicForEveryone"/>
    <s v="ChillVibes"/>
    <n v="8.5608773500447626"/>
  </r>
  <r>
    <s v="SP258"/>
    <x v="2"/>
    <d v="2025-03-20T00:00:00"/>
    <x v="2"/>
    <x v="8"/>
    <n v="1453"/>
    <n v="156"/>
    <n v="178"/>
    <n v="52980"/>
    <n v="57180"/>
    <n v="286"/>
    <x v="1"/>
    <s v="#SoundtrackOfLife"/>
    <s v="SummerBeats"/>
    <n v="3.3729709324273314"/>
  </r>
  <r>
    <s v="SP259"/>
    <x v="1"/>
    <d v="2025-01-19T00:00:00"/>
    <x v="1"/>
    <x v="4"/>
    <n v="1651"/>
    <n v="480"/>
    <n v="282"/>
    <n v="32140"/>
    <n v="70560"/>
    <n v="138"/>
    <x v="0"/>
    <s v="#NowPlaying"/>
    <s v="ChillVibes"/>
    <n v="7.5077784691972624"/>
  </r>
  <r>
    <s v="SP260"/>
    <x v="1"/>
    <d v="2025-01-05T00:00:00"/>
    <x v="1"/>
    <x v="1"/>
    <n v="3341"/>
    <n v="154"/>
    <n v="123"/>
    <n v="43369"/>
    <n v="49035"/>
    <n v="128"/>
    <x v="2"/>
    <s v="#NowPlaying"/>
    <s v="ChillVibes"/>
    <n v="8.3423643616408025"/>
  </r>
  <r>
    <s v="SP261"/>
    <x v="1"/>
    <d v="2024-11-16T00:00:00"/>
    <x v="0"/>
    <x v="8"/>
    <n v="2972"/>
    <n v="263"/>
    <n v="308"/>
    <n v="51740"/>
    <n v="28214"/>
    <n v="190"/>
    <x v="0"/>
    <s v="NA"/>
    <s v="IndieWave"/>
    <n v="6.8477000386548124"/>
  </r>
  <r>
    <s v="SP262"/>
    <x v="1"/>
    <d v="2024-11-30T00:00:00"/>
    <x v="1"/>
    <x v="1"/>
    <n v="4963"/>
    <n v="255"/>
    <n v="193"/>
    <n v="44386"/>
    <n v="28415"/>
    <n v="174"/>
    <x v="2"/>
    <s v="#NowPlaying"/>
    <s v="ChillVibes"/>
    <n v="12.190780876853061"/>
  </r>
  <r>
    <s v="SP263"/>
    <x v="2"/>
    <d v="2024-03-27T00:00:00"/>
    <x v="0"/>
    <x v="4"/>
    <n v="2399"/>
    <n v="191"/>
    <n v="221"/>
    <n v="51603"/>
    <n v="40033"/>
    <n v="173"/>
    <x v="1"/>
    <s v="#SpotifyWrapped"/>
    <s v="IndieWave"/>
    <n v="5.4473577117609437"/>
  </r>
  <r>
    <s v="SP264"/>
    <x v="2"/>
    <d v="2025-05-31T00:00:00"/>
    <x v="2"/>
    <x v="6"/>
    <n v="2162"/>
    <n v="318"/>
    <n v="83"/>
    <n v="46719"/>
    <n v="20482"/>
    <n v="185"/>
    <x v="1"/>
    <s v="#SoundtrackOfLife"/>
    <s v="SummerBeats"/>
    <n v="5.4859907104176031"/>
  </r>
  <r>
    <s v="SP265"/>
    <x v="1"/>
    <d v="2025-06-17T00:00:00"/>
    <x v="1"/>
    <x v="1"/>
    <n v="4341"/>
    <n v="141"/>
    <n v="63"/>
    <n v="50081"/>
    <n v="27507"/>
    <n v="221"/>
    <x v="1"/>
    <s v="#MusicForEveryone"/>
    <s v="ChillVibes"/>
    <n v="9.0752980172121163"/>
  </r>
  <r>
    <s v="SP266"/>
    <x v="0"/>
    <d v="2024-05-30T00:00:00"/>
    <x v="1"/>
    <x v="6"/>
    <n v="2448"/>
    <n v="464"/>
    <n v="98"/>
    <n v="25737"/>
    <n v="48545"/>
    <n v="246"/>
    <x v="3"/>
    <s v="NA"/>
    <s v="Wrapped2024"/>
    <n v="11.695224773672146"/>
  </r>
  <r>
    <s v="SP267"/>
    <x v="2"/>
    <d v="2024-11-08T00:00:00"/>
    <x v="0"/>
    <x v="7"/>
    <n v="2471"/>
    <n v="166"/>
    <n v="320"/>
    <n v="48254"/>
    <n v="46900"/>
    <n v="111"/>
    <x v="1"/>
    <s v="#SpotifyWrapped"/>
    <s v="IndieWave"/>
    <n v="6.127989389480665"/>
  </r>
  <r>
    <s v="SP268"/>
    <x v="2"/>
    <d v="2024-03-17T00:00:00"/>
    <x v="2"/>
    <x v="1"/>
    <n v="2692"/>
    <n v="446"/>
    <n v="216"/>
    <n v="45818"/>
    <n v="62723"/>
    <n v="85"/>
    <x v="1"/>
    <s v="#SoundtrackOfLife"/>
    <s v="SummerBeats"/>
    <n v="7.3202671439172375"/>
  </r>
  <r>
    <s v="SP269"/>
    <x v="2"/>
    <d v="2024-06-21T00:00:00"/>
    <x v="2"/>
    <x v="4"/>
    <n v="4621"/>
    <n v="374"/>
    <n v="298"/>
    <n v="56979"/>
    <n v="24098"/>
    <n v="205"/>
    <x v="1"/>
    <s v="#SoundtrackOfLife"/>
    <s v="SummerBeats"/>
    <n v="9.2893873181347502"/>
  </r>
  <r>
    <s v="SP270"/>
    <x v="1"/>
    <d v="2024-11-13T00:00:00"/>
    <x v="1"/>
    <x v="2"/>
    <n v="1409"/>
    <n v="466"/>
    <n v="105"/>
    <n v="58923"/>
    <n v="38753"/>
    <n v="265"/>
    <x v="1"/>
    <s v="#MusicForEveryone"/>
    <s v="ChillVibes"/>
    <n v="3.3603177027646249"/>
  </r>
  <r>
    <s v="SP271"/>
    <x v="1"/>
    <d v="2025-02-05T00:00:00"/>
    <x v="1"/>
    <x v="0"/>
    <n v="3029"/>
    <n v="440"/>
    <n v="66"/>
    <n v="23815"/>
    <n v="47895"/>
    <n v="210"/>
    <x v="1"/>
    <s v="#MusicForEveryone"/>
    <s v="ChillVibes"/>
    <n v="14.843585975225698"/>
  </r>
  <r>
    <s v="SP272"/>
    <x v="1"/>
    <d v="2024-11-07T00:00:00"/>
    <x v="0"/>
    <x v="1"/>
    <n v="2229"/>
    <n v="395"/>
    <n v="328"/>
    <n v="56921"/>
    <n v="37176"/>
    <n v="126"/>
    <x v="0"/>
    <s v="NA"/>
    <s v="IndieWave"/>
    <n v="5.1861351697967359"/>
  </r>
  <r>
    <s v="SP273"/>
    <x v="1"/>
    <d v="2024-02-12T00:00:00"/>
    <x v="0"/>
    <x v="1"/>
    <n v="2691"/>
    <n v="486"/>
    <n v="206"/>
    <n v="51133"/>
    <n v="44583"/>
    <n v="276"/>
    <x v="3"/>
    <s v="NA"/>
    <s v="ChillVibes"/>
    <n v="6.6160796354604656"/>
  </r>
  <r>
    <s v="SP274"/>
    <x v="0"/>
    <d v="2024-10-08T00:00:00"/>
    <x v="0"/>
    <x v="1"/>
    <n v="2110"/>
    <n v="384"/>
    <n v="236"/>
    <n v="49965"/>
    <n v="61555"/>
    <n v="195"/>
    <x v="1"/>
    <s v="NA"/>
    <s v="IndieWave"/>
    <n v="5.4638246772740917"/>
  </r>
  <r>
    <s v="SP275"/>
    <x v="0"/>
    <d v="2024-02-19T00:00:00"/>
    <x v="0"/>
    <x v="3"/>
    <n v="4752"/>
    <n v="449"/>
    <n v="309"/>
    <n v="58530"/>
    <n v="26630"/>
    <n v="234"/>
    <x v="1"/>
    <s v="NA"/>
    <s v="IndieWave"/>
    <n v="9.413975738937296"/>
  </r>
  <r>
    <s v="SP276"/>
    <x v="1"/>
    <d v="2025-03-04T00:00:00"/>
    <x v="0"/>
    <x v="0"/>
    <n v="2177"/>
    <n v="258"/>
    <n v="292"/>
    <n v="47276"/>
    <n v="51324"/>
    <n v="143"/>
    <x v="3"/>
    <s v="NA"/>
    <s v="ChillVibes"/>
    <n v="5.7682545054573149"/>
  </r>
  <r>
    <s v="SP277"/>
    <x v="0"/>
    <d v="2025-02-03T00:00:00"/>
    <x v="1"/>
    <x v="2"/>
    <n v="1205"/>
    <n v="486"/>
    <n v="269"/>
    <n v="23341"/>
    <n v="42411"/>
    <n v="184"/>
    <x v="3"/>
    <s v="NA"/>
    <s v="Wrapped2024"/>
    <n v="8.3972409065592739"/>
  </r>
  <r>
    <s v="SP278"/>
    <x v="0"/>
    <d v="2024-12-02T00:00:00"/>
    <x v="0"/>
    <x v="7"/>
    <n v="3194"/>
    <n v="292"/>
    <n v="245"/>
    <n v="56371"/>
    <n v="65597"/>
    <n v="163"/>
    <x v="0"/>
    <s v="#NowPlaying"/>
    <s v="ChillVibes"/>
    <n v="6.6186514342481058"/>
  </r>
  <r>
    <s v="SP279"/>
    <x v="1"/>
    <d v="2025-01-19T00:00:00"/>
    <x v="1"/>
    <x v="2"/>
    <n v="3507"/>
    <n v="295"/>
    <n v="371"/>
    <n v="20410"/>
    <n v="53965"/>
    <n v="212"/>
    <x v="0"/>
    <s v="#NowPlaying"/>
    <s v="ChillVibes"/>
    <n v="20.445859872611464"/>
  </r>
  <r>
    <s v="SP280"/>
    <x v="1"/>
    <d v="2024-09-28T00:00:00"/>
    <x v="1"/>
    <x v="3"/>
    <n v="4471"/>
    <n v="317"/>
    <n v="249"/>
    <n v="44862"/>
    <n v="33365"/>
    <n v="184"/>
    <x v="1"/>
    <s v="#MusicForEveryone"/>
    <s v="ChillVibes"/>
    <n v="11.22776514644911"/>
  </r>
  <r>
    <s v="SP281"/>
    <x v="0"/>
    <d v="2024-01-07T00:00:00"/>
    <x v="0"/>
    <x v="7"/>
    <n v="4931"/>
    <n v="469"/>
    <n v="193"/>
    <n v="56701"/>
    <n v="69437"/>
    <n v="291"/>
    <x v="0"/>
    <s v="#NowPlaying"/>
    <s v="ChillVibes"/>
    <n v="9.8640235621946708"/>
  </r>
  <r>
    <s v="SP282"/>
    <x v="1"/>
    <d v="2024-02-21T00:00:00"/>
    <x v="1"/>
    <x v="6"/>
    <n v="2604"/>
    <n v="439"/>
    <n v="148"/>
    <n v="58468"/>
    <n v="39629"/>
    <n v="163"/>
    <x v="2"/>
    <s v="#NowPlaying"/>
    <s v="ChillVibes"/>
    <n v="5.4576862557296293"/>
  </r>
  <r>
    <s v="SP283"/>
    <x v="0"/>
    <d v="2024-08-27T00:00:00"/>
    <x v="0"/>
    <x v="4"/>
    <n v="4197"/>
    <n v="359"/>
    <n v="280"/>
    <n v="56048"/>
    <n v="70930"/>
    <n v="295"/>
    <x v="1"/>
    <s v="NA"/>
    <s v="IndieWave"/>
    <n v="8.6283185840707954"/>
  </r>
  <r>
    <s v="SP284"/>
    <x v="0"/>
    <d v="2024-10-24T00:00:00"/>
    <x v="1"/>
    <x v="7"/>
    <n v="1914"/>
    <n v="255"/>
    <n v="156"/>
    <n v="27660"/>
    <n v="47776"/>
    <n v="111"/>
    <x v="3"/>
    <s v="NA"/>
    <s v="Wrapped2024"/>
    <n v="8.405639913232104"/>
  </r>
  <r>
    <s v="SP285"/>
    <x v="2"/>
    <d v="2025-01-29T00:00:00"/>
    <x v="0"/>
    <x v="2"/>
    <n v="1334"/>
    <n v="357"/>
    <n v="257"/>
    <n v="56910"/>
    <n v="70606"/>
    <n v="228"/>
    <x v="1"/>
    <s v="#SpotifyWrapped"/>
    <s v="IndieWave"/>
    <n v="3.4229485151994381"/>
  </r>
  <r>
    <s v="SP286"/>
    <x v="0"/>
    <d v="2024-05-01T00:00:00"/>
    <x v="0"/>
    <x v="6"/>
    <n v="3359"/>
    <n v="137"/>
    <n v="387"/>
    <n v="33861"/>
    <n v="47257"/>
    <n v="198"/>
    <x v="1"/>
    <s v="NA"/>
    <s v="IndieWave"/>
    <n v="11.467469950680725"/>
  </r>
  <r>
    <s v="SP287"/>
    <x v="2"/>
    <d v="2024-06-25T00:00:00"/>
    <x v="0"/>
    <x v="9"/>
    <n v="2172"/>
    <n v="338"/>
    <n v="70"/>
    <n v="30515"/>
    <n v="57853"/>
    <n v="156"/>
    <x v="1"/>
    <s v="#SpotifyWrapped"/>
    <s v="IndieWave"/>
    <n v="8.4548582664263474"/>
  </r>
  <r>
    <s v="SP288"/>
    <x v="1"/>
    <d v="2024-08-09T00:00:00"/>
    <x v="1"/>
    <x v="8"/>
    <n v="4877"/>
    <n v="442"/>
    <n v="236"/>
    <n v="52673"/>
    <n v="48241"/>
    <n v="114"/>
    <x v="1"/>
    <s v="#MusicForEveryone"/>
    <s v="ChillVibes"/>
    <n v="10.546200140489436"/>
  </r>
  <r>
    <s v="SP289"/>
    <x v="0"/>
    <d v="2025-01-21T00:00:00"/>
    <x v="1"/>
    <x v="2"/>
    <n v="4918"/>
    <n v="440"/>
    <n v="149"/>
    <n v="53269"/>
    <n v="64370"/>
    <n v="269"/>
    <x v="3"/>
    <s v="NA"/>
    <s v="Wrapped2024"/>
    <n v="10.338095327488784"/>
  </r>
  <r>
    <s v="SP290"/>
    <x v="1"/>
    <d v="2024-08-13T00:00:00"/>
    <x v="0"/>
    <x v="1"/>
    <n v="3418"/>
    <n v="107"/>
    <n v="221"/>
    <n v="23927"/>
    <n v="26182"/>
    <n v="155"/>
    <x v="0"/>
    <s v="NA"/>
    <s v="IndieWave"/>
    <n v="15.65595352530614"/>
  </r>
  <r>
    <s v="SP291"/>
    <x v="0"/>
    <d v="2024-06-29T00:00:00"/>
    <x v="0"/>
    <x v="9"/>
    <n v="2088"/>
    <n v="490"/>
    <n v="124"/>
    <n v="46544"/>
    <n v="69346"/>
    <n v="178"/>
    <x v="0"/>
    <s v="#NowPlaying"/>
    <s v="ChillVibes"/>
    <n v="5.8052595393606046"/>
  </r>
  <r>
    <s v="SP292"/>
    <x v="1"/>
    <d v="2024-11-03T00:00:00"/>
    <x v="1"/>
    <x v="1"/>
    <n v="3061"/>
    <n v="320"/>
    <n v="76"/>
    <n v="26640"/>
    <n v="24306"/>
    <n v="112"/>
    <x v="2"/>
    <s v="#NowPlaying"/>
    <s v="ChillVibes"/>
    <n v="12.976726726726726"/>
  </r>
  <r>
    <s v="SP293"/>
    <x v="2"/>
    <d v="2025-04-18T00:00:00"/>
    <x v="2"/>
    <x v="9"/>
    <n v="1265"/>
    <n v="230"/>
    <n v="364"/>
    <n v="41312"/>
    <n v="50382"/>
    <n v="106"/>
    <x v="1"/>
    <s v="#SoundtrackOfLife"/>
    <s v="SummerBeats"/>
    <n v="4.4999031758326877"/>
  </r>
  <r>
    <s v="SP294"/>
    <x v="0"/>
    <d v="2024-12-27T00:00:00"/>
    <x v="0"/>
    <x v="8"/>
    <n v="1436"/>
    <n v="219"/>
    <n v="229"/>
    <n v="58488"/>
    <n v="24314"/>
    <n v="147"/>
    <x v="1"/>
    <s v="NA"/>
    <s v="IndieWave"/>
    <n v="3.2211735740664751"/>
  </r>
  <r>
    <s v="SP295"/>
    <x v="0"/>
    <d v="2025-03-08T00:00:00"/>
    <x v="1"/>
    <x v="7"/>
    <n v="2244"/>
    <n v="392"/>
    <n v="231"/>
    <n v="25834"/>
    <n v="50906"/>
    <n v="165"/>
    <x v="3"/>
    <s v="NA"/>
    <s v="Wrapped2024"/>
    <n v="11.097778121854921"/>
  </r>
  <r>
    <s v="SP296"/>
    <x v="1"/>
    <d v="2025-03-20T00:00:00"/>
    <x v="1"/>
    <x v="9"/>
    <n v="3393"/>
    <n v="104"/>
    <n v="79"/>
    <n v="30025"/>
    <n v="21593"/>
    <n v="165"/>
    <x v="2"/>
    <s v="#NowPlaying"/>
    <s v="ChillVibes"/>
    <n v="11.910074937552039"/>
  </r>
  <r>
    <s v="SP297"/>
    <x v="1"/>
    <d v="2024-11-16T00:00:00"/>
    <x v="0"/>
    <x v="1"/>
    <n v="2901"/>
    <n v="108"/>
    <n v="86"/>
    <n v="51777"/>
    <n v="23773"/>
    <n v="160"/>
    <x v="0"/>
    <s v="NA"/>
    <s v="IndieWave"/>
    <n v="5.9775576027966082"/>
  </r>
  <r>
    <s v="SP298"/>
    <x v="1"/>
    <d v="2025-06-30T00:00:00"/>
    <x v="0"/>
    <x v="5"/>
    <n v="2275"/>
    <n v="285"/>
    <n v="125"/>
    <n v="43970"/>
    <n v="74761"/>
    <n v="83"/>
    <x v="3"/>
    <s v="NA"/>
    <s v="ChillVibes"/>
    <n v="6.1064362065044353"/>
  </r>
  <r>
    <s v="SP299"/>
    <x v="1"/>
    <d v="2024-01-12T00:00:00"/>
    <x v="1"/>
    <x v="3"/>
    <n v="2227"/>
    <n v="494"/>
    <n v="161"/>
    <n v="51651"/>
    <n v="68074"/>
    <n v="240"/>
    <x v="1"/>
    <s v="#MusicForEveryone"/>
    <s v="ChillVibes"/>
    <n v="5.5797564422760448"/>
  </r>
  <r>
    <s v="SP300"/>
    <x v="0"/>
    <d v="2024-02-07T00:00:00"/>
    <x v="0"/>
    <x v="4"/>
    <n v="1883"/>
    <n v="432"/>
    <n v="397"/>
    <n v="28759"/>
    <n v="18691"/>
    <n v="270"/>
    <x v="0"/>
    <s v="#NowPlaying"/>
    <s v="ChillVibes"/>
    <n v="9.430091449633158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Instagram"/>
    <n v="45781"/>
    <s v="Text"/>
    <s v="Discover fresh beats on Spotify!"/>
    <n v="2414"/>
    <n v="245"/>
    <n v="137"/>
    <n v="21181"/>
    <n v="45292"/>
    <n v="133"/>
    <n v="13.200509890939994"/>
    <s v="ChillVibes"/>
    <s v="Hashtags Used.1"/>
    <x v="0"/>
  </r>
  <r>
    <s v="Instagram"/>
    <n v="45781"/>
    <s v="Text"/>
    <s v="Discover fresh beats on Spotify!"/>
    <n v="2414"/>
    <n v="245"/>
    <n v="137"/>
    <n v="21181"/>
    <n v="45292"/>
    <n v="133"/>
    <n v="13.200509890939994"/>
    <s v="ChillVibes"/>
    <s v="Hashtags Used.2"/>
    <x v="1"/>
  </r>
  <r>
    <s v="Instagram"/>
    <n v="45689"/>
    <s v="Text"/>
    <s v="Explore the latest podcasts now."/>
    <n v="1934"/>
    <n v="210"/>
    <n v="393"/>
    <n v="29129"/>
    <n v="73287"/>
    <n v="273"/>
    <n v="8.7095334546328402"/>
    <s v="IndieWave"/>
    <s v="Hashtags Used.1"/>
    <x v="2"/>
  </r>
  <r>
    <s v="Twitter"/>
    <n v="45629"/>
    <s v="Story"/>
    <s v="New music just dropped. Hit play!"/>
    <n v="3092"/>
    <n v="177"/>
    <n v="81"/>
    <n v="47533"/>
    <n v="29220"/>
    <n v="121"/>
    <n v="7.0477352576105021"/>
    <s v="ChillVibes"/>
    <s v="Hashtags Used.1"/>
    <x v="3"/>
  </r>
  <r>
    <s v="Twitter"/>
    <n v="45629"/>
    <s v="Story"/>
    <s v="New music just dropped. Hit play!"/>
    <n v="3092"/>
    <n v="177"/>
    <n v="81"/>
    <n v="47533"/>
    <n v="29220"/>
    <n v="121"/>
    <n v="7.0477352576105021"/>
    <s v="ChillVibes"/>
    <s v="Hashtags Used.2"/>
    <x v="1"/>
  </r>
  <r>
    <s v="Instagram"/>
    <n v="45629"/>
    <s v="Text"/>
    <s v="Wrapped is here! Relive your top tracks ðŸŽ§"/>
    <n v="3173"/>
    <n v="229"/>
    <n v="197"/>
    <n v="29604"/>
    <n v="21809"/>
    <n v="272"/>
    <n v="12.15714092690177"/>
    <s v="ChillVibes"/>
    <s v="Hashtags Used.1"/>
    <x v="0"/>
  </r>
  <r>
    <s v="Instagram"/>
    <n v="45629"/>
    <s v="Text"/>
    <s v="Wrapped is here! Relive your top tracks ðŸŽ§"/>
    <n v="3173"/>
    <n v="229"/>
    <n v="197"/>
    <n v="29604"/>
    <n v="21809"/>
    <n v="272"/>
    <n v="12.15714092690177"/>
    <s v="ChillVibes"/>
    <s v="Hashtags Used.2"/>
    <x v="1"/>
  </r>
  <r>
    <s v="YouTube"/>
    <n v="45388"/>
    <s v="Text"/>
    <s v="Music that moves youâ€”only on Spotify."/>
    <n v="2748"/>
    <n v="145"/>
    <n v="315"/>
    <n v="24401"/>
    <n v="61182"/>
    <n v="200"/>
    <n v="13.14700217204213"/>
    <s v="IndieWave"/>
    <s v="Hashtags Used.1"/>
    <x v="2"/>
  </r>
  <r>
    <s v="YouTube"/>
    <n v="45388"/>
    <s v="Text"/>
    <s v="Music that moves youâ€”only on Spotify."/>
    <n v="2748"/>
    <n v="145"/>
    <n v="315"/>
    <n v="24401"/>
    <n v="61182"/>
    <n v="200"/>
    <n v="13.14700217204213"/>
    <s v="IndieWave"/>
    <s v="Hashtags Used.2"/>
    <x v="4"/>
  </r>
  <r>
    <s v="YouTube"/>
    <n v="45456"/>
    <s v="Text"/>
    <s v="Whatâ€™s your vibe today? #SpotifyHits"/>
    <n v="3882"/>
    <n v="239"/>
    <n v="275"/>
    <n v="58748"/>
    <n v="44646"/>
    <n v="149"/>
    <n v="7.4828079253761839"/>
    <s v="IndieWave"/>
    <s v="Hashtags Used.1"/>
    <x v="2"/>
  </r>
  <r>
    <s v="YouTube"/>
    <n v="45456"/>
    <s v="Text"/>
    <s v="Whatâ€™s your vibe today? #SpotifyHits"/>
    <n v="3882"/>
    <n v="239"/>
    <n v="275"/>
    <n v="58748"/>
    <n v="44646"/>
    <n v="149"/>
    <n v="7.4828079253761839"/>
    <s v="IndieWave"/>
    <s v="Hashtags Used.2"/>
    <x v="4"/>
  </r>
  <r>
    <s v="Twitter"/>
    <n v="45645"/>
    <s v="Story"/>
    <s v="Get into the groove with our new drop!"/>
    <n v="4674"/>
    <n v="409"/>
    <n v="327"/>
    <n v="20756"/>
    <n v="63599"/>
    <n v="212"/>
    <n v="26.064752360763155"/>
    <s v="ChillVibes"/>
    <s v="Hashtags Used.1"/>
    <x v="0"/>
  </r>
  <r>
    <s v="Twitter"/>
    <n v="45645"/>
    <s v="Story"/>
    <s v="Get into the groove with our new drop!"/>
    <n v="4674"/>
    <n v="409"/>
    <n v="327"/>
    <n v="20756"/>
    <n v="63599"/>
    <n v="212"/>
    <n v="26.064752360763155"/>
    <s v="ChillVibes"/>
    <s v="Hashtags Used.2"/>
    <x v="1"/>
  </r>
  <r>
    <s v="Twitter"/>
    <n v="45421"/>
    <s v="Story"/>
    <s v="Wrapped is here! Relive your top tracks ðŸŽ§"/>
    <n v="1428"/>
    <n v="347"/>
    <n v="67"/>
    <n v="21148"/>
    <n v="19712"/>
    <n v="120"/>
    <n v="8.7100435029317183"/>
    <s v="ChillVibes"/>
    <s v="Hashtags Used.1"/>
    <x v="2"/>
  </r>
  <r>
    <s v="Twitter"/>
    <n v="45421"/>
    <s v="Story"/>
    <s v="Wrapped is here! Relive your top tracks ðŸŽ§"/>
    <n v="1428"/>
    <n v="347"/>
    <n v="67"/>
    <n v="21148"/>
    <n v="19712"/>
    <n v="120"/>
    <n v="8.7100435029317183"/>
    <s v="ChillVibes"/>
    <s v="Hashtags Used.2"/>
    <x v="3"/>
  </r>
  <r>
    <s v="Twitter"/>
    <n v="45823"/>
    <s v="Text"/>
    <s v="Top trending tracks updated daily!"/>
    <n v="4432"/>
    <n v="223"/>
    <n v="299"/>
    <n v="59016"/>
    <n v="21742"/>
    <n v="171"/>
    <n v="8.3943337400027112"/>
    <s v="ChillVibes"/>
    <s v="Hashtags Used.1"/>
    <x v="1"/>
  </r>
  <r>
    <s v="Twitter"/>
    <n v="45630"/>
    <s v="Text"/>
    <s v="Wrapped is here! Relive your top tracks ðŸŽ§"/>
    <n v="2357"/>
    <n v="274"/>
    <n v="172"/>
    <n v="21566"/>
    <n v="66829"/>
    <n v="284"/>
    <n v="12.997310581470833"/>
    <s v="ChillVibes"/>
    <s v="Hashtags Used.1"/>
    <x v="1"/>
  </r>
  <r>
    <s v="Twitter"/>
    <n v="45357"/>
    <s v="Text"/>
    <s v="Discover fresh beats on Spotify!"/>
    <n v="1971"/>
    <n v="370"/>
    <n v="306"/>
    <n v="31316"/>
    <n v="27897"/>
    <n v="88"/>
    <n v="8.4525482181632388"/>
    <s v="IndieWave"/>
    <s v="Hashtags Used.1"/>
    <x v="0"/>
  </r>
  <r>
    <s v="Instagram"/>
    <n v="45426"/>
    <s v="Text"/>
    <s v="Discover fresh beats on Spotify!"/>
    <n v="1485"/>
    <n v="353"/>
    <n v="244"/>
    <n v="38419"/>
    <n v="38556"/>
    <n v="86"/>
    <n v="5.4191936281527369"/>
    <s v="ChillVibes"/>
    <s v="Hashtags Used.1"/>
    <x v="0"/>
  </r>
  <r>
    <s v="Instagram"/>
    <n v="45426"/>
    <s v="Text"/>
    <s v="Discover fresh beats on Spotify!"/>
    <n v="1485"/>
    <n v="353"/>
    <n v="244"/>
    <n v="38419"/>
    <n v="38556"/>
    <n v="86"/>
    <n v="5.4191936281527369"/>
    <s v="ChillVibes"/>
    <s v="Hashtags Used.2"/>
    <x v="1"/>
  </r>
  <r>
    <s v="Twitter"/>
    <n v="45826"/>
    <s v="Story"/>
    <s v="Discover fresh beats on Spotify!"/>
    <n v="3956"/>
    <n v="319"/>
    <n v="61"/>
    <n v="58162"/>
    <n v="28720"/>
    <n v="213"/>
    <n v="7.4550393727863558"/>
    <s v="ChillVibes"/>
    <s v="Hashtags Used.1"/>
    <x v="3"/>
  </r>
  <r>
    <s v="Twitter"/>
    <n v="45826"/>
    <s v="Story"/>
    <s v="Discover fresh beats on Spotify!"/>
    <n v="3956"/>
    <n v="319"/>
    <n v="61"/>
    <n v="58162"/>
    <n v="28720"/>
    <n v="213"/>
    <n v="7.4550393727863558"/>
    <s v="ChillVibes"/>
    <s v="Hashtags Used.2"/>
    <x v="1"/>
  </r>
  <r>
    <s v="Twitter"/>
    <n v="45573"/>
    <s v="Text"/>
    <s v="From pop to podcasts, itâ€™s all here."/>
    <n v="2460"/>
    <n v="409"/>
    <n v="253"/>
    <n v="36702"/>
    <n v="46122"/>
    <n v="264"/>
    <n v="8.5063484278785886"/>
    <s v="ChillVibes"/>
    <s v="Hashtags Used.1"/>
    <x v="1"/>
  </r>
  <r>
    <s v="Twitter"/>
    <n v="45418"/>
    <s v="Text"/>
    <s v="Your weekend playlist is waiting."/>
    <n v="3476"/>
    <n v="355"/>
    <n v="396"/>
    <n v="37492"/>
    <n v="27285"/>
    <n v="179"/>
    <n v="11.27440520644404"/>
    <s v="ChillVibes"/>
    <s v="Hashtags Used.1"/>
    <x v="1"/>
  </r>
  <r>
    <s v="Twitter"/>
    <n v="45655"/>
    <s v="Story"/>
    <s v="New music just dropped. Hit play!"/>
    <n v="4049"/>
    <n v="377"/>
    <n v="94"/>
    <n v="48182"/>
    <n v="42875"/>
    <n v="172"/>
    <n v="9.3810966751068872"/>
    <s v="ChillVibes"/>
    <s v="Hashtags Used.1"/>
    <x v="3"/>
  </r>
  <r>
    <s v="Twitter"/>
    <n v="45655"/>
    <s v="Story"/>
    <s v="New music just dropped. Hit play!"/>
    <n v="4049"/>
    <n v="377"/>
    <n v="94"/>
    <n v="48182"/>
    <n v="42875"/>
    <n v="172"/>
    <n v="9.3810966751068872"/>
    <s v="ChillVibes"/>
    <s v="Hashtags Used.2"/>
    <x v="1"/>
  </r>
  <r>
    <s v="Twitter"/>
    <n v="45453"/>
    <s v="Text"/>
    <s v="Whatâ€™s your vibe today? #SpotifyHits"/>
    <n v="1514"/>
    <n v="164"/>
    <n v="275"/>
    <n v="41364"/>
    <n v="44389"/>
    <n v="83"/>
    <n v="4.7214969538729328"/>
    <s v="ChillVibes"/>
    <s v="Hashtags Used.1"/>
    <x v="1"/>
  </r>
  <r>
    <s v="Instagram"/>
    <n v="45325"/>
    <s v="Story"/>
    <s v="Music that moves youâ€”only on Spotify."/>
    <n v="4281"/>
    <n v="101"/>
    <n v="163"/>
    <n v="32278"/>
    <n v="53382"/>
    <n v="235"/>
    <n v="14.080798066794721"/>
    <s v="Wrapped2024"/>
    <s v="Hashtags Used.1"/>
    <x v="1"/>
  </r>
  <r>
    <s v="YouTube"/>
    <n v="45458"/>
    <s v="Reel"/>
    <s v="Get into the groove with our new drop!"/>
    <n v="1751"/>
    <n v="143"/>
    <n v="151"/>
    <n v="31826"/>
    <n v="47729"/>
    <n v="95"/>
    <n v="6.4255640042732365"/>
    <s v="SummerBeats"/>
    <s v="Hashtags Used.1"/>
    <x v="2"/>
  </r>
  <r>
    <s v="YouTube"/>
    <n v="45458"/>
    <s v="Reel"/>
    <s v="Get into the groove with our new drop!"/>
    <n v="1751"/>
    <n v="143"/>
    <n v="151"/>
    <n v="31826"/>
    <n v="47729"/>
    <n v="95"/>
    <n v="6.4255640042732365"/>
    <s v="SummerBeats"/>
    <s v="Hashtags Used.2"/>
    <x v="0"/>
  </r>
  <r>
    <s v="Instagram"/>
    <n v="45478"/>
    <s v="Text"/>
    <s v="Your weekend playlist is waiting."/>
    <n v="3753"/>
    <n v="411"/>
    <n v="308"/>
    <n v="29138"/>
    <n v="27678"/>
    <n v="90"/>
    <n v="15.347655981879333"/>
    <s v="IndieWave"/>
    <s v="Hashtags Used.1"/>
    <x v="2"/>
  </r>
  <r>
    <s v="Instagram"/>
    <n v="45603"/>
    <s v="Story"/>
    <s v="Wrapped is here! Relive your top tracks ðŸŽ§"/>
    <n v="1678"/>
    <n v="423"/>
    <n v="323"/>
    <n v="55668"/>
    <n v="37945"/>
    <n v="230"/>
    <n v="4.3543867212761374"/>
    <s v="Wrapped2024"/>
    <s v="Hashtags Used.1"/>
    <x v="1"/>
  </r>
  <r>
    <s v="Instagram"/>
    <n v="45823"/>
    <s v="Text"/>
    <s v="Whatâ€™s your vibe today? #SpotifyHits"/>
    <n v="4896"/>
    <n v="466"/>
    <n v="233"/>
    <n v="28621"/>
    <n v="34270"/>
    <n v="84"/>
    <n v="19.548583208133888"/>
    <s v="ChillVibes"/>
    <s v="Hashtags Used.1"/>
    <x v="0"/>
  </r>
  <r>
    <s v="Instagram"/>
    <n v="45823"/>
    <s v="Text"/>
    <s v="Whatâ€™s your vibe today? #SpotifyHits"/>
    <n v="4896"/>
    <n v="466"/>
    <n v="233"/>
    <n v="28621"/>
    <n v="34270"/>
    <n v="84"/>
    <n v="19.548583208133888"/>
    <s v="ChillVibes"/>
    <s v="Hashtags Used.2"/>
    <x v="1"/>
  </r>
  <r>
    <s v="YouTube"/>
    <n v="45452"/>
    <s v="Reel"/>
    <s v="From pop to podcasts, itâ€™s all here."/>
    <n v="2786"/>
    <n v="368"/>
    <n v="208"/>
    <n v="42000"/>
    <n v="39967"/>
    <n v="103"/>
    <n v="8.0047619047619047"/>
    <s v="SummerBeats"/>
    <s v="Hashtags Used.1"/>
    <x v="2"/>
  </r>
  <r>
    <s v="YouTube"/>
    <n v="45452"/>
    <s v="Reel"/>
    <s v="From pop to podcasts, itâ€™s all here."/>
    <n v="2786"/>
    <n v="368"/>
    <n v="208"/>
    <n v="42000"/>
    <n v="39967"/>
    <n v="103"/>
    <n v="8.0047619047619047"/>
    <s v="SummerBeats"/>
    <s v="Hashtags Used.2"/>
    <x v="0"/>
  </r>
  <r>
    <s v="Twitter"/>
    <n v="45583"/>
    <s v="Text"/>
    <s v="New music just dropped. Hit play!"/>
    <n v="2607"/>
    <n v="379"/>
    <n v="180"/>
    <n v="28712"/>
    <n v="61620"/>
    <n v="174"/>
    <n v="11.026748397882418"/>
    <s v="IndieWave"/>
    <s v="Hashtags Used.1"/>
    <x v="0"/>
  </r>
  <r>
    <s v="YouTube"/>
    <n v="45575"/>
    <s v="Reel"/>
    <s v="From pop to podcasts, itâ€™s all here."/>
    <n v="4013"/>
    <n v="320"/>
    <n v="92"/>
    <n v="54605"/>
    <n v="60169"/>
    <n v="232"/>
    <n v="8.1036535115831878"/>
    <s v="SummerBeats"/>
    <s v="Hashtags Used.1"/>
    <x v="2"/>
  </r>
  <r>
    <s v="YouTube"/>
    <n v="45575"/>
    <s v="Reel"/>
    <s v="From pop to podcasts, itâ€™s all here."/>
    <n v="4013"/>
    <n v="320"/>
    <n v="92"/>
    <n v="54605"/>
    <n v="60169"/>
    <n v="232"/>
    <n v="8.1036535115831878"/>
    <s v="SummerBeats"/>
    <s v="Hashtags Used.2"/>
    <x v="0"/>
  </r>
  <r>
    <s v="Twitter"/>
    <n v="45791"/>
    <s v="Story"/>
    <s v="From pop to podcasts, itâ€™s all here."/>
    <n v="2707"/>
    <n v="103"/>
    <n v="51"/>
    <n v="55302"/>
    <n v="18801"/>
    <n v="147"/>
    <n v="5.1734114498571477"/>
    <s v="ChillVibes"/>
    <s v="Hashtags Used.1"/>
    <x v="2"/>
  </r>
  <r>
    <s v="Twitter"/>
    <n v="45791"/>
    <s v="Story"/>
    <s v="From pop to podcasts, itâ€™s all here."/>
    <n v="2707"/>
    <n v="103"/>
    <n v="51"/>
    <n v="55302"/>
    <n v="18801"/>
    <n v="147"/>
    <n v="5.1734114498571477"/>
    <s v="ChillVibes"/>
    <s v="Hashtags Used.2"/>
    <x v="3"/>
  </r>
  <r>
    <s v="Instagram"/>
    <n v="45625"/>
    <s v="Text"/>
    <s v="Whatâ€™s your vibe today? #SpotifyHits"/>
    <n v="2824"/>
    <n v="425"/>
    <n v="274"/>
    <n v="31004"/>
    <n v="53488"/>
    <n v="268"/>
    <n v="11.363049929041415"/>
    <s v="ChillVibes"/>
    <s v="Hashtags Used.1"/>
    <x v="0"/>
  </r>
  <r>
    <s v="Instagram"/>
    <n v="45625"/>
    <s v="Text"/>
    <s v="Whatâ€™s your vibe today? #SpotifyHits"/>
    <n v="2824"/>
    <n v="425"/>
    <n v="274"/>
    <n v="31004"/>
    <n v="53488"/>
    <n v="268"/>
    <n v="11.363049929041415"/>
    <s v="ChillVibes"/>
    <s v="Hashtags Used.2"/>
    <x v="1"/>
  </r>
  <r>
    <s v="YouTube"/>
    <n v="45356"/>
    <s v="Reel"/>
    <s v="Explore the latest podcasts now."/>
    <n v="3558"/>
    <n v="314"/>
    <n v="199"/>
    <n v="49612"/>
    <n v="53929"/>
    <n v="206"/>
    <n v="8.2056760461178744"/>
    <s v="SummerBeats"/>
    <s v="Hashtags Used.1"/>
    <x v="2"/>
  </r>
  <r>
    <s v="YouTube"/>
    <n v="45356"/>
    <s v="Reel"/>
    <s v="Explore the latest podcasts now."/>
    <n v="3558"/>
    <n v="314"/>
    <n v="199"/>
    <n v="49612"/>
    <n v="53929"/>
    <n v="206"/>
    <n v="8.2056760461178744"/>
    <s v="SummerBeats"/>
    <s v="Hashtags Used.2"/>
    <x v="0"/>
  </r>
  <r>
    <s v="Twitter"/>
    <n v="45734"/>
    <s v="Story"/>
    <s v="Explore the latest podcasts now."/>
    <n v="3418"/>
    <n v="188"/>
    <n v="387"/>
    <n v="57431"/>
    <n v="36933"/>
    <n v="202"/>
    <n v="6.9526910553533803"/>
    <s v="ChillVibes"/>
    <s v="Hashtags Used.1"/>
    <x v="3"/>
  </r>
  <r>
    <s v="Twitter"/>
    <n v="45734"/>
    <s v="Story"/>
    <s v="Explore the latest podcasts now."/>
    <n v="3418"/>
    <n v="188"/>
    <n v="387"/>
    <n v="57431"/>
    <n v="36933"/>
    <n v="202"/>
    <n v="6.9526910553533803"/>
    <s v="ChillVibes"/>
    <s v="Hashtags Used.2"/>
    <x v="1"/>
  </r>
  <r>
    <s v="Twitter"/>
    <n v="45773"/>
    <s v="Text"/>
    <s v="Discover fresh beats on Spotify!"/>
    <n v="2411"/>
    <n v="194"/>
    <n v="168"/>
    <n v="26665"/>
    <n v="71699"/>
    <n v="197"/>
    <n v="10.399399962497656"/>
    <s v="ChillVibes"/>
    <s v="Hashtags Used.1"/>
    <x v="1"/>
  </r>
  <r>
    <s v="Instagram"/>
    <n v="45658"/>
    <s v="Text"/>
    <s v="New music just dropped. Hit play!"/>
    <n v="4036"/>
    <n v="112"/>
    <n v="382"/>
    <n v="56284"/>
    <n v="29440"/>
    <n v="279"/>
    <n v="8.0484684812735416"/>
    <s v="ChillVibes"/>
    <s v="Hashtags Used.1"/>
    <x v="0"/>
  </r>
  <r>
    <s v="Instagram"/>
    <n v="45658"/>
    <s v="Text"/>
    <s v="New music just dropped. Hit play!"/>
    <n v="4036"/>
    <n v="112"/>
    <n v="382"/>
    <n v="56284"/>
    <n v="29440"/>
    <n v="279"/>
    <n v="8.0484684812735416"/>
    <s v="ChillVibes"/>
    <s v="Hashtags Used.2"/>
    <x v="1"/>
  </r>
  <r>
    <s v="Twitter"/>
    <n v="45419"/>
    <s v="Story"/>
    <s v="Explore the latest podcasts now."/>
    <n v="2776"/>
    <n v="307"/>
    <n v="178"/>
    <n v="43365"/>
    <n v="48408"/>
    <n v="138"/>
    <n v="7.5198893116568657"/>
    <s v="ChillVibes"/>
    <s v="Hashtags Used.1"/>
    <x v="0"/>
  </r>
  <r>
    <s v="Twitter"/>
    <n v="45419"/>
    <s v="Story"/>
    <s v="Explore the latest podcasts now."/>
    <n v="2776"/>
    <n v="307"/>
    <n v="178"/>
    <n v="43365"/>
    <n v="48408"/>
    <n v="138"/>
    <n v="7.5198893116568657"/>
    <s v="ChillVibes"/>
    <s v="Hashtags Used.2"/>
    <x v="1"/>
  </r>
  <r>
    <s v="Twitter"/>
    <n v="45574"/>
    <s v="Story"/>
    <s v="Discover fresh beats on Spotify!"/>
    <n v="4929"/>
    <n v="182"/>
    <n v="95"/>
    <n v="32181"/>
    <n v="31084"/>
    <n v="289"/>
    <n v="16.177247444144061"/>
    <s v="ChillVibes"/>
    <s v="Hashtags Used.1"/>
    <x v="2"/>
  </r>
  <r>
    <s v="Twitter"/>
    <n v="45574"/>
    <s v="Story"/>
    <s v="Discover fresh beats on Spotify!"/>
    <n v="4929"/>
    <n v="182"/>
    <n v="95"/>
    <n v="32181"/>
    <n v="31084"/>
    <n v="289"/>
    <n v="16.177247444144061"/>
    <s v="ChillVibes"/>
    <s v="Hashtags Used.2"/>
    <x v="3"/>
  </r>
  <r>
    <s v="Instagram"/>
    <n v="45666"/>
    <s v="Text"/>
    <s v="New music just dropped. Hit play!"/>
    <n v="1015"/>
    <n v="366"/>
    <n v="308"/>
    <n v="38127"/>
    <n v="63790"/>
    <n v="287"/>
    <n v="4.4299315445747114"/>
    <s v="ChillVibes"/>
    <s v="Hashtags Used.1"/>
    <x v="0"/>
  </r>
  <r>
    <s v="Instagram"/>
    <n v="45666"/>
    <s v="Text"/>
    <s v="New music just dropped. Hit play!"/>
    <n v="1015"/>
    <n v="366"/>
    <n v="308"/>
    <n v="38127"/>
    <n v="63790"/>
    <n v="287"/>
    <n v="4.4299315445747114"/>
    <s v="ChillVibes"/>
    <s v="Hashtags Used.2"/>
    <x v="1"/>
  </r>
  <r>
    <s v="Twitter"/>
    <n v="45785"/>
    <s v="Story"/>
    <s v="Your weekend playlist is waiting."/>
    <n v="3316"/>
    <n v="332"/>
    <n v="268"/>
    <n v="40095"/>
    <n v="36913"/>
    <n v="265"/>
    <n v="9.7668038408779143"/>
    <s v="ChillVibes"/>
    <s v="Hashtags Used.1"/>
    <x v="3"/>
  </r>
  <r>
    <s v="Twitter"/>
    <n v="45785"/>
    <s v="Story"/>
    <s v="Your weekend playlist is waiting."/>
    <n v="3316"/>
    <n v="332"/>
    <n v="268"/>
    <n v="40095"/>
    <n v="36913"/>
    <n v="265"/>
    <n v="9.7668038408779143"/>
    <s v="ChillVibes"/>
    <s v="Hashtags Used.2"/>
    <x v="1"/>
  </r>
  <r>
    <s v="Instagram"/>
    <n v="45416"/>
    <s v="Text"/>
    <s v="Wrapped is here! Relive your top tracks ðŸŽ§"/>
    <n v="2274"/>
    <n v="243"/>
    <n v="222"/>
    <n v="43066"/>
    <n v="59174"/>
    <n v="80"/>
    <n v="6.3600055728416844"/>
    <s v="IndieWave"/>
    <s v="Hashtags Used.1"/>
    <x v="2"/>
  </r>
  <r>
    <s v="Twitter"/>
    <n v="45804"/>
    <s v="Story"/>
    <s v="Explore the latest podcasts now."/>
    <n v="4095"/>
    <n v="385"/>
    <n v="400"/>
    <n v="45300"/>
    <n v="31795"/>
    <n v="80"/>
    <n v="10.772626931567329"/>
    <s v="ChillVibes"/>
    <s v="Hashtags Used.1"/>
    <x v="3"/>
  </r>
  <r>
    <s v="Twitter"/>
    <n v="45804"/>
    <s v="Story"/>
    <s v="Explore the latest podcasts now."/>
    <n v="4095"/>
    <n v="385"/>
    <n v="400"/>
    <n v="45300"/>
    <n v="31795"/>
    <n v="80"/>
    <n v="10.772626931567329"/>
    <s v="ChillVibes"/>
    <s v="Hashtags Used.2"/>
    <x v="1"/>
  </r>
  <r>
    <s v="Instagram"/>
    <n v="45545"/>
    <s v="Story"/>
    <s v="New music just dropped. Hit play!"/>
    <n v="1230"/>
    <n v="309"/>
    <n v="207"/>
    <n v="44629"/>
    <n v="40699"/>
    <n v="195"/>
    <n v="3.9122543637545095"/>
    <s v="Wrapped2024"/>
    <s v="Hashtags Used.1"/>
    <x v="1"/>
  </r>
  <r>
    <s v="Instagram"/>
    <n v="45621"/>
    <s v="Text"/>
    <s v="From pop to podcasts, itâ€™s all here."/>
    <n v="1341"/>
    <n v="472"/>
    <n v="238"/>
    <n v="51386"/>
    <n v="51706"/>
    <n v="133"/>
    <n v="3.9913595142645857"/>
    <s v="IndieWave"/>
    <s v="Hashtags Used.1"/>
    <x v="2"/>
  </r>
  <r>
    <s v="Twitter"/>
    <n v="45818"/>
    <s v="Text"/>
    <s v="Explore the latest podcasts now."/>
    <n v="3615"/>
    <n v="192"/>
    <n v="162"/>
    <n v="27492"/>
    <n v="35341"/>
    <n v="125"/>
    <n v="14.436927106067218"/>
    <s v="ChillVibes"/>
    <s v="Hashtags Used.1"/>
    <x v="1"/>
  </r>
  <r>
    <s v="Instagram"/>
    <n v="45401"/>
    <s v="Text"/>
    <s v="New music just dropped. Hit play!"/>
    <n v="4001"/>
    <n v="353"/>
    <n v="129"/>
    <n v="41265"/>
    <n v="37279"/>
    <n v="275"/>
    <n v="10.863928268508422"/>
    <s v="ChillVibes"/>
    <s v="Hashtags Used.1"/>
    <x v="0"/>
  </r>
  <r>
    <s v="Instagram"/>
    <n v="45401"/>
    <s v="Text"/>
    <s v="New music just dropped. Hit play!"/>
    <n v="4001"/>
    <n v="353"/>
    <n v="129"/>
    <n v="41265"/>
    <n v="37279"/>
    <n v="275"/>
    <n v="10.863928268508422"/>
    <s v="ChillVibes"/>
    <s v="Hashtags Used.2"/>
    <x v="1"/>
  </r>
  <r>
    <s v="Instagram"/>
    <n v="45683"/>
    <s v="Story"/>
    <s v="Whatâ€™s your vibe today? #SpotifyHits"/>
    <n v="3451"/>
    <n v="363"/>
    <n v="393"/>
    <n v="44853"/>
    <n v="69032"/>
    <n v="211"/>
    <n v="9.3795286825853346"/>
    <s v="Wrapped2024"/>
    <s v="Hashtags Used.1"/>
    <x v="1"/>
  </r>
  <r>
    <s v="Instagram"/>
    <n v="45702"/>
    <s v="Text"/>
    <s v="Top trending tracks updated daily!"/>
    <n v="4891"/>
    <n v="450"/>
    <n v="387"/>
    <n v="48746"/>
    <n v="37312"/>
    <n v="154"/>
    <n v="11.750707750379519"/>
    <s v="ChillVibes"/>
    <s v="Hashtags Used.1"/>
    <x v="0"/>
  </r>
  <r>
    <s v="Instagram"/>
    <n v="45702"/>
    <s v="Text"/>
    <s v="Top trending tracks updated daily!"/>
    <n v="4891"/>
    <n v="450"/>
    <n v="387"/>
    <n v="48746"/>
    <n v="37312"/>
    <n v="154"/>
    <n v="11.750707750379519"/>
    <s v="ChillVibes"/>
    <s v="Hashtags Used.2"/>
    <x v="1"/>
  </r>
  <r>
    <s v="Instagram"/>
    <n v="45541"/>
    <s v="Text"/>
    <s v="New music just dropped. Hit play!"/>
    <n v="1452"/>
    <n v="281"/>
    <n v="326"/>
    <n v="51556"/>
    <n v="62599"/>
    <n v="290"/>
    <n v="3.9937155714174879"/>
    <s v="IndieWave"/>
    <s v="Hashtags Used.1"/>
    <x v="2"/>
  </r>
  <r>
    <s v="YouTube"/>
    <n v="45487"/>
    <s v="Text"/>
    <s v="Your weekend playlist is waiting."/>
    <n v="3806"/>
    <n v="114"/>
    <n v="278"/>
    <n v="36148"/>
    <n v="24209"/>
    <n v="201"/>
    <n v="11.613367267898639"/>
    <s v="IndieWave"/>
    <s v="Hashtags Used.1"/>
    <x v="2"/>
  </r>
  <r>
    <s v="YouTube"/>
    <n v="45487"/>
    <s v="Text"/>
    <s v="Your weekend playlist is waiting."/>
    <n v="3806"/>
    <n v="114"/>
    <n v="278"/>
    <n v="36148"/>
    <n v="24209"/>
    <n v="201"/>
    <n v="11.613367267898639"/>
    <s v="IndieWave"/>
    <s v="Hashtags Used.2"/>
    <x v="4"/>
  </r>
  <r>
    <s v="Instagram"/>
    <n v="45334"/>
    <s v="Text"/>
    <s v="Explore the latest podcasts now."/>
    <n v="2923"/>
    <n v="330"/>
    <n v="250"/>
    <n v="23993"/>
    <n v="74590"/>
    <n v="92"/>
    <n v="14.600091693410578"/>
    <s v="IndieWave"/>
    <s v="Hashtags Used.1"/>
    <x v="2"/>
  </r>
  <r>
    <s v="YouTube"/>
    <n v="45365"/>
    <s v="Reel"/>
    <s v="From pop to podcasts, itâ€™s all here."/>
    <n v="3361"/>
    <n v="188"/>
    <n v="358"/>
    <n v="39838"/>
    <n v="24536"/>
    <n v="120"/>
    <n v="9.8072192379135501"/>
    <s v="SummerBeats"/>
    <s v="Hashtags Used.1"/>
    <x v="2"/>
  </r>
  <r>
    <s v="YouTube"/>
    <n v="45365"/>
    <s v="Reel"/>
    <s v="From pop to podcasts, itâ€™s all here."/>
    <n v="3361"/>
    <n v="188"/>
    <n v="358"/>
    <n v="39838"/>
    <n v="24536"/>
    <n v="120"/>
    <n v="9.8072192379135501"/>
    <s v="SummerBeats"/>
    <s v="Hashtags Used.2"/>
    <x v="0"/>
  </r>
  <r>
    <s v="Instagram"/>
    <n v="45693"/>
    <s v="Story"/>
    <s v="Music that moves youâ€”only on Spotify."/>
    <n v="3074"/>
    <n v="371"/>
    <n v="348"/>
    <n v="24104"/>
    <n v="57803"/>
    <n v="213"/>
    <n v="15.735977431131762"/>
    <s v="Wrapped2024"/>
    <s v="Hashtags Used.1"/>
    <x v="1"/>
  </r>
  <r>
    <s v="Twitter"/>
    <n v="45533"/>
    <s v="Story"/>
    <s v="Get into the groove with our new drop!"/>
    <n v="4276"/>
    <n v="227"/>
    <n v="223"/>
    <n v="43443"/>
    <n v="41005"/>
    <n v="191"/>
    <n v="10.87862256289851"/>
    <s v="ChillVibes"/>
    <s v="Hashtags Used.1"/>
    <x v="2"/>
  </r>
  <r>
    <s v="Twitter"/>
    <n v="45533"/>
    <s v="Story"/>
    <s v="Get into the groove with our new drop!"/>
    <n v="4276"/>
    <n v="227"/>
    <n v="223"/>
    <n v="43443"/>
    <n v="41005"/>
    <n v="191"/>
    <n v="10.87862256289851"/>
    <s v="ChillVibes"/>
    <s v="Hashtags Used.2"/>
    <x v="3"/>
  </r>
  <r>
    <s v="Twitter"/>
    <n v="45769"/>
    <s v="Text"/>
    <s v="Discover fresh beats on Spotify!"/>
    <n v="4401"/>
    <n v="421"/>
    <n v="216"/>
    <n v="24890"/>
    <n v="54361"/>
    <n v="148"/>
    <n v="20.241060666934512"/>
    <s v="ChillVibes"/>
    <s v="Hashtags Used.1"/>
    <x v="1"/>
  </r>
  <r>
    <s v="YouTube"/>
    <n v="45425"/>
    <s v="Reel"/>
    <s v="Explore the latest podcasts now."/>
    <n v="4161"/>
    <n v="481"/>
    <n v="61"/>
    <n v="45884"/>
    <n v="48955"/>
    <n v="215"/>
    <n v="10.249760265016128"/>
    <s v="SummerBeats"/>
    <s v="Hashtags Used.1"/>
    <x v="2"/>
  </r>
  <r>
    <s v="YouTube"/>
    <n v="45425"/>
    <s v="Reel"/>
    <s v="Explore the latest podcasts now."/>
    <n v="4161"/>
    <n v="481"/>
    <n v="61"/>
    <n v="45884"/>
    <n v="48955"/>
    <n v="215"/>
    <n v="10.249760265016128"/>
    <s v="SummerBeats"/>
    <s v="Hashtags Used.2"/>
    <x v="0"/>
  </r>
  <r>
    <s v="Twitter"/>
    <n v="45539"/>
    <s v="Story"/>
    <s v="New music just dropped. Hit play!"/>
    <n v="2613"/>
    <n v="455"/>
    <n v="228"/>
    <n v="21645"/>
    <n v="61334"/>
    <n v="261"/>
    <n v="15.227535227535228"/>
    <s v="ChillVibes"/>
    <s v="Hashtags Used.1"/>
    <x v="2"/>
  </r>
  <r>
    <s v="Twitter"/>
    <n v="45539"/>
    <s v="Story"/>
    <s v="New music just dropped. Hit play!"/>
    <n v="2613"/>
    <n v="455"/>
    <n v="228"/>
    <n v="21645"/>
    <n v="61334"/>
    <n v="261"/>
    <n v="15.227535227535228"/>
    <s v="ChillVibes"/>
    <s v="Hashtags Used.2"/>
    <x v="3"/>
  </r>
  <r>
    <s v="Twitter"/>
    <n v="45516"/>
    <s v="Story"/>
    <s v="Whatâ€™s your vibe today? #SpotifyHits"/>
    <n v="2842"/>
    <n v="213"/>
    <n v="331"/>
    <n v="57660"/>
    <n v="68606"/>
    <n v="87"/>
    <n v="5.8723551855705862"/>
    <s v="ChillVibes"/>
    <s v="Hashtags Used.1"/>
    <x v="3"/>
  </r>
  <r>
    <s v="Twitter"/>
    <n v="45516"/>
    <s v="Story"/>
    <s v="Whatâ€™s your vibe today? #SpotifyHits"/>
    <n v="2842"/>
    <n v="213"/>
    <n v="331"/>
    <n v="57660"/>
    <n v="68606"/>
    <n v="87"/>
    <n v="5.8723551855705862"/>
    <s v="ChillVibes"/>
    <s v="Hashtags Used.2"/>
    <x v="1"/>
  </r>
  <r>
    <s v="Instagram"/>
    <n v="45722"/>
    <s v="Text"/>
    <s v="Get into the groove with our new drop!"/>
    <n v="4851"/>
    <n v="460"/>
    <n v="212"/>
    <n v="58075"/>
    <n v="59574"/>
    <n v="239"/>
    <n v="9.5101162290142049"/>
    <s v="IndieWave"/>
    <s v="Hashtags Used.1"/>
    <x v="2"/>
  </r>
  <r>
    <s v="Twitter"/>
    <n v="45420"/>
    <s v="Text"/>
    <s v="Explore the latest podcasts now."/>
    <n v="1828"/>
    <n v="450"/>
    <n v="214"/>
    <n v="52115"/>
    <n v="19166"/>
    <n v="190"/>
    <n v="4.7817327065144388"/>
    <s v="ChillVibes"/>
    <s v="Hashtags Used.1"/>
    <x v="1"/>
  </r>
  <r>
    <s v="Instagram"/>
    <n v="45707"/>
    <s v="Story"/>
    <s v="From pop to podcasts, itâ€™s all here."/>
    <n v="2422"/>
    <n v="455"/>
    <n v="376"/>
    <n v="23428"/>
    <n v="46775"/>
    <n v="259"/>
    <n v="13.885094758408743"/>
    <s v="Wrapped2024"/>
    <s v="Hashtags Used.1"/>
    <x v="1"/>
  </r>
  <r>
    <s v="Instagram"/>
    <n v="45299"/>
    <s v="Text"/>
    <s v="Top trending tracks updated daily!"/>
    <n v="2683"/>
    <n v="405"/>
    <n v="223"/>
    <n v="31233"/>
    <n v="58106"/>
    <n v="291"/>
    <n v="10.600966926007748"/>
    <s v="IndieWave"/>
    <s v="Hashtags Used.1"/>
    <x v="2"/>
  </r>
  <r>
    <s v="YouTube"/>
    <n v="45490"/>
    <s v="Text"/>
    <s v="Top trending tracks updated daily!"/>
    <n v="3135"/>
    <n v="110"/>
    <n v="215"/>
    <n v="39192"/>
    <n v="24744"/>
    <n v="177"/>
    <n v="8.8283323127168813"/>
    <s v="IndieWave"/>
    <s v="Hashtags Used.1"/>
    <x v="2"/>
  </r>
  <r>
    <s v="YouTube"/>
    <n v="45490"/>
    <s v="Text"/>
    <s v="Top trending tracks updated daily!"/>
    <n v="3135"/>
    <n v="110"/>
    <n v="215"/>
    <n v="39192"/>
    <n v="24744"/>
    <n v="177"/>
    <n v="8.8283323127168813"/>
    <s v="IndieWave"/>
    <s v="Hashtags Used.2"/>
    <x v="4"/>
  </r>
  <r>
    <s v="YouTube"/>
    <n v="45514"/>
    <s v="Text"/>
    <s v="From pop to podcasts, itâ€™s all here."/>
    <n v="1105"/>
    <n v="181"/>
    <n v="55"/>
    <n v="53581"/>
    <n v="74048"/>
    <n v="220"/>
    <n v="2.5027528414923199"/>
    <s v="IndieWave"/>
    <s v="Hashtags Used.1"/>
    <x v="2"/>
  </r>
  <r>
    <s v="YouTube"/>
    <n v="45514"/>
    <s v="Text"/>
    <s v="From pop to podcasts, itâ€™s all here."/>
    <n v="1105"/>
    <n v="181"/>
    <n v="55"/>
    <n v="53581"/>
    <n v="74048"/>
    <n v="220"/>
    <n v="2.5027528414923199"/>
    <s v="IndieWave"/>
    <s v="Hashtags Used.2"/>
    <x v="4"/>
  </r>
  <r>
    <s v="YouTube"/>
    <n v="45398"/>
    <s v="Text"/>
    <s v="Discover fresh beats on Spotify!"/>
    <n v="4674"/>
    <n v="326"/>
    <n v="62"/>
    <n v="45503"/>
    <n v="46814"/>
    <n v="116"/>
    <n v="11.124541239039184"/>
    <s v="IndieWave"/>
    <s v="Hashtags Used.1"/>
    <x v="2"/>
  </r>
  <r>
    <s v="YouTube"/>
    <n v="45398"/>
    <s v="Text"/>
    <s v="Discover fresh beats on Spotify!"/>
    <n v="4674"/>
    <n v="326"/>
    <n v="62"/>
    <n v="45503"/>
    <n v="46814"/>
    <n v="116"/>
    <n v="11.124541239039184"/>
    <s v="IndieWave"/>
    <s v="Hashtags Used.2"/>
    <x v="4"/>
  </r>
  <r>
    <s v="YouTube"/>
    <n v="45292"/>
    <s v="Reel"/>
    <s v="Explore the latest podcasts now."/>
    <n v="3437"/>
    <n v="129"/>
    <n v="359"/>
    <n v="44558"/>
    <n v="30854"/>
    <n v="171"/>
    <n v="8.8087436599488314"/>
    <s v="SummerBeats"/>
    <s v="Hashtags Used.1"/>
    <x v="2"/>
  </r>
  <r>
    <s v="YouTube"/>
    <n v="45292"/>
    <s v="Reel"/>
    <s v="Explore the latest podcasts now."/>
    <n v="3437"/>
    <n v="129"/>
    <n v="359"/>
    <n v="44558"/>
    <n v="30854"/>
    <n v="171"/>
    <n v="8.8087436599488314"/>
    <s v="SummerBeats"/>
    <s v="Hashtags Used.2"/>
    <x v="0"/>
  </r>
  <r>
    <s v="Twitter"/>
    <n v="45599"/>
    <s v="Story"/>
    <s v="Wrapped is here! Relive your top tracks ðŸŽ§"/>
    <n v="1959"/>
    <n v="316"/>
    <n v="82"/>
    <n v="54036"/>
    <n v="69015"/>
    <n v="182"/>
    <n v="4.3619068768968834"/>
    <s v="ChillVibes"/>
    <s v="Hashtags Used.1"/>
    <x v="3"/>
  </r>
  <r>
    <s v="Twitter"/>
    <n v="45599"/>
    <s v="Story"/>
    <s v="Wrapped is here! Relive your top tracks ðŸŽ§"/>
    <n v="1959"/>
    <n v="316"/>
    <n v="82"/>
    <n v="54036"/>
    <n v="69015"/>
    <n v="182"/>
    <n v="4.3619068768968834"/>
    <s v="ChillVibes"/>
    <s v="Hashtags Used.2"/>
    <x v="1"/>
  </r>
  <r>
    <s v="Twitter"/>
    <n v="45480"/>
    <s v="Text"/>
    <s v="New music just dropped. Hit play!"/>
    <n v="1035"/>
    <n v="137"/>
    <n v="184"/>
    <n v="37302"/>
    <n v="68953"/>
    <n v="237"/>
    <n v="3.6351938233874859"/>
    <s v="IndieWave"/>
    <s v="Hashtags Used.1"/>
    <x v="0"/>
  </r>
  <r>
    <s v="Twitter"/>
    <n v="45679"/>
    <s v="Story"/>
    <s v="New music just dropped. Hit play!"/>
    <n v="4478"/>
    <n v="101"/>
    <n v="121"/>
    <n v="51035"/>
    <n v="58207"/>
    <n v="205"/>
    <n v="9.2093661212893121"/>
    <s v="ChillVibes"/>
    <s v="Hashtags Used.1"/>
    <x v="3"/>
  </r>
  <r>
    <s v="Twitter"/>
    <n v="45679"/>
    <s v="Story"/>
    <s v="New music just dropped. Hit play!"/>
    <n v="4478"/>
    <n v="101"/>
    <n v="121"/>
    <n v="51035"/>
    <n v="58207"/>
    <n v="205"/>
    <n v="9.2093661212893121"/>
    <s v="ChillVibes"/>
    <s v="Hashtags Used.2"/>
    <x v="1"/>
  </r>
  <r>
    <s v="YouTube"/>
    <n v="45438"/>
    <s v="Text"/>
    <s v="From pop to podcasts, itâ€™s all here."/>
    <n v="1488"/>
    <n v="327"/>
    <n v="110"/>
    <n v="53805"/>
    <n v="30239"/>
    <n v="109"/>
    <n v="3.5777344113000655"/>
    <s v="IndieWave"/>
    <s v="Hashtags Used.1"/>
    <x v="2"/>
  </r>
  <r>
    <s v="YouTube"/>
    <n v="45438"/>
    <s v="Text"/>
    <s v="From pop to podcasts, itâ€™s all here."/>
    <n v="1488"/>
    <n v="327"/>
    <n v="110"/>
    <n v="53805"/>
    <n v="30239"/>
    <n v="109"/>
    <n v="3.5777344113000655"/>
    <s v="IndieWave"/>
    <s v="Hashtags Used.2"/>
    <x v="4"/>
  </r>
  <r>
    <s v="Instagram"/>
    <n v="45763"/>
    <s v="Text"/>
    <s v="Wrapped is here! Relive your top tracks ðŸŽ§"/>
    <n v="4836"/>
    <n v="331"/>
    <n v="140"/>
    <n v="58792"/>
    <n v="47711"/>
    <n v="227"/>
    <n v="9.0267383317458165"/>
    <s v="ChillVibes"/>
    <s v="Hashtags Used.1"/>
    <x v="0"/>
  </r>
  <r>
    <s v="Instagram"/>
    <n v="45763"/>
    <s v="Text"/>
    <s v="Wrapped is here! Relive your top tracks ðŸŽ§"/>
    <n v="4836"/>
    <n v="331"/>
    <n v="140"/>
    <n v="58792"/>
    <n v="47711"/>
    <n v="227"/>
    <n v="9.0267383317458165"/>
    <s v="ChillVibes"/>
    <s v="Hashtags Used.2"/>
    <x v="1"/>
  </r>
  <r>
    <s v="YouTube"/>
    <n v="45384"/>
    <s v="Reel"/>
    <s v="Your weekend playlist is waiting."/>
    <n v="4563"/>
    <n v="488"/>
    <n v="356"/>
    <n v="30619"/>
    <n v="23328"/>
    <n v="267"/>
    <n v="17.658969920637514"/>
    <s v="SummerBeats"/>
    <s v="Hashtags Used.1"/>
    <x v="2"/>
  </r>
  <r>
    <s v="YouTube"/>
    <n v="45384"/>
    <s v="Reel"/>
    <s v="Your weekend playlist is waiting."/>
    <n v="4563"/>
    <n v="488"/>
    <n v="356"/>
    <n v="30619"/>
    <n v="23328"/>
    <n v="267"/>
    <n v="17.658969920637514"/>
    <s v="SummerBeats"/>
    <s v="Hashtags Used.2"/>
    <x v="0"/>
  </r>
  <r>
    <s v="Twitter"/>
    <n v="45379"/>
    <s v="Text"/>
    <s v="Music that moves youâ€”only on Spotify."/>
    <n v="3276"/>
    <n v="421"/>
    <n v="114"/>
    <n v="20580"/>
    <n v="30324"/>
    <n v="221"/>
    <n v="18.517978620019438"/>
    <s v="IndieWave"/>
    <s v="Hashtags Used.1"/>
    <x v="0"/>
  </r>
  <r>
    <s v="Twitter"/>
    <n v="45643"/>
    <s v="Story"/>
    <s v="Music that moves youâ€”only on Spotify."/>
    <n v="1316"/>
    <n v="472"/>
    <n v="286"/>
    <n v="44692"/>
    <n v="53343"/>
    <n v="227"/>
    <n v="4.6406515707509168"/>
    <s v="ChillVibes"/>
    <s v="Hashtags Used.1"/>
    <x v="2"/>
  </r>
  <r>
    <s v="Twitter"/>
    <n v="45643"/>
    <s v="Story"/>
    <s v="Music that moves youâ€”only on Spotify."/>
    <n v="1316"/>
    <n v="472"/>
    <n v="286"/>
    <n v="44692"/>
    <n v="53343"/>
    <n v="227"/>
    <n v="4.6406515707509168"/>
    <s v="ChillVibes"/>
    <s v="Hashtags Used.2"/>
    <x v="3"/>
  </r>
  <r>
    <s v="Twitter"/>
    <n v="45662"/>
    <s v="Text"/>
    <s v="Wrapped is here! Relive your top tracks ðŸŽ§"/>
    <n v="4811"/>
    <n v="473"/>
    <n v="254"/>
    <n v="51964"/>
    <n v="68795"/>
    <n v="107"/>
    <n v="10.657378184897237"/>
    <s v="ChillVibes"/>
    <s v="Hashtags Used.1"/>
    <x v="1"/>
  </r>
  <r>
    <s v="Twitter"/>
    <n v="45302"/>
    <s v="Text"/>
    <s v="Whatâ€™s your vibe today? #SpotifyHits"/>
    <n v="4218"/>
    <n v="247"/>
    <n v="183"/>
    <n v="28914"/>
    <n v="18310"/>
    <n v="135"/>
    <n v="16.07525766064882"/>
    <s v="IndieWave"/>
    <s v="Hashtags Used.1"/>
    <x v="0"/>
  </r>
  <r>
    <s v="Instagram"/>
    <n v="45576"/>
    <s v="Text"/>
    <s v="From pop to podcasts, itâ€™s all here."/>
    <n v="1360"/>
    <n v="249"/>
    <n v="52"/>
    <n v="20368"/>
    <n v="42152"/>
    <n v="193"/>
    <n v="8.1549489395129608"/>
    <s v="IndieWave"/>
    <s v="Hashtags Used.1"/>
    <x v="2"/>
  </r>
  <r>
    <s v="YouTube"/>
    <n v="45783"/>
    <s v="Reel"/>
    <s v="Discover fresh beats on Spotify!"/>
    <n v="1085"/>
    <n v="496"/>
    <n v="320"/>
    <n v="36528"/>
    <n v="38599"/>
    <n v="270"/>
    <n v="5.2042268944371441"/>
    <s v="SummerBeats"/>
    <s v="Hashtags Used.1"/>
    <x v="2"/>
  </r>
  <r>
    <s v="YouTube"/>
    <n v="45783"/>
    <s v="Reel"/>
    <s v="Discover fresh beats on Spotify!"/>
    <n v="1085"/>
    <n v="496"/>
    <n v="320"/>
    <n v="36528"/>
    <n v="38599"/>
    <n v="270"/>
    <n v="5.2042268944371441"/>
    <s v="SummerBeats"/>
    <s v="Hashtags Used.2"/>
    <x v="0"/>
  </r>
  <r>
    <s v="Twitter"/>
    <n v="45431"/>
    <s v="Story"/>
    <s v="Get into the groove with our new drop!"/>
    <n v="1763"/>
    <n v="206"/>
    <n v="187"/>
    <n v="53342"/>
    <n v="25095"/>
    <n v="88"/>
    <n v="4.0418432004799225"/>
    <s v="ChillVibes"/>
    <s v="Hashtags Used.1"/>
    <x v="2"/>
  </r>
  <r>
    <s v="Twitter"/>
    <n v="45431"/>
    <s v="Story"/>
    <s v="Get into the groove with our new drop!"/>
    <n v="1763"/>
    <n v="206"/>
    <n v="187"/>
    <n v="53342"/>
    <n v="25095"/>
    <n v="88"/>
    <n v="4.0418432004799225"/>
    <s v="ChillVibes"/>
    <s v="Hashtags Used.2"/>
    <x v="3"/>
  </r>
  <r>
    <s v="Twitter"/>
    <n v="45313"/>
    <s v="Story"/>
    <s v="From pop to podcasts, itâ€™s all here."/>
    <n v="1554"/>
    <n v="455"/>
    <n v="158"/>
    <n v="41947"/>
    <n v="48578"/>
    <n v="101"/>
    <n v="5.1660428636136073"/>
    <s v="ChillVibes"/>
    <s v="Hashtags Used.1"/>
    <x v="0"/>
  </r>
  <r>
    <s v="Twitter"/>
    <n v="45313"/>
    <s v="Story"/>
    <s v="From pop to podcasts, itâ€™s all here."/>
    <n v="1554"/>
    <n v="455"/>
    <n v="158"/>
    <n v="41947"/>
    <n v="48578"/>
    <n v="101"/>
    <n v="5.1660428636136073"/>
    <s v="ChillVibes"/>
    <s v="Hashtags Used.2"/>
    <x v="1"/>
  </r>
  <r>
    <s v="Instagram"/>
    <n v="45487"/>
    <s v="Text"/>
    <s v="Wrapped is here! Relive your top tracks ðŸŽ§"/>
    <n v="2464"/>
    <n v="401"/>
    <n v="78"/>
    <n v="38665"/>
    <n v="73593"/>
    <n v="207"/>
    <n v="7.6115349799560317"/>
    <s v="IndieWave"/>
    <s v="Hashtags Used.1"/>
    <x v="2"/>
  </r>
  <r>
    <s v="Twitter"/>
    <n v="45805"/>
    <s v="Text"/>
    <s v="From pop to podcasts, itâ€™s all here."/>
    <n v="2418"/>
    <n v="161"/>
    <n v="360"/>
    <n v="30589"/>
    <n v="41383"/>
    <n v="88"/>
    <n v="9.6080290300434807"/>
    <s v="ChillVibes"/>
    <s v="Hashtags Used.1"/>
    <x v="1"/>
  </r>
  <r>
    <s v="Twitter"/>
    <n v="45678"/>
    <s v="Story"/>
    <s v="Discover fresh beats on Spotify!"/>
    <n v="2494"/>
    <n v="494"/>
    <n v="55"/>
    <n v="22580"/>
    <n v="22214"/>
    <n v="109"/>
    <n v="13.476527900797167"/>
    <s v="ChillVibes"/>
    <s v="Hashtags Used.1"/>
    <x v="3"/>
  </r>
  <r>
    <s v="Twitter"/>
    <n v="45678"/>
    <s v="Story"/>
    <s v="Discover fresh beats on Spotify!"/>
    <n v="2494"/>
    <n v="494"/>
    <n v="55"/>
    <n v="22580"/>
    <n v="22214"/>
    <n v="109"/>
    <n v="13.476527900797167"/>
    <s v="ChillVibes"/>
    <s v="Hashtags Used.2"/>
    <x v="1"/>
  </r>
  <r>
    <s v="YouTube"/>
    <n v="45304"/>
    <s v="Reel"/>
    <s v="New music just dropped. Hit play!"/>
    <n v="4781"/>
    <n v="191"/>
    <n v="122"/>
    <n v="35535"/>
    <n v="50777"/>
    <n v="128"/>
    <n v="14.335162515829463"/>
    <s v="SummerBeats"/>
    <s v="Hashtags Used.1"/>
    <x v="2"/>
  </r>
  <r>
    <s v="YouTube"/>
    <n v="45304"/>
    <s v="Reel"/>
    <s v="New music just dropped. Hit play!"/>
    <n v="4781"/>
    <n v="191"/>
    <n v="122"/>
    <n v="35535"/>
    <n v="50777"/>
    <n v="128"/>
    <n v="14.335162515829463"/>
    <s v="SummerBeats"/>
    <s v="Hashtags Used.2"/>
    <x v="0"/>
  </r>
  <r>
    <s v="Instagram"/>
    <n v="45825"/>
    <s v="Text"/>
    <s v="Music that moves youâ€”only on Spotify."/>
    <n v="2284"/>
    <n v="187"/>
    <n v="260"/>
    <n v="37400"/>
    <n v="65014"/>
    <n v="157"/>
    <n v="7.3021390374331556"/>
    <s v="ChillVibes"/>
    <s v="Hashtags Used.1"/>
    <x v="0"/>
  </r>
  <r>
    <s v="Instagram"/>
    <n v="45825"/>
    <s v="Text"/>
    <s v="Music that moves youâ€”only on Spotify."/>
    <n v="2284"/>
    <n v="187"/>
    <n v="260"/>
    <n v="37400"/>
    <n v="65014"/>
    <n v="157"/>
    <n v="7.3021390374331556"/>
    <s v="ChillVibes"/>
    <s v="Hashtags Used.2"/>
    <x v="1"/>
  </r>
  <r>
    <s v="Twitter"/>
    <n v="45723"/>
    <s v="Text"/>
    <s v="Get into the groove with our new drop!"/>
    <n v="4234"/>
    <n v="486"/>
    <n v="276"/>
    <n v="56623"/>
    <n v="41343"/>
    <n v="184"/>
    <n v="8.8232696960599046"/>
    <s v="IndieWave"/>
    <s v="Hashtags Used.1"/>
    <x v="0"/>
  </r>
  <r>
    <s v="Instagram"/>
    <n v="45530"/>
    <s v="Text"/>
    <s v="Your weekend playlist is waiting."/>
    <n v="2102"/>
    <n v="181"/>
    <n v="306"/>
    <n v="43650"/>
    <n v="50079"/>
    <n v="182"/>
    <n v="5.9312714776632305"/>
    <s v="IndieWave"/>
    <s v="Hashtags Used.1"/>
    <x v="2"/>
  </r>
  <r>
    <s v="Twitter"/>
    <n v="45660"/>
    <s v="Story"/>
    <s v="Get into the groove with our new drop!"/>
    <n v="4845"/>
    <n v="158"/>
    <n v="84"/>
    <n v="34578"/>
    <n v="51480"/>
    <n v="180"/>
    <n v="14.711666377465441"/>
    <s v="ChillVibes"/>
    <s v="Hashtags Used.1"/>
    <x v="0"/>
  </r>
  <r>
    <s v="Twitter"/>
    <n v="45660"/>
    <s v="Story"/>
    <s v="Get into the groove with our new drop!"/>
    <n v="4845"/>
    <n v="158"/>
    <n v="84"/>
    <n v="34578"/>
    <n v="51480"/>
    <n v="180"/>
    <n v="14.711666377465441"/>
    <s v="ChillVibes"/>
    <s v="Hashtags Used.2"/>
    <x v="1"/>
  </r>
  <r>
    <s v="Twitter"/>
    <n v="45507"/>
    <s v="Text"/>
    <s v="Your weekend playlist is waiting."/>
    <n v="4247"/>
    <n v="390"/>
    <n v="213"/>
    <n v="29785"/>
    <n v="57768"/>
    <n v="122"/>
    <n v="16.283364109451064"/>
    <s v="ChillVibes"/>
    <s v="Hashtags Used.1"/>
    <x v="1"/>
  </r>
  <r>
    <s v="Instagram"/>
    <n v="45522"/>
    <s v="Text"/>
    <s v="Explore the latest podcasts now."/>
    <n v="2965"/>
    <n v="328"/>
    <n v="171"/>
    <n v="57685"/>
    <n v="67536"/>
    <n v="264"/>
    <n v="6.005027303458438"/>
    <s v="ChillVibes"/>
    <s v="Hashtags Used.1"/>
    <x v="0"/>
  </r>
  <r>
    <s v="Instagram"/>
    <n v="45522"/>
    <s v="Text"/>
    <s v="Explore the latest podcasts now."/>
    <n v="2965"/>
    <n v="328"/>
    <n v="171"/>
    <n v="57685"/>
    <n v="67536"/>
    <n v="264"/>
    <n v="6.005027303458438"/>
    <s v="ChillVibes"/>
    <s v="Hashtags Used.2"/>
    <x v="1"/>
  </r>
  <r>
    <s v="Twitter"/>
    <n v="45791"/>
    <s v="Story"/>
    <s v="Wrapped is here! Relive your top tracks ðŸŽ§"/>
    <n v="1371"/>
    <n v="139"/>
    <n v="96"/>
    <n v="36140"/>
    <n v="39395"/>
    <n v="169"/>
    <n v="4.4438295517432209"/>
    <s v="ChillVibes"/>
    <s v="Hashtags Used.1"/>
    <x v="0"/>
  </r>
  <r>
    <s v="Twitter"/>
    <n v="45791"/>
    <s v="Story"/>
    <s v="Wrapped is here! Relive your top tracks ðŸŽ§"/>
    <n v="1371"/>
    <n v="139"/>
    <n v="96"/>
    <n v="36140"/>
    <n v="39395"/>
    <n v="169"/>
    <n v="4.4438295517432209"/>
    <s v="ChillVibes"/>
    <s v="Hashtags Used.2"/>
    <x v="1"/>
  </r>
  <r>
    <s v="Twitter"/>
    <n v="45405"/>
    <s v="Story"/>
    <s v="Discover fresh beats on Spotify!"/>
    <n v="2683"/>
    <n v="496"/>
    <n v="89"/>
    <n v="53435"/>
    <n v="30334"/>
    <n v="160"/>
    <n v="6.1158416768035933"/>
    <s v="ChillVibes"/>
    <s v="Hashtags Used.1"/>
    <x v="0"/>
  </r>
  <r>
    <s v="Twitter"/>
    <n v="45405"/>
    <s v="Story"/>
    <s v="Discover fresh beats on Spotify!"/>
    <n v="2683"/>
    <n v="496"/>
    <n v="89"/>
    <n v="53435"/>
    <n v="30334"/>
    <n v="160"/>
    <n v="6.1158416768035933"/>
    <s v="ChillVibes"/>
    <s v="Hashtags Used.2"/>
    <x v="1"/>
  </r>
  <r>
    <s v="Twitter"/>
    <n v="45705"/>
    <s v="Story"/>
    <s v="Whatâ€™s your vibe today? #SpotifyHits"/>
    <n v="4796"/>
    <n v="427"/>
    <n v="339"/>
    <n v="30752"/>
    <n v="33870"/>
    <n v="298"/>
    <n v="18.086628511966701"/>
    <s v="ChillVibes"/>
    <s v="Hashtags Used.1"/>
    <x v="0"/>
  </r>
  <r>
    <s v="Twitter"/>
    <n v="45705"/>
    <s v="Story"/>
    <s v="Whatâ€™s your vibe today? #SpotifyHits"/>
    <n v="4796"/>
    <n v="427"/>
    <n v="339"/>
    <n v="30752"/>
    <n v="33870"/>
    <n v="298"/>
    <n v="18.086628511966701"/>
    <s v="ChillVibes"/>
    <s v="Hashtags Used.2"/>
    <x v="1"/>
  </r>
  <r>
    <s v="Instagram"/>
    <n v="45630"/>
    <s v="Text"/>
    <s v="Wrapped is here! Relive your top tracks ðŸŽ§"/>
    <n v="2601"/>
    <n v="336"/>
    <n v="260"/>
    <n v="32368"/>
    <n v="49028"/>
    <n v="120"/>
    <n v="9.8770390509144832"/>
    <s v="ChillVibes"/>
    <s v="Hashtags Used.1"/>
    <x v="0"/>
  </r>
  <r>
    <s v="Instagram"/>
    <n v="45630"/>
    <s v="Text"/>
    <s v="Wrapped is here! Relive your top tracks ðŸŽ§"/>
    <n v="2601"/>
    <n v="336"/>
    <n v="260"/>
    <n v="32368"/>
    <n v="49028"/>
    <n v="120"/>
    <n v="9.8770390509144832"/>
    <s v="ChillVibes"/>
    <s v="Hashtags Used.2"/>
    <x v="1"/>
  </r>
  <r>
    <s v="Twitter"/>
    <n v="45495"/>
    <s v="Story"/>
    <s v="Wrapped is here! Relive your top tracks ðŸŽ§"/>
    <n v="3336"/>
    <n v="229"/>
    <n v="337"/>
    <n v="22117"/>
    <n v="26205"/>
    <n v="160"/>
    <n v="17.642537414658406"/>
    <s v="ChillVibes"/>
    <s v="Hashtags Used.1"/>
    <x v="3"/>
  </r>
  <r>
    <s v="Twitter"/>
    <n v="45495"/>
    <s v="Story"/>
    <s v="Wrapped is here! Relive your top tracks ðŸŽ§"/>
    <n v="3336"/>
    <n v="229"/>
    <n v="337"/>
    <n v="22117"/>
    <n v="26205"/>
    <n v="160"/>
    <n v="17.642537414658406"/>
    <s v="ChillVibes"/>
    <s v="Hashtags Used.2"/>
    <x v="1"/>
  </r>
  <r>
    <s v="Twitter"/>
    <n v="45774"/>
    <s v="Text"/>
    <s v="Explore the latest podcasts now."/>
    <n v="1165"/>
    <n v="294"/>
    <n v="163"/>
    <n v="20659"/>
    <n v="45926"/>
    <n v="111"/>
    <n v="7.8512996756861426"/>
    <s v="IndieWave"/>
    <s v="Hashtags Used.1"/>
    <x v="0"/>
  </r>
  <r>
    <s v="YouTube"/>
    <n v="45376"/>
    <s v="Reel"/>
    <s v="Explore the latest podcasts now."/>
    <n v="1948"/>
    <n v="155"/>
    <n v="315"/>
    <n v="30321"/>
    <n v="57121"/>
    <n v="82"/>
    <n v="7.974671020085089"/>
    <s v="SummerBeats"/>
    <s v="Hashtags Used.1"/>
    <x v="2"/>
  </r>
  <r>
    <s v="YouTube"/>
    <n v="45376"/>
    <s v="Reel"/>
    <s v="Explore the latest podcasts now."/>
    <n v="1948"/>
    <n v="155"/>
    <n v="315"/>
    <n v="30321"/>
    <n v="57121"/>
    <n v="82"/>
    <n v="7.974671020085089"/>
    <s v="SummerBeats"/>
    <s v="Hashtags Used.2"/>
    <x v="0"/>
  </r>
  <r>
    <s v="Instagram"/>
    <n v="45351"/>
    <s v="Text"/>
    <s v="From pop to podcasts, itâ€™s all here."/>
    <n v="1100"/>
    <n v="229"/>
    <n v="312"/>
    <n v="25641"/>
    <n v="34601"/>
    <n v="169"/>
    <n v="6.3999063999063992"/>
    <s v="IndieWave"/>
    <s v="Hashtags Used.1"/>
    <x v="2"/>
  </r>
  <r>
    <s v="Twitter"/>
    <n v="45609"/>
    <s v="Story"/>
    <s v="Top trending tracks updated daily!"/>
    <n v="4628"/>
    <n v="257"/>
    <n v="397"/>
    <n v="36686"/>
    <n v="54683"/>
    <n v="98"/>
    <n v="14.397862944992641"/>
    <s v="ChillVibes"/>
    <s v="Hashtags Used.1"/>
    <x v="0"/>
  </r>
  <r>
    <s v="Twitter"/>
    <n v="45609"/>
    <s v="Story"/>
    <s v="Top trending tracks updated daily!"/>
    <n v="4628"/>
    <n v="257"/>
    <n v="397"/>
    <n v="36686"/>
    <n v="54683"/>
    <n v="98"/>
    <n v="14.397862944992641"/>
    <s v="ChillVibes"/>
    <s v="Hashtags Used.2"/>
    <x v="1"/>
  </r>
  <r>
    <s v="Instagram"/>
    <n v="45373"/>
    <s v="Story"/>
    <s v="Discover fresh beats on Spotify!"/>
    <n v="2319"/>
    <n v="484"/>
    <n v="193"/>
    <n v="21202"/>
    <n v="18091"/>
    <n v="241"/>
    <n v="14.130742382794075"/>
    <s v="Wrapped2024"/>
    <s v="Hashtags Used.1"/>
    <x v="1"/>
  </r>
  <r>
    <s v="Twitter"/>
    <n v="45367"/>
    <s v="Story"/>
    <s v="Wrapped is here! Relive your top tracks ðŸŽ§"/>
    <n v="2895"/>
    <n v="292"/>
    <n v="90"/>
    <n v="24223"/>
    <n v="54626"/>
    <n v="114"/>
    <n v="13.528464682326714"/>
    <s v="ChillVibes"/>
    <s v="Hashtags Used.1"/>
    <x v="0"/>
  </r>
  <r>
    <s v="Twitter"/>
    <n v="45367"/>
    <s v="Story"/>
    <s v="Wrapped is here! Relive your top tracks ðŸŽ§"/>
    <n v="2895"/>
    <n v="292"/>
    <n v="90"/>
    <n v="24223"/>
    <n v="54626"/>
    <n v="114"/>
    <n v="13.528464682326714"/>
    <s v="ChillVibes"/>
    <s v="Hashtags Used.2"/>
    <x v="1"/>
  </r>
  <r>
    <s v="Instagram"/>
    <n v="45317"/>
    <s v="Text"/>
    <s v="Whatâ€™s your vibe today? #SpotifyHits"/>
    <n v="3878"/>
    <n v="431"/>
    <n v="97"/>
    <n v="41763"/>
    <n v="29729"/>
    <n v="191"/>
    <n v="10.550008380623996"/>
    <s v="IndieWave"/>
    <s v="Hashtags Used.1"/>
    <x v="2"/>
  </r>
  <r>
    <s v="Twitter"/>
    <n v="45366"/>
    <s v="Story"/>
    <s v="Get into the groove with our new drop!"/>
    <n v="4969"/>
    <n v="433"/>
    <n v="237"/>
    <n v="59552"/>
    <n v="23885"/>
    <n v="157"/>
    <n v="9.4690354648038682"/>
    <s v="ChillVibes"/>
    <s v="Hashtags Used.1"/>
    <x v="2"/>
  </r>
  <r>
    <s v="Twitter"/>
    <n v="45366"/>
    <s v="Story"/>
    <s v="Get into the groove with our new drop!"/>
    <n v="4969"/>
    <n v="433"/>
    <n v="237"/>
    <n v="59552"/>
    <n v="23885"/>
    <n v="157"/>
    <n v="9.4690354648038682"/>
    <s v="ChillVibes"/>
    <s v="Hashtags Used.2"/>
    <x v="3"/>
  </r>
  <r>
    <s v="Twitter"/>
    <n v="45580"/>
    <s v="Text"/>
    <s v="Wrapped is here! Relive your top tracks ðŸŽ§"/>
    <n v="1984"/>
    <n v="481"/>
    <n v="356"/>
    <n v="40681"/>
    <n v="63111"/>
    <n v="258"/>
    <n v="6.9344411395983379"/>
    <s v="ChillVibes"/>
    <s v="Hashtags Used.1"/>
    <x v="1"/>
  </r>
  <r>
    <s v="Instagram"/>
    <n v="45494"/>
    <s v="Text"/>
    <s v="Discover fresh beats on Spotify!"/>
    <n v="3004"/>
    <n v="415"/>
    <n v="218"/>
    <n v="36090"/>
    <n v="37073"/>
    <n v="181"/>
    <n v="10.077583818232197"/>
    <s v="IndieWave"/>
    <s v="Hashtags Used.1"/>
    <x v="2"/>
  </r>
  <r>
    <s v="Twitter"/>
    <n v="45577"/>
    <s v="Text"/>
    <s v="Get into the groove with our new drop!"/>
    <n v="3169"/>
    <n v="386"/>
    <n v="175"/>
    <n v="45012"/>
    <n v="38508"/>
    <n v="218"/>
    <n v="8.2866791077934785"/>
    <s v="ChillVibes"/>
    <s v="Hashtags Used.1"/>
    <x v="1"/>
  </r>
  <r>
    <s v="Twitter"/>
    <n v="45591"/>
    <s v="Text"/>
    <s v="Discover fresh beats on Spotify!"/>
    <n v="3036"/>
    <n v="293"/>
    <n v="115"/>
    <n v="23776"/>
    <n v="46386"/>
    <n v="282"/>
    <n v="14.485195154777927"/>
    <s v="ChillVibes"/>
    <s v="Hashtags Used.1"/>
    <x v="1"/>
  </r>
  <r>
    <s v="Instagram"/>
    <n v="45336"/>
    <s v="Text"/>
    <s v="Music that moves youâ€”only on Spotify."/>
    <n v="1830"/>
    <n v="112"/>
    <n v="181"/>
    <n v="31870"/>
    <n v="55742"/>
    <n v="263"/>
    <n v="6.6614370881706932"/>
    <s v="ChillVibes"/>
    <s v="Hashtags Used.1"/>
    <x v="0"/>
  </r>
  <r>
    <s v="Instagram"/>
    <n v="45336"/>
    <s v="Text"/>
    <s v="Music that moves youâ€”only on Spotify."/>
    <n v="1830"/>
    <n v="112"/>
    <n v="181"/>
    <n v="31870"/>
    <n v="55742"/>
    <n v="263"/>
    <n v="6.6614370881706932"/>
    <s v="ChillVibes"/>
    <s v="Hashtags Used.2"/>
    <x v="1"/>
  </r>
  <r>
    <s v="Twitter"/>
    <n v="45413"/>
    <s v="Story"/>
    <s v="Whatâ€™s your vibe today? #SpotifyHits"/>
    <n v="2587"/>
    <n v="447"/>
    <n v="183"/>
    <n v="36266"/>
    <n v="32877"/>
    <n v="132"/>
    <n v="8.8705674736667941"/>
    <s v="ChillVibes"/>
    <s v="Hashtags Used.1"/>
    <x v="2"/>
  </r>
  <r>
    <s v="Twitter"/>
    <n v="45413"/>
    <s v="Story"/>
    <s v="Whatâ€™s your vibe today? #SpotifyHits"/>
    <n v="2587"/>
    <n v="447"/>
    <n v="183"/>
    <n v="36266"/>
    <n v="32877"/>
    <n v="132"/>
    <n v="8.8705674736667941"/>
    <s v="ChillVibes"/>
    <s v="Hashtags Used.2"/>
    <x v="3"/>
  </r>
  <r>
    <s v="Twitter"/>
    <n v="45553"/>
    <s v="Text"/>
    <s v="Discover fresh beats on Spotify!"/>
    <n v="2878"/>
    <n v="265"/>
    <n v="91"/>
    <n v="52090"/>
    <n v="28924"/>
    <n v="133"/>
    <n v="6.2084853138798231"/>
    <s v="ChillVibes"/>
    <s v="Hashtags Used.1"/>
    <x v="1"/>
  </r>
  <r>
    <s v="Twitter"/>
    <n v="45677"/>
    <s v="Story"/>
    <s v="New music just dropped. Hit play!"/>
    <n v="4619"/>
    <n v="272"/>
    <n v="57"/>
    <n v="21334"/>
    <n v="46292"/>
    <n v="91"/>
    <n v="23.193025217961939"/>
    <s v="ChillVibes"/>
    <s v="Hashtags Used.1"/>
    <x v="0"/>
  </r>
  <r>
    <s v="Twitter"/>
    <n v="45677"/>
    <s v="Story"/>
    <s v="New music just dropped. Hit play!"/>
    <n v="4619"/>
    <n v="272"/>
    <n v="57"/>
    <n v="21334"/>
    <n v="46292"/>
    <n v="91"/>
    <n v="23.193025217961939"/>
    <s v="ChillVibes"/>
    <s v="Hashtags Used.2"/>
    <x v="1"/>
  </r>
  <r>
    <s v="Twitter"/>
    <n v="45670"/>
    <s v="Text"/>
    <s v="Music that moves youâ€”only on Spotify."/>
    <n v="4090"/>
    <n v="209"/>
    <n v="278"/>
    <n v="52853"/>
    <n v="57084"/>
    <n v="102"/>
    <n v="8.659867935594951"/>
    <s v="IndieWave"/>
    <s v="Hashtags Used.1"/>
    <x v="0"/>
  </r>
  <r>
    <s v="YouTube"/>
    <n v="45542"/>
    <s v="Reel"/>
    <s v="Music that moves youâ€”only on Spotify."/>
    <n v="3882"/>
    <n v="342"/>
    <n v="374"/>
    <n v="41991"/>
    <n v="48554"/>
    <n v="118"/>
    <n v="10.949965468790932"/>
    <s v="SummerBeats"/>
    <s v="Hashtags Used.1"/>
    <x v="2"/>
  </r>
  <r>
    <s v="YouTube"/>
    <n v="45542"/>
    <s v="Reel"/>
    <s v="Music that moves youâ€”only on Spotify."/>
    <n v="3882"/>
    <n v="342"/>
    <n v="374"/>
    <n v="41991"/>
    <n v="48554"/>
    <n v="118"/>
    <n v="10.949965468790932"/>
    <s v="SummerBeats"/>
    <s v="Hashtags Used.2"/>
    <x v="0"/>
  </r>
  <r>
    <s v="Instagram"/>
    <n v="45617"/>
    <s v="Text"/>
    <s v="Music that moves youâ€”only on Spotify."/>
    <n v="4581"/>
    <n v="181"/>
    <n v="112"/>
    <n v="35221"/>
    <n v="28797"/>
    <n v="164"/>
    <n v="13.838335084182733"/>
    <s v="ChillVibes"/>
    <s v="Hashtags Used.1"/>
    <x v="0"/>
  </r>
  <r>
    <s v="Instagram"/>
    <n v="45617"/>
    <s v="Text"/>
    <s v="Music that moves youâ€”only on Spotify."/>
    <n v="4581"/>
    <n v="181"/>
    <n v="112"/>
    <n v="35221"/>
    <n v="28797"/>
    <n v="164"/>
    <n v="13.838335084182733"/>
    <s v="ChillVibes"/>
    <s v="Hashtags Used.2"/>
    <x v="1"/>
  </r>
  <r>
    <s v="Instagram"/>
    <n v="45469"/>
    <s v="Text"/>
    <s v="New music just dropped. Hit play!"/>
    <n v="3253"/>
    <n v="483"/>
    <n v="336"/>
    <n v="25397"/>
    <n v="51485"/>
    <n v="131"/>
    <n v="16.033389770445329"/>
    <s v="IndieWave"/>
    <s v="Hashtags Used.1"/>
    <x v="2"/>
  </r>
  <r>
    <s v="YouTube"/>
    <n v="45493"/>
    <s v="Reel"/>
    <s v="Music that moves youâ€”only on Spotify."/>
    <n v="4955"/>
    <n v="299"/>
    <n v="345"/>
    <n v="33644"/>
    <n v="43547"/>
    <n v="194"/>
    <n v="16.641897515158721"/>
    <s v="SummerBeats"/>
    <s v="Hashtags Used.1"/>
    <x v="2"/>
  </r>
  <r>
    <s v="YouTube"/>
    <n v="45493"/>
    <s v="Reel"/>
    <s v="Music that moves youâ€”only on Spotify."/>
    <n v="4955"/>
    <n v="299"/>
    <n v="345"/>
    <n v="33644"/>
    <n v="43547"/>
    <n v="194"/>
    <n v="16.641897515158721"/>
    <s v="SummerBeats"/>
    <s v="Hashtags Used.2"/>
    <x v="0"/>
  </r>
  <r>
    <s v="Instagram"/>
    <n v="45704"/>
    <s v="Text"/>
    <s v="Your weekend playlist is waiting."/>
    <n v="1333"/>
    <n v="286"/>
    <n v="298"/>
    <n v="36174"/>
    <n v="34517"/>
    <n v="170"/>
    <n v="5.2993862995521646"/>
    <s v="ChillVibes"/>
    <s v="Hashtags Used.1"/>
    <x v="0"/>
  </r>
  <r>
    <s v="Instagram"/>
    <n v="45704"/>
    <s v="Text"/>
    <s v="Your weekend playlist is waiting."/>
    <n v="1333"/>
    <n v="286"/>
    <n v="298"/>
    <n v="36174"/>
    <n v="34517"/>
    <n v="170"/>
    <n v="5.2993862995521646"/>
    <s v="ChillVibes"/>
    <s v="Hashtags Used.2"/>
    <x v="1"/>
  </r>
  <r>
    <s v="Instagram"/>
    <n v="45544"/>
    <s v="Text"/>
    <s v="New music just dropped. Hit play!"/>
    <n v="1616"/>
    <n v="360"/>
    <n v="180"/>
    <n v="54342"/>
    <n v="18796"/>
    <n v="282"/>
    <n v="3.967465312281476"/>
    <s v="ChillVibes"/>
    <s v="Hashtags Used.1"/>
    <x v="0"/>
  </r>
  <r>
    <s v="Instagram"/>
    <n v="45544"/>
    <s v="Text"/>
    <s v="New music just dropped. Hit play!"/>
    <n v="1616"/>
    <n v="360"/>
    <n v="180"/>
    <n v="54342"/>
    <n v="18796"/>
    <n v="282"/>
    <n v="3.967465312281476"/>
    <s v="ChillVibes"/>
    <s v="Hashtags Used.2"/>
    <x v="1"/>
  </r>
  <r>
    <s v="Twitter"/>
    <n v="45489"/>
    <s v="Text"/>
    <s v="Top trending tracks updated daily!"/>
    <n v="1803"/>
    <n v="273"/>
    <n v="287"/>
    <n v="46176"/>
    <n v="25488"/>
    <n v="141"/>
    <n v="5.1173769923769923"/>
    <s v="ChillVibes"/>
    <s v="Hashtags Used.1"/>
    <x v="1"/>
  </r>
  <r>
    <s v="Instagram"/>
    <n v="45762"/>
    <s v="Text"/>
    <s v="Explore the latest podcasts now."/>
    <n v="4177"/>
    <n v="489"/>
    <n v="331"/>
    <n v="57451"/>
    <n v="73793"/>
    <n v="251"/>
    <n v="8.6978468608031196"/>
    <s v="IndieWave"/>
    <s v="Hashtags Used.1"/>
    <x v="2"/>
  </r>
  <r>
    <s v="Instagram"/>
    <n v="45781"/>
    <s v="Story"/>
    <s v="New music just dropped. Hit play!"/>
    <n v="1311"/>
    <n v="181"/>
    <n v="361"/>
    <n v="37148"/>
    <n v="44875"/>
    <n v="245"/>
    <n v="4.9881554861634543"/>
    <s v="Wrapped2024"/>
    <s v="Hashtags Used.1"/>
    <x v="1"/>
  </r>
  <r>
    <s v="Instagram"/>
    <n v="45340"/>
    <s v="Story"/>
    <s v="From pop to podcasts, itâ€™s all here."/>
    <n v="1516"/>
    <n v="215"/>
    <n v="332"/>
    <n v="58981"/>
    <n v="36118"/>
    <n v="211"/>
    <n v="3.4977365592309386"/>
    <s v="Wrapped2024"/>
    <s v="Hashtags Used.1"/>
    <x v="1"/>
  </r>
  <r>
    <s v="Twitter"/>
    <n v="45428"/>
    <s v="Story"/>
    <s v="Music that moves youâ€”only on Spotify."/>
    <n v="2023"/>
    <n v="124"/>
    <n v="99"/>
    <n v="54524"/>
    <n v="34790"/>
    <n v="195"/>
    <n v="4.119286919521679"/>
    <s v="ChillVibes"/>
    <s v="Hashtags Used.1"/>
    <x v="2"/>
  </r>
  <r>
    <s v="Twitter"/>
    <n v="45428"/>
    <s v="Story"/>
    <s v="Music that moves youâ€”only on Spotify."/>
    <n v="2023"/>
    <n v="124"/>
    <n v="99"/>
    <n v="54524"/>
    <n v="34790"/>
    <n v="195"/>
    <n v="4.119286919521679"/>
    <s v="ChillVibes"/>
    <s v="Hashtags Used.2"/>
    <x v="3"/>
  </r>
  <r>
    <s v="Twitter"/>
    <n v="45806"/>
    <s v="Story"/>
    <s v="Music that moves youâ€”only on Spotify."/>
    <n v="2134"/>
    <n v="322"/>
    <n v="114"/>
    <n v="44338"/>
    <n v="52165"/>
    <n v="176"/>
    <n v="5.7963823356939868"/>
    <s v="ChillVibes"/>
    <s v="Hashtags Used.1"/>
    <x v="3"/>
  </r>
  <r>
    <s v="Twitter"/>
    <n v="45806"/>
    <s v="Story"/>
    <s v="Music that moves youâ€”only on Spotify."/>
    <n v="2134"/>
    <n v="322"/>
    <n v="114"/>
    <n v="44338"/>
    <n v="52165"/>
    <n v="176"/>
    <n v="5.7963823356939868"/>
    <s v="ChillVibes"/>
    <s v="Hashtags Used.2"/>
    <x v="1"/>
  </r>
  <r>
    <s v="Instagram"/>
    <n v="45674"/>
    <s v="Text"/>
    <s v="Top trending tracks updated daily!"/>
    <n v="2266"/>
    <n v="126"/>
    <n v="140"/>
    <n v="53759"/>
    <n v="46834"/>
    <n v="277"/>
    <n v="4.7099090384865789"/>
    <s v="IndieWave"/>
    <s v="Hashtags Used.1"/>
    <x v="2"/>
  </r>
  <r>
    <s v="Instagram"/>
    <n v="45777"/>
    <s v="Story"/>
    <s v="New music just dropped. Hit play!"/>
    <n v="3916"/>
    <n v="459"/>
    <n v="229"/>
    <n v="48989"/>
    <n v="39768"/>
    <n v="200"/>
    <n v="9.3980281287635989"/>
    <s v="Wrapped2024"/>
    <s v="Hashtags Used.1"/>
    <x v="1"/>
  </r>
  <r>
    <s v="Twitter"/>
    <n v="45346"/>
    <s v="Story"/>
    <s v="Music that moves youâ€”only on Spotify."/>
    <n v="1022"/>
    <n v="463"/>
    <n v="360"/>
    <n v="51468"/>
    <n v="24279"/>
    <n v="230"/>
    <n v="3.5847516903707159"/>
    <s v="ChillVibes"/>
    <s v="Hashtags Used.1"/>
    <x v="2"/>
  </r>
  <r>
    <s v="Twitter"/>
    <n v="45346"/>
    <s v="Story"/>
    <s v="Music that moves youâ€”only on Spotify."/>
    <n v="1022"/>
    <n v="463"/>
    <n v="360"/>
    <n v="51468"/>
    <n v="24279"/>
    <n v="230"/>
    <n v="3.5847516903707159"/>
    <s v="ChillVibes"/>
    <s v="Hashtags Used.2"/>
    <x v="3"/>
  </r>
  <r>
    <s v="YouTube"/>
    <n v="45424"/>
    <s v="Text"/>
    <s v="From pop to podcasts, itâ€™s all here."/>
    <n v="2911"/>
    <n v="467"/>
    <n v="94"/>
    <n v="59083"/>
    <n v="49762"/>
    <n v="236"/>
    <n v="5.8764788517847775"/>
    <s v="IndieWave"/>
    <s v="Hashtags Used.1"/>
    <x v="2"/>
  </r>
  <r>
    <s v="YouTube"/>
    <n v="45424"/>
    <s v="Text"/>
    <s v="From pop to podcasts, itâ€™s all here."/>
    <n v="2911"/>
    <n v="467"/>
    <n v="94"/>
    <n v="59083"/>
    <n v="49762"/>
    <n v="236"/>
    <n v="5.8764788517847775"/>
    <s v="IndieWave"/>
    <s v="Hashtags Used.2"/>
    <x v="4"/>
  </r>
  <r>
    <s v="Twitter"/>
    <n v="45421"/>
    <s v="Story"/>
    <s v="New music just dropped. Hit play!"/>
    <n v="3277"/>
    <n v="423"/>
    <n v="259"/>
    <n v="46328"/>
    <n v="44293"/>
    <n v="299"/>
    <n v="8.545587981350371"/>
    <s v="ChillVibes"/>
    <s v="Hashtags Used.1"/>
    <x v="0"/>
  </r>
  <r>
    <s v="Twitter"/>
    <n v="45421"/>
    <s v="Story"/>
    <s v="New music just dropped. Hit play!"/>
    <n v="3277"/>
    <n v="423"/>
    <n v="259"/>
    <n v="46328"/>
    <n v="44293"/>
    <n v="299"/>
    <n v="8.545587981350371"/>
    <s v="ChillVibes"/>
    <s v="Hashtags Used.2"/>
    <x v="1"/>
  </r>
  <r>
    <s v="Twitter"/>
    <n v="45602"/>
    <s v="Text"/>
    <s v="From pop to podcasts, itâ€™s all here."/>
    <n v="2956"/>
    <n v="381"/>
    <n v="345"/>
    <n v="33347"/>
    <n v="22558"/>
    <n v="173"/>
    <n v="11.041472996071612"/>
    <s v="ChillVibes"/>
    <s v="Hashtags Used.1"/>
    <x v="1"/>
  </r>
  <r>
    <s v="Twitter"/>
    <n v="45295"/>
    <s v="Story"/>
    <s v="Whatâ€™s your vibe today? #SpotifyHits"/>
    <n v="3208"/>
    <n v="476"/>
    <n v="277"/>
    <n v="56072"/>
    <n v="21061"/>
    <n v="113"/>
    <n v="7.064131830503638"/>
    <s v="ChillVibes"/>
    <s v="Hashtags Used.1"/>
    <x v="3"/>
  </r>
  <r>
    <s v="Twitter"/>
    <n v="45295"/>
    <s v="Story"/>
    <s v="Whatâ€™s your vibe today? #SpotifyHits"/>
    <n v="3208"/>
    <n v="476"/>
    <n v="277"/>
    <n v="56072"/>
    <n v="21061"/>
    <n v="113"/>
    <n v="7.064131830503638"/>
    <s v="ChillVibes"/>
    <s v="Hashtags Used.2"/>
    <x v="1"/>
  </r>
  <r>
    <s v="Twitter"/>
    <n v="45319"/>
    <s v="Text"/>
    <s v="Music that moves youâ€”only on Spotify."/>
    <n v="1456"/>
    <n v="265"/>
    <n v="137"/>
    <n v="53485"/>
    <n v="59729"/>
    <n v="145"/>
    <n v="3.4738711788351875"/>
    <s v="IndieWave"/>
    <s v="Hashtags Used.1"/>
    <x v="0"/>
  </r>
  <r>
    <s v="Instagram"/>
    <n v="45344"/>
    <s v="Text"/>
    <s v="New music just dropped. Hit play!"/>
    <n v="1902"/>
    <n v="394"/>
    <n v="279"/>
    <n v="24615"/>
    <n v="51330"/>
    <n v="176"/>
    <n v="10.461100954702417"/>
    <s v="ChillVibes"/>
    <s v="Hashtags Used.1"/>
    <x v="0"/>
  </r>
  <r>
    <s v="Instagram"/>
    <n v="45344"/>
    <s v="Text"/>
    <s v="New music just dropped. Hit play!"/>
    <n v="1902"/>
    <n v="394"/>
    <n v="279"/>
    <n v="24615"/>
    <n v="51330"/>
    <n v="176"/>
    <n v="10.461100954702417"/>
    <s v="ChillVibes"/>
    <s v="Hashtags Used.2"/>
    <x v="1"/>
  </r>
  <r>
    <s v="Twitter"/>
    <n v="45839"/>
    <s v="Story"/>
    <s v="Explore the latest podcasts now."/>
    <n v="3219"/>
    <n v="424"/>
    <n v="267"/>
    <n v="48879"/>
    <n v="37691"/>
    <n v="224"/>
    <n v="7.9993453221219744"/>
    <s v="ChillVibes"/>
    <s v="Hashtags Used.1"/>
    <x v="2"/>
  </r>
  <r>
    <s v="Twitter"/>
    <n v="45839"/>
    <s v="Story"/>
    <s v="Explore the latest podcasts now."/>
    <n v="3219"/>
    <n v="424"/>
    <n v="267"/>
    <n v="48879"/>
    <n v="37691"/>
    <n v="224"/>
    <n v="7.9993453221219744"/>
    <s v="ChillVibes"/>
    <s v="Hashtags Used.2"/>
    <x v="3"/>
  </r>
  <r>
    <s v="YouTube"/>
    <n v="45301"/>
    <s v="Text"/>
    <s v="Explore the latest podcasts now."/>
    <n v="1261"/>
    <n v="190"/>
    <n v="233"/>
    <n v="59888"/>
    <n v="51449"/>
    <n v="205"/>
    <n v="2.8119155757413838"/>
    <s v="IndieWave"/>
    <s v="Hashtags Used.1"/>
    <x v="2"/>
  </r>
  <r>
    <s v="YouTube"/>
    <n v="45301"/>
    <s v="Text"/>
    <s v="Explore the latest podcasts now."/>
    <n v="1261"/>
    <n v="190"/>
    <n v="233"/>
    <n v="59888"/>
    <n v="51449"/>
    <n v="205"/>
    <n v="2.8119155757413838"/>
    <s v="IndieWave"/>
    <s v="Hashtags Used.2"/>
    <x v="4"/>
  </r>
  <r>
    <s v="Twitter"/>
    <n v="45736"/>
    <s v="Text"/>
    <s v="Your weekend playlist is waiting."/>
    <n v="1564"/>
    <n v="362"/>
    <n v="371"/>
    <n v="42075"/>
    <n v="66659"/>
    <n v="205"/>
    <n v="5.4592988710635764"/>
    <s v="IndieWave"/>
    <s v="Hashtags Used.1"/>
    <x v="0"/>
  </r>
  <r>
    <s v="Twitter"/>
    <n v="45563"/>
    <s v="Text"/>
    <s v="Whatâ€™s your vibe today? #SpotifyHits"/>
    <n v="4006"/>
    <n v="420"/>
    <n v="194"/>
    <n v="49964"/>
    <n v="20685"/>
    <n v="148"/>
    <n v="9.2466575934672957"/>
    <s v="ChillVibes"/>
    <s v="Hashtags Used.1"/>
    <x v="1"/>
  </r>
  <r>
    <s v="YouTube"/>
    <n v="45318"/>
    <s v="Text"/>
    <s v="Your weekend playlist is waiting."/>
    <n v="1976"/>
    <n v="262"/>
    <n v="218"/>
    <n v="51696"/>
    <n v="44846"/>
    <n v="139"/>
    <n v="4.7508511296812133"/>
    <s v="IndieWave"/>
    <s v="Hashtags Used.1"/>
    <x v="2"/>
  </r>
  <r>
    <s v="YouTube"/>
    <n v="45318"/>
    <s v="Text"/>
    <s v="Your weekend playlist is waiting."/>
    <n v="1976"/>
    <n v="262"/>
    <n v="218"/>
    <n v="51696"/>
    <n v="44846"/>
    <n v="139"/>
    <n v="4.7508511296812133"/>
    <s v="IndieWave"/>
    <s v="Hashtags Used.2"/>
    <x v="4"/>
  </r>
  <r>
    <s v="Twitter"/>
    <n v="45792"/>
    <s v="Text"/>
    <s v="New music just dropped. Hit play!"/>
    <n v="1583"/>
    <n v="433"/>
    <n v="249"/>
    <n v="30256"/>
    <n v="47066"/>
    <n v="196"/>
    <n v="7.4861184558434681"/>
    <s v="ChillVibes"/>
    <s v="Hashtags Used.1"/>
    <x v="1"/>
  </r>
  <r>
    <s v="Twitter"/>
    <n v="45569"/>
    <s v="Story"/>
    <s v="Explore the latest podcasts now."/>
    <n v="2870"/>
    <n v="380"/>
    <n v="393"/>
    <n v="37621"/>
    <n v="71794"/>
    <n v="127"/>
    <n v="9.6834214933149045"/>
    <s v="ChillVibes"/>
    <s v="Hashtags Used.1"/>
    <x v="3"/>
  </r>
  <r>
    <s v="Twitter"/>
    <n v="45569"/>
    <s v="Story"/>
    <s v="Explore the latest podcasts now."/>
    <n v="2870"/>
    <n v="380"/>
    <n v="393"/>
    <n v="37621"/>
    <n v="71794"/>
    <n v="127"/>
    <n v="9.6834214933149045"/>
    <s v="ChillVibes"/>
    <s v="Hashtags Used.2"/>
    <x v="1"/>
  </r>
  <r>
    <s v="Twitter"/>
    <n v="45615"/>
    <s v="Text"/>
    <s v="Top trending tracks updated daily!"/>
    <n v="3728"/>
    <n v="271"/>
    <n v="275"/>
    <n v="22827"/>
    <n v="37034"/>
    <n v="199"/>
    <n v="18.723441538528935"/>
    <s v="ChillVibes"/>
    <s v="Hashtags Used.1"/>
    <x v="1"/>
  </r>
  <r>
    <s v="Twitter"/>
    <n v="45387"/>
    <s v="Story"/>
    <s v="New music just dropped. Hit play!"/>
    <n v="4965"/>
    <n v="175"/>
    <n v="307"/>
    <n v="32793"/>
    <n v="43412"/>
    <n v="296"/>
    <n v="16.610252187966946"/>
    <s v="ChillVibes"/>
    <s v="Hashtags Used.1"/>
    <x v="0"/>
  </r>
  <r>
    <s v="Twitter"/>
    <n v="45387"/>
    <s v="Story"/>
    <s v="New music just dropped. Hit play!"/>
    <n v="4965"/>
    <n v="175"/>
    <n v="307"/>
    <n v="32793"/>
    <n v="43412"/>
    <n v="296"/>
    <n v="16.610252187966946"/>
    <s v="ChillVibes"/>
    <s v="Hashtags Used.2"/>
    <x v="1"/>
  </r>
  <r>
    <s v="Twitter"/>
    <n v="45624"/>
    <s v="Story"/>
    <s v="New music just dropped. Hit play!"/>
    <n v="1131"/>
    <n v="100"/>
    <n v="116"/>
    <n v="48437"/>
    <n v="72704"/>
    <n v="236"/>
    <n v="2.7809319322005903"/>
    <s v="ChillVibes"/>
    <s v="Hashtags Used.1"/>
    <x v="2"/>
  </r>
  <r>
    <s v="Twitter"/>
    <n v="45624"/>
    <s v="Story"/>
    <s v="New music just dropped. Hit play!"/>
    <n v="1131"/>
    <n v="100"/>
    <n v="116"/>
    <n v="48437"/>
    <n v="72704"/>
    <n v="236"/>
    <n v="2.7809319322005903"/>
    <s v="ChillVibes"/>
    <s v="Hashtags Used.2"/>
    <x v="3"/>
  </r>
  <r>
    <s v="Twitter"/>
    <n v="45725"/>
    <s v="Text"/>
    <s v="Your weekend playlist is waiting."/>
    <n v="2754"/>
    <n v="215"/>
    <n v="264"/>
    <n v="27762"/>
    <n v="70203"/>
    <n v="289"/>
    <n v="11.645414595490239"/>
    <s v="ChillVibes"/>
    <s v="Hashtags Used.1"/>
    <x v="1"/>
  </r>
  <r>
    <s v="Twitter"/>
    <n v="45531"/>
    <s v="Story"/>
    <s v="New music just dropped. Hit play!"/>
    <n v="1856"/>
    <n v="357"/>
    <n v="348"/>
    <n v="29428"/>
    <n v="70206"/>
    <n v="236"/>
    <n v="8.7025961669158622"/>
    <s v="ChillVibes"/>
    <s v="Hashtags Used.1"/>
    <x v="3"/>
  </r>
  <r>
    <s v="Twitter"/>
    <n v="45531"/>
    <s v="Story"/>
    <s v="New music just dropped. Hit play!"/>
    <n v="1856"/>
    <n v="357"/>
    <n v="348"/>
    <n v="29428"/>
    <n v="70206"/>
    <n v="236"/>
    <n v="8.7025961669158622"/>
    <s v="ChillVibes"/>
    <s v="Hashtags Used.2"/>
    <x v="1"/>
  </r>
  <r>
    <s v="YouTube"/>
    <n v="45566"/>
    <s v="Reel"/>
    <s v="Explore the latest podcasts now."/>
    <n v="3543"/>
    <n v="334"/>
    <n v="218"/>
    <n v="58007"/>
    <n v="24792"/>
    <n v="273"/>
    <n v="7.059492819832089"/>
    <s v="SummerBeats"/>
    <s v="Hashtags Used.1"/>
    <x v="2"/>
  </r>
  <r>
    <s v="YouTube"/>
    <n v="45566"/>
    <s v="Reel"/>
    <s v="Explore the latest podcasts now."/>
    <n v="3543"/>
    <n v="334"/>
    <n v="218"/>
    <n v="58007"/>
    <n v="24792"/>
    <n v="273"/>
    <n v="7.059492819832089"/>
    <s v="SummerBeats"/>
    <s v="Hashtags Used.2"/>
    <x v="0"/>
  </r>
  <r>
    <s v="Instagram"/>
    <n v="45647"/>
    <s v="Story"/>
    <s v="New music just dropped. Hit play!"/>
    <n v="4563"/>
    <n v="398"/>
    <n v="163"/>
    <n v="43679"/>
    <n v="48760"/>
    <n v="92"/>
    <n v="11.731037798484397"/>
    <s v="Wrapped2024"/>
    <s v="Hashtags Used.1"/>
    <x v="1"/>
  </r>
  <r>
    <s v="Instagram"/>
    <n v="45460"/>
    <s v="Text"/>
    <s v="Discover fresh beats on Spotify!"/>
    <n v="4283"/>
    <n v="471"/>
    <n v="156"/>
    <n v="53004"/>
    <n v="25678"/>
    <n v="105"/>
    <n v="9.2634518149573619"/>
    <s v="IndieWave"/>
    <s v="Hashtags Used.1"/>
    <x v="2"/>
  </r>
  <r>
    <s v="Instagram"/>
    <n v="45702"/>
    <s v="Text"/>
    <s v="Discover fresh beats on Spotify!"/>
    <n v="2329"/>
    <n v="373"/>
    <n v="291"/>
    <n v="49577"/>
    <n v="28002"/>
    <n v="82"/>
    <n v="6.0370736430199488"/>
    <s v="ChillVibes"/>
    <s v="Hashtags Used.1"/>
    <x v="0"/>
  </r>
  <r>
    <s v="Instagram"/>
    <n v="45702"/>
    <s v="Text"/>
    <s v="Discover fresh beats on Spotify!"/>
    <n v="2329"/>
    <n v="373"/>
    <n v="291"/>
    <n v="49577"/>
    <n v="28002"/>
    <n v="82"/>
    <n v="6.0370736430199488"/>
    <s v="ChillVibes"/>
    <s v="Hashtags Used.2"/>
    <x v="1"/>
  </r>
  <r>
    <s v="Twitter"/>
    <n v="45805"/>
    <s v="Story"/>
    <s v="Top trending tracks updated daily!"/>
    <n v="4287"/>
    <n v="273"/>
    <n v="122"/>
    <n v="40792"/>
    <n v="23878"/>
    <n v="277"/>
    <n v="11.477740733477154"/>
    <s v="ChillVibes"/>
    <s v="Hashtags Used.1"/>
    <x v="3"/>
  </r>
  <r>
    <s v="Twitter"/>
    <n v="45805"/>
    <s v="Story"/>
    <s v="Top trending tracks updated daily!"/>
    <n v="4287"/>
    <n v="273"/>
    <n v="122"/>
    <n v="40792"/>
    <n v="23878"/>
    <n v="277"/>
    <n v="11.477740733477154"/>
    <s v="ChillVibes"/>
    <s v="Hashtags Used.2"/>
    <x v="1"/>
  </r>
  <r>
    <s v="Instagram"/>
    <n v="45799"/>
    <s v="Text"/>
    <s v="Discover fresh beats on Spotify!"/>
    <n v="2633"/>
    <n v="318"/>
    <n v="380"/>
    <n v="40869"/>
    <n v="64474"/>
    <n v="245"/>
    <n v="8.1504318676747669"/>
    <s v="IndieWave"/>
    <s v="Hashtags Used.1"/>
    <x v="2"/>
  </r>
  <r>
    <s v="Twitter"/>
    <n v="45312"/>
    <s v="Story"/>
    <s v="Discover fresh beats on Spotify!"/>
    <n v="2383"/>
    <n v="136"/>
    <n v="302"/>
    <n v="39187"/>
    <n v="22133"/>
    <n v="208"/>
    <n v="7.1988159338556148"/>
    <s v="ChillVibes"/>
    <s v="Hashtags Used.1"/>
    <x v="3"/>
  </r>
  <r>
    <s v="Twitter"/>
    <n v="45312"/>
    <s v="Story"/>
    <s v="Discover fresh beats on Spotify!"/>
    <n v="2383"/>
    <n v="136"/>
    <n v="302"/>
    <n v="39187"/>
    <n v="22133"/>
    <n v="208"/>
    <n v="7.1988159338556148"/>
    <s v="ChillVibes"/>
    <s v="Hashtags Used.2"/>
    <x v="1"/>
  </r>
  <r>
    <s v="Twitter"/>
    <n v="45696"/>
    <s v="Story"/>
    <s v="Your weekend playlist is waiting."/>
    <n v="4752"/>
    <n v="334"/>
    <n v="56"/>
    <n v="48017"/>
    <n v="55534"/>
    <n v="270"/>
    <n v="10.708707332819627"/>
    <s v="ChillVibes"/>
    <s v="Hashtags Used.1"/>
    <x v="2"/>
  </r>
  <r>
    <s v="Twitter"/>
    <n v="45696"/>
    <s v="Story"/>
    <s v="Your weekend playlist is waiting."/>
    <n v="4752"/>
    <n v="334"/>
    <n v="56"/>
    <n v="48017"/>
    <n v="55534"/>
    <n v="270"/>
    <n v="10.708707332819627"/>
    <s v="ChillVibes"/>
    <s v="Hashtags Used.2"/>
    <x v="3"/>
  </r>
  <r>
    <s v="Twitter"/>
    <n v="45760"/>
    <s v="Text"/>
    <s v="From pop to podcasts, itâ€™s all here."/>
    <n v="3890"/>
    <n v="408"/>
    <n v="338"/>
    <n v="56994"/>
    <n v="32621"/>
    <n v="286"/>
    <n v="8.1341895638137345"/>
    <s v="IndieWave"/>
    <s v="Hashtags Used.1"/>
    <x v="0"/>
  </r>
  <r>
    <s v="Twitter"/>
    <n v="45442"/>
    <s v="Story"/>
    <s v="Your weekend playlist is waiting."/>
    <n v="2311"/>
    <n v="207"/>
    <n v="363"/>
    <n v="30349"/>
    <n v="32925"/>
    <n v="88"/>
    <n v="9.4928992718046725"/>
    <s v="ChillVibes"/>
    <s v="Hashtags Used.1"/>
    <x v="3"/>
  </r>
  <r>
    <s v="Twitter"/>
    <n v="45442"/>
    <s v="Story"/>
    <s v="Your weekend playlist is waiting."/>
    <n v="2311"/>
    <n v="207"/>
    <n v="363"/>
    <n v="30349"/>
    <n v="32925"/>
    <n v="88"/>
    <n v="9.4928992718046725"/>
    <s v="ChillVibes"/>
    <s v="Hashtags Used.2"/>
    <x v="1"/>
  </r>
  <r>
    <s v="Instagram"/>
    <n v="45516"/>
    <s v="Story"/>
    <s v="Discover fresh beats on Spotify!"/>
    <n v="2962"/>
    <n v="400"/>
    <n v="280"/>
    <n v="52508"/>
    <n v="58329"/>
    <n v="219"/>
    <n v="6.9360859297630837"/>
    <s v="Wrapped2024"/>
    <s v="Hashtags Used.1"/>
    <x v="1"/>
  </r>
  <r>
    <s v="Instagram"/>
    <n v="45562"/>
    <s v="Text"/>
    <s v="Discover fresh beats on Spotify!"/>
    <n v="3118"/>
    <n v="116"/>
    <n v="195"/>
    <n v="37100"/>
    <n v="62629"/>
    <n v="272"/>
    <n v="9.2425876010781671"/>
    <s v="IndieWave"/>
    <s v="Hashtags Used.1"/>
    <x v="2"/>
  </r>
  <r>
    <s v="Twitter"/>
    <n v="45819"/>
    <s v="Story"/>
    <s v="Explore the latest podcasts now."/>
    <n v="3805"/>
    <n v="453"/>
    <n v="63"/>
    <n v="52395"/>
    <n v="72934"/>
    <n v="87"/>
    <n v="8.2469701307376653"/>
    <s v="ChillVibes"/>
    <s v="Hashtags Used.1"/>
    <x v="2"/>
  </r>
  <r>
    <s v="Twitter"/>
    <n v="45819"/>
    <s v="Story"/>
    <s v="Explore the latest podcasts now."/>
    <n v="3805"/>
    <n v="453"/>
    <n v="63"/>
    <n v="52395"/>
    <n v="72934"/>
    <n v="87"/>
    <n v="8.2469701307376653"/>
    <s v="ChillVibes"/>
    <s v="Hashtags Used.2"/>
    <x v="3"/>
  </r>
  <r>
    <s v="Instagram"/>
    <n v="45615"/>
    <s v="Text"/>
    <s v="Whatâ€™s your vibe today? #SpotifyHits"/>
    <n v="2525"/>
    <n v="272"/>
    <n v="294"/>
    <n v="51875"/>
    <n v="24732"/>
    <n v="92"/>
    <n v="5.9585542168674701"/>
    <s v="IndieWave"/>
    <s v="Hashtags Used.1"/>
    <x v="2"/>
  </r>
  <r>
    <s v="Instagram"/>
    <n v="45407"/>
    <s v="Text"/>
    <s v="Music that moves youâ€”only on Spotify."/>
    <n v="3563"/>
    <n v="483"/>
    <n v="227"/>
    <n v="41085"/>
    <n v="26393"/>
    <n v="236"/>
    <n v="10.400389436534015"/>
    <s v="ChillVibes"/>
    <s v="Hashtags Used.1"/>
    <x v="0"/>
  </r>
  <r>
    <s v="Instagram"/>
    <n v="45407"/>
    <s v="Text"/>
    <s v="Music that moves youâ€”only on Spotify."/>
    <n v="3563"/>
    <n v="483"/>
    <n v="227"/>
    <n v="41085"/>
    <n v="26393"/>
    <n v="236"/>
    <n v="10.400389436534015"/>
    <s v="ChillVibes"/>
    <s v="Hashtags Used.2"/>
    <x v="1"/>
  </r>
  <r>
    <s v="YouTube"/>
    <n v="45538"/>
    <s v="Reel"/>
    <s v="Whatâ€™s your vibe today? #SpotifyHits"/>
    <n v="1437"/>
    <n v="494"/>
    <n v="129"/>
    <n v="53048"/>
    <n v="44090"/>
    <n v="230"/>
    <n v="3.8832755240536874"/>
    <s v="SummerBeats"/>
    <s v="Hashtags Used.1"/>
    <x v="2"/>
  </r>
  <r>
    <s v="YouTube"/>
    <n v="45538"/>
    <s v="Reel"/>
    <s v="Whatâ€™s your vibe today? #SpotifyHits"/>
    <n v="1437"/>
    <n v="494"/>
    <n v="129"/>
    <n v="53048"/>
    <n v="44090"/>
    <n v="230"/>
    <n v="3.8832755240536874"/>
    <s v="SummerBeats"/>
    <s v="Hashtags Used.2"/>
    <x v="0"/>
  </r>
  <r>
    <s v="YouTube"/>
    <n v="45718"/>
    <s v="Text"/>
    <s v="From pop to podcasts, itâ€™s all here."/>
    <n v="4425"/>
    <n v="185"/>
    <n v="162"/>
    <n v="24610"/>
    <n v="21342"/>
    <n v="158"/>
    <n v="19.390491670052825"/>
    <s v="IndieWave"/>
    <s v="Hashtags Used.1"/>
    <x v="2"/>
  </r>
  <r>
    <s v="YouTube"/>
    <n v="45718"/>
    <s v="Text"/>
    <s v="From pop to podcasts, itâ€™s all here."/>
    <n v="4425"/>
    <n v="185"/>
    <n v="162"/>
    <n v="24610"/>
    <n v="21342"/>
    <n v="158"/>
    <n v="19.390491670052825"/>
    <s v="IndieWave"/>
    <s v="Hashtags Used.2"/>
    <x v="4"/>
  </r>
  <r>
    <s v="Twitter"/>
    <n v="45737"/>
    <s v="Story"/>
    <s v="New music just dropped. Hit play!"/>
    <n v="4609"/>
    <n v="427"/>
    <n v="395"/>
    <n v="33698"/>
    <n v="29259"/>
    <n v="216"/>
    <n v="16.116683482699269"/>
    <s v="ChillVibes"/>
    <s v="Hashtags Used.1"/>
    <x v="2"/>
  </r>
  <r>
    <s v="Twitter"/>
    <n v="45737"/>
    <s v="Story"/>
    <s v="New music just dropped. Hit play!"/>
    <n v="4609"/>
    <n v="427"/>
    <n v="395"/>
    <n v="33698"/>
    <n v="29259"/>
    <n v="216"/>
    <n v="16.116683482699269"/>
    <s v="ChillVibes"/>
    <s v="Hashtags Used.2"/>
    <x v="3"/>
  </r>
  <r>
    <s v="Instagram"/>
    <n v="45394"/>
    <s v="Story"/>
    <s v="Get into the groove with our new drop!"/>
    <n v="1558"/>
    <n v="352"/>
    <n v="202"/>
    <n v="25405"/>
    <n v="69941"/>
    <n v="219"/>
    <n v="8.3133241487896079"/>
    <s v="Wrapped2024"/>
    <s v="Hashtags Used.1"/>
    <x v="1"/>
  </r>
  <r>
    <s v="YouTube"/>
    <n v="45330"/>
    <s v="Reel"/>
    <s v="Top trending tracks updated daily!"/>
    <n v="1889"/>
    <n v="298"/>
    <n v="122"/>
    <n v="46225"/>
    <n v="74305"/>
    <n v="293"/>
    <n v="4.9951325040562464"/>
    <s v="SummerBeats"/>
    <s v="Hashtags Used.1"/>
    <x v="2"/>
  </r>
  <r>
    <s v="YouTube"/>
    <n v="45330"/>
    <s v="Reel"/>
    <s v="Top trending tracks updated daily!"/>
    <n v="1889"/>
    <n v="298"/>
    <n v="122"/>
    <n v="46225"/>
    <n v="74305"/>
    <n v="293"/>
    <n v="4.9951325040562464"/>
    <s v="SummerBeats"/>
    <s v="Hashtags Used.2"/>
    <x v="0"/>
  </r>
  <r>
    <s v="Instagram"/>
    <n v="45803"/>
    <s v="Text"/>
    <s v="Discover fresh beats on Spotify!"/>
    <n v="3086"/>
    <n v="148"/>
    <n v="310"/>
    <n v="22824"/>
    <n v="58103"/>
    <n v="275"/>
    <n v="15.527514896600071"/>
    <s v="IndieWave"/>
    <s v="Hashtags Used.1"/>
    <x v="2"/>
  </r>
  <r>
    <s v="Instagram"/>
    <n v="45610"/>
    <s v="Text"/>
    <s v="Music that moves youâ€”only on Spotify."/>
    <n v="2422"/>
    <n v="318"/>
    <n v="118"/>
    <n v="25386"/>
    <n v="20873"/>
    <n v="100"/>
    <n v="11.258173796580792"/>
    <s v="ChillVibes"/>
    <s v="Hashtags Used.1"/>
    <x v="0"/>
  </r>
  <r>
    <s v="Instagram"/>
    <n v="45610"/>
    <s v="Text"/>
    <s v="Music that moves youâ€”only on Spotify."/>
    <n v="2422"/>
    <n v="318"/>
    <n v="118"/>
    <n v="25386"/>
    <n v="20873"/>
    <n v="100"/>
    <n v="11.258173796580792"/>
    <s v="ChillVibes"/>
    <s v="Hashtags Used.2"/>
    <x v="1"/>
  </r>
  <r>
    <s v="YouTube"/>
    <n v="45513"/>
    <s v="Reel"/>
    <s v="From pop to podcasts, itâ€™s all here."/>
    <n v="3414"/>
    <n v="154"/>
    <n v="204"/>
    <n v="34146"/>
    <n v="44633"/>
    <n v="256"/>
    <n v="11.046681895390382"/>
    <s v="SummerBeats"/>
    <s v="Hashtags Used.1"/>
    <x v="2"/>
  </r>
  <r>
    <s v="YouTube"/>
    <n v="45513"/>
    <s v="Reel"/>
    <s v="From pop to podcasts, itâ€™s all here."/>
    <n v="3414"/>
    <n v="154"/>
    <n v="204"/>
    <n v="34146"/>
    <n v="44633"/>
    <n v="256"/>
    <n v="11.046681895390382"/>
    <s v="SummerBeats"/>
    <s v="Hashtags Used.2"/>
    <x v="0"/>
  </r>
  <r>
    <s v="Instagram"/>
    <n v="45835"/>
    <s v="Story"/>
    <s v="Whatâ€™s your vibe today? #SpotifyHits"/>
    <n v="1342"/>
    <n v="332"/>
    <n v="163"/>
    <n v="51712"/>
    <n v="57922"/>
    <n v="168"/>
    <n v="3.5523669554455446"/>
    <s v="Wrapped2024"/>
    <s v="Hashtags Used.1"/>
    <x v="1"/>
  </r>
  <r>
    <s v="Instagram"/>
    <n v="45420"/>
    <s v="Story"/>
    <s v="Music that moves youâ€”only on Spotify."/>
    <n v="2414"/>
    <n v="220"/>
    <n v="280"/>
    <n v="27355"/>
    <n v="50562"/>
    <n v="258"/>
    <n v="10.652531529884847"/>
    <s v="Wrapped2024"/>
    <s v="Hashtags Used.1"/>
    <x v="1"/>
  </r>
  <r>
    <s v="Instagram"/>
    <n v="45387"/>
    <s v="Text"/>
    <s v="New music just dropped. Hit play!"/>
    <n v="4383"/>
    <n v="352"/>
    <n v="176"/>
    <n v="53239"/>
    <n v="34168"/>
    <n v="288"/>
    <n v="9.2244407295403743"/>
    <s v="IndieWave"/>
    <s v="Hashtags Used.1"/>
    <x v="2"/>
  </r>
  <r>
    <s v="YouTube"/>
    <n v="45684"/>
    <s v="Text"/>
    <s v="Wrapped is here! Relive your top tracks ðŸŽ§"/>
    <n v="4294"/>
    <n v="423"/>
    <n v="93"/>
    <n v="29828"/>
    <n v="73144"/>
    <n v="298"/>
    <n v="16.125787850341961"/>
    <s v="IndieWave"/>
    <s v="Hashtags Used.1"/>
    <x v="2"/>
  </r>
  <r>
    <s v="YouTube"/>
    <n v="45684"/>
    <s v="Text"/>
    <s v="Wrapped is here! Relive your top tracks ðŸŽ§"/>
    <n v="4294"/>
    <n v="423"/>
    <n v="93"/>
    <n v="29828"/>
    <n v="73144"/>
    <n v="298"/>
    <n v="16.125787850341961"/>
    <s v="IndieWave"/>
    <s v="Hashtags Used.2"/>
    <x v="4"/>
  </r>
  <r>
    <s v="Instagram"/>
    <n v="45385"/>
    <s v="Text"/>
    <s v="Top trending tracks updated daily!"/>
    <n v="2762"/>
    <n v="339"/>
    <n v="323"/>
    <n v="33757"/>
    <n v="68511"/>
    <n v="121"/>
    <n v="10.143081434961637"/>
    <s v="ChillVibes"/>
    <s v="Hashtags Used.1"/>
    <x v="0"/>
  </r>
  <r>
    <s v="Instagram"/>
    <n v="45385"/>
    <s v="Text"/>
    <s v="Top trending tracks updated daily!"/>
    <n v="2762"/>
    <n v="339"/>
    <n v="323"/>
    <n v="33757"/>
    <n v="68511"/>
    <n v="121"/>
    <n v="10.143081434961637"/>
    <s v="ChillVibes"/>
    <s v="Hashtags Used.2"/>
    <x v="1"/>
  </r>
  <r>
    <s v="YouTube"/>
    <n v="45660"/>
    <s v="Text"/>
    <s v="New music just dropped. Hit play!"/>
    <n v="3782"/>
    <n v="484"/>
    <n v="144"/>
    <n v="52172"/>
    <n v="59386"/>
    <n v="175"/>
    <n v="8.4528099363643339"/>
    <s v="IndieWave"/>
    <s v="Hashtags Used.1"/>
    <x v="2"/>
  </r>
  <r>
    <s v="YouTube"/>
    <n v="45660"/>
    <s v="Text"/>
    <s v="New music just dropped. Hit play!"/>
    <n v="3782"/>
    <n v="484"/>
    <n v="144"/>
    <n v="52172"/>
    <n v="59386"/>
    <n v="175"/>
    <n v="8.4528099363643339"/>
    <s v="IndieWave"/>
    <s v="Hashtags Used.2"/>
    <x v="4"/>
  </r>
  <r>
    <s v="Twitter"/>
    <n v="45619"/>
    <s v="Text"/>
    <s v="New music just dropped. Hit play!"/>
    <n v="4318"/>
    <n v="371"/>
    <n v="329"/>
    <n v="32347"/>
    <n v="68956"/>
    <n v="259"/>
    <n v="15.513030574705535"/>
    <s v="IndieWave"/>
    <s v="Hashtags Used.1"/>
    <x v="0"/>
  </r>
  <r>
    <s v="Instagram"/>
    <n v="45536"/>
    <s v="Story"/>
    <s v="Wrapped is here! Relive your top tracks ðŸŽ§"/>
    <n v="2335"/>
    <n v="150"/>
    <n v="75"/>
    <n v="26114"/>
    <n v="57549"/>
    <n v="135"/>
    <n v="9.8031707130274945"/>
    <s v="Wrapped2024"/>
    <s v="Hashtags Used.1"/>
    <x v="1"/>
  </r>
  <r>
    <s v="YouTube"/>
    <n v="45400"/>
    <s v="Text"/>
    <s v="Explore the latest podcasts now."/>
    <n v="4023"/>
    <n v="293"/>
    <n v="91"/>
    <n v="26795"/>
    <n v="28924"/>
    <n v="278"/>
    <n v="16.447098339242398"/>
    <s v="IndieWave"/>
    <s v="Hashtags Used.1"/>
    <x v="2"/>
  </r>
  <r>
    <s v="YouTube"/>
    <n v="45400"/>
    <s v="Text"/>
    <s v="Explore the latest podcasts now."/>
    <n v="4023"/>
    <n v="293"/>
    <n v="91"/>
    <n v="26795"/>
    <n v="28924"/>
    <n v="278"/>
    <n v="16.447098339242398"/>
    <s v="IndieWave"/>
    <s v="Hashtags Used.2"/>
    <x v="4"/>
  </r>
  <r>
    <s v="Instagram"/>
    <n v="45447"/>
    <s v="Text"/>
    <s v="Get into the groove with our new drop!"/>
    <n v="3948"/>
    <n v="151"/>
    <n v="249"/>
    <n v="43147"/>
    <n v="63136"/>
    <n v="230"/>
    <n v="10.077178019329269"/>
    <s v="IndieWave"/>
    <s v="Hashtags Used.1"/>
    <x v="2"/>
  </r>
  <r>
    <s v="YouTube"/>
    <n v="45749"/>
    <s v="Text"/>
    <s v="Wrapped is here! Relive your top tracks ðŸŽ§"/>
    <n v="4598"/>
    <n v="455"/>
    <n v="378"/>
    <n v="52952"/>
    <n v="58504"/>
    <n v="269"/>
    <n v="10.256458679558845"/>
    <s v="IndieWave"/>
    <s v="Hashtags Used.1"/>
    <x v="2"/>
  </r>
  <r>
    <s v="YouTube"/>
    <n v="45749"/>
    <s v="Text"/>
    <s v="Wrapped is here! Relive your top tracks ðŸŽ§"/>
    <n v="4598"/>
    <n v="455"/>
    <n v="378"/>
    <n v="52952"/>
    <n v="58504"/>
    <n v="269"/>
    <n v="10.256458679558845"/>
    <s v="IndieWave"/>
    <s v="Hashtags Used.2"/>
    <x v="4"/>
  </r>
  <r>
    <s v="Twitter"/>
    <n v="45748"/>
    <s v="Story"/>
    <s v="Music that moves youâ€”only on Spotify."/>
    <n v="2665"/>
    <n v="143"/>
    <n v="315"/>
    <n v="54808"/>
    <n v="29818"/>
    <n v="98"/>
    <n v="5.6980732739746021"/>
    <s v="ChillVibes"/>
    <s v="Hashtags Used.1"/>
    <x v="2"/>
  </r>
  <r>
    <s v="Twitter"/>
    <n v="45748"/>
    <s v="Story"/>
    <s v="Music that moves youâ€”only on Spotify."/>
    <n v="2665"/>
    <n v="143"/>
    <n v="315"/>
    <n v="54808"/>
    <n v="29818"/>
    <n v="98"/>
    <n v="5.6980732739746021"/>
    <s v="ChillVibes"/>
    <s v="Hashtags Used.2"/>
    <x v="3"/>
  </r>
  <r>
    <s v="Instagram"/>
    <n v="45475"/>
    <s v="Text"/>
    <s v="Top trending tracks updated daily!"/>
    <n v="3469"/>
    <n v="371"/>
    <n v="76"/>
    <n v="46493"/>
    <n v="26906"/>
    <n v="150"/>
    <n v="8.4227733207149456"/>
    <s v="ChillVibes"/>
    <s v="Hashtags Used.1"/>
    <x v="0"/>
  </r>
  <r>
    <s v="Instagram"/>
    <n v="45475"/>
    <s v="Text"/>
    <s v="Top trending tracks updated daily!"/>
    <n v="3469"/>
    <n v="371"/>
    <n v="76"/>
    <n v="46493"/>
    <n v="26906"/>
    <n v="150"/>
    <n v="8.4227733207149456"/>
    <s v="ChillVibes"/>
    <s v="Hashtags Used.2"/>
    <x v="1"/>
  </r>
  <r>
    <s v="Twitter"/>
    <n v="45606"/>
    <s v="Text"/>
    <s v="Explore the latest podcasts now."/>
    <n v="4823"/>
    <n v="489"/>
    <n v="302"/>
    <n v="32470"/>
    <n v="31861"/>
    <n v="178"/>
    <n v="17.289805974745921"/>
    <s v="IndieWave"/>
    <s v="Hashtags Used.1"/>
    <x v="0"/>
  </r>
  <r>
    <s v="Instagram"/>
    <n v="45640"/>
    <s v="Story"/>
    <s v="From pop to podcasts, itâ€™s all here."/>
    <n v="3812"/>
    <n v="321"/>
    <n v="289"/>
    <n v="59838"/>
    <n v="36337"/>
    <n v="161"/>
    <n v="7.3899528727564414"/>
    <s v="Wrapped2024"/>
    <s v="Hashtags Used.1"/>
    <x v="1"/>
  </r>
  <r>
    <s v="Twitter"/>
    <n v="45615"/>
    <s v="Text"/>
    <s v="Explore the latest podcasts now."/>
    <n v="2387"/>
    <n v="353"/>
    <n v="78"/>
    <n v="39745"/>
    <n v="69226"/>
    <n v="208"/>
    <n v="7.0902000251603976"/>
    <s v="IndieWave"/>
    <s v="Hashtags Used.1"/>
    <x v="0"/>
  </r>
  <r>
    <s v="Twitter"/>
    <n v="45777"/>
    <s v="Story"/>
    <s v="Wrapped is here! Relive your top tracks ðŸŽ§"/>
    <n v="3929"/>
    <n v="275"/>
    <n v="330"/>
    <n v="58329"/>
    <n v="33196"/>
    <n v="85"/>
    <n v="7.773148862486928"/>
    <s v="ChillVibes"/>
    <s v="Hashtags Used.1"/>
    <x v="3"/>
  </r>
  <r>
    <s v="Twitter"/>
    <n v="45777"/>
    <s v="Story"/>
    <s v="Wrapped is here! Relive your top tracks ðŸŽ§"/>
    <n v="3929"/>
    <n v="275"/>
    <n v="330"/>
    <n v="58329"/>
    <n v="33196"/>
    <n v="85"/>
    <n v="7.773148862486928"/>
    <s v="ChillVibes"/>
    <s v="Hashtags Used.2"/>
    <x v="1"/>
  </r>
  <r>
    <s v="Twitter"/>
    <n v="45370"/>
    <s v="Text"/>
    <s v="From pop to podcasts, itâ€™s all here."/>
    <n v="2191"/>
    <n v="288"/>
    <n v="83"/>
    <n v="59606"/>
    <n v="24765"/>
    <n v="281"/>
    <n v="4.2982250109049422"/>
    <s v="IndieWave"/>
    <s v="Hashtags Used.1"/>
    <x v="0"/>
  </r>
  <r>
    <s v="Instagram"/>
    <n v="45370"/>
    <s v="Text"/>
    <s v="From pop to podcasts, itâ€™s all here."/>
    <n v="2878"/>
    <n v="278"/>
    <n v="255"/>
    <n v="47235"/>
    <n v="57922"/>
    <n v="112"/>
    <n v="7.2213401079707848"/>
    <s v="ChillVibes"/>
    <s v="Hashtags Used.1"/>
    <x v="0"/>
  </r>
  <r>
    <s v="Instagram"/>
    <n v="45370"/>
    <s v="Text"/>
    <s v="From pop to podcasts, itâ€™s all here."/>
    <n v="2878"/>
    <n v="278"/>
    <n v="255"/>
    <n v="47235"/>
    <n v="57922"/>
    <n v="112"/>
    <n v="7.2213401079707848"/>
    <s v="ChillVibes"/>
    <s v="Hashtags Used.2"/>
    <x v="1"/>
  </r>
  <r>
    <s v="Twitter"/>
    <n v="45496"/>
    <s v="Text"/>
    <s v="Top trending tracks updated daily!"/>
    <n v="3204"/>
    <n v="398"/>
    <n v="85"/>
    <n v="22020"/>
    <n v="58353"/>
    <n v="286"/>
    <n v="16.743869209809265"/>
    <s v="IndieWave"/>
    <s v="Hashtags Used.1"/>
    <x v="0"/>
  </r>
  <r>
    <s v="Twitter"/>
    <n v="45486"/>
    <s v="Story"/>
    <s v="Get into the groove with our new drop!"/>
    <n v="2408"/>
    <n v="323"/>
    <n v="251"/>
    <n v="47599"/>
    <n v="35543"/>
    <n v="287"/>
    <n v="6.2648374965860638"/>
    <s v="ChillVibes"/>
    <s v="Hashtags Used.1"/>
    <x v="3"/>
  </r>
  <r>
    <s v="Twitter"/>
    <n v="45486"/>
    <s v="Story"/>
    <s v="Get into the groove with our new drop!"/>
    <n v="2408"/>
    <n v="323"/>
    <n v="251"/>
    <n v="47599"/>
    <n v="35543"/>
    <n v="287"/>
    <n v="6.2648374965860638"/>
    <s v="ChillVibes"/>
    <s v="Hashtags Used.2"/>
    <x v="1"/>
  </r>
  <r>
    <s v="YouTube"/>
    <n v="45769"/>
    <s v="Reel"/>
    <s v="New music just dropped. Hit play!"/>
    <n v="2733"/>
    <n v="297"/>
    <n v="235"/>
    <n v="37980"/>
    <n v="33058"/>
    <n v="219"/>
    <n v="8.5966298051606103"/>
    <s v="SummerBeats"/>
    <s v="Hashtags Used.1"/>
    <x v="2"/>
  </r>
  <r>
    <s v="YouTube"/>
    <n v="45769"/>
    <s v="Reel"/>
    <s v="New music just dropped. Hit play!"/>
    <n v="2733"/>
    <n v="297"/>
    <n v="235"/>
    <n v="37980"/>
    <n v="33058"/>
    <n v="219"/>
    <n v="8.5966298051606103"/>
    <s v="SummerBeats"/>
    <s v="Hashtags Used.2"/>
    <x v="0"/>
  </r>
  <r>
    <s v="Twitter"/>
    <n v="45459"/>
    <s v="Story"/>
    <s v="Explore the latest podcasts now."/>
    <n v="4618"/>
    <n v="312"/>
    <n v="254"/>
    <n v="22571"/>
    <n v="29453"/>
    <n v="197"/>
    <n v="22.967524699836073"/>
    <s v="ChillVibes"/>
    <s v="Hashtags Used.1"/>
    <x v="3"/>
  </r>
  <r>
    <s v="Twitter"/>
    <n v="45459"/>
    <s v="Story"/>
    <s v="Explore the latest podcasts now."/>
    <n v="4618"/>
    <n v="312"/>
    <n v="254"/>
    <n v="22571"/>
    <n v="29453"/>
    <n v="197"/>
    <n v="22.967524699836073"/>
    <s v="ChillVibes"/>
    <s v="Hashtags Used.2"/>
    <x v="1"/>
  </r>
  <r>
    <s v="YouTube"/>
    <n v="45795"/>
    <s v="Reel"/>
    <s v="Wrapped is here! Relive your top tracks ðŸŽ§"/>
    <n v="4210"/>
    <n v="319"/>
    <n v="350"/>
    <n v="37762"/>
    <n v="55162"/>
    <n v="204"/>
    <n v="12.920396165457337"/>
    <s v="SummerBeats"/>
    <s v="Hashtags Used.1"/>
    <x v="2"/>
  </r>
  <r>
    <s v="YouTube"/>
    <n v="45795"/>
    <s v="Reel"/>
    <s v="Wrapped is here! Relive your top tracks ðŸŽ§"/>
    <n v="4210"/>
    <n v="319"/>
    <n v="350"/>
    <n v="37762"/>
    <n v="55162"/>
    <n v="204"/>
    <n v="12.920396165457337"/>
    <s v="SummerBeats"/>
    <s v="Hashtags Used.2"/>
    <x v="0"/>
  </r>
  <r>
    <s v="Instagram"/>
    <n v="45814"/>
    <s v="Text"/>
    <s v="Wrapped is here! Relive your top tracks ðŸŽ§"/>
    <n v="3987"/>
    <n v="171"/>
    <n v="274"/>
    <n v="45122"/>
    <n v="65431"/>
    <n v="168"/>
    <n v="9.8222596516111871"/>
    <s v="IndieWave"/>
    <s v="Hashtags Used.1"/>
    <x v="2"/>
  </r>
  <r>
    <s v="YouTube"/>
    <n v="45708"/>
    <s v="Reel"/>
    <s v="Get into the groove with our new drop!"/>
    <n v="4957"/>
    <n v="262"/>
    <n v="365"/>
    <n v="49199"/>
    <n v="40314"/>
    <n v="216"/>
    <n v="11.349824183418363"/>
    <s v="SummerBeats"/>
    <s v="Hashtags Used.1"/>
    <x v="2"/>
  </r>
  <r>
    <s v="YouTube"/>
    <n v="45708"/>
    <s v="Reel"/>
    <s v="Get into the groove with our new drop!"/>
    <n v="4957"/>
    <n v="262"/>
    <n v="365"/>
    <n v="49199"/>
    <n v="40314"/>
    <n v="216"/>
    <n v="11.349824183418363"/>
    <s v="SummerBeats"/>
    <s v="Hashtags Used.2"/>
    <x v="0"/>
  </r>
  <r>
    <s v="Instagram"/>
    <n v="45673"/>
    <s v="Text"/>
    <s v="Music that moves youâ€”only on Spotify."/>
    <n v="2605"/>
    <n v="282"/>
    <n v="148"/>
    <n v="32201"/>
    <n v="49583"/>
    <n v="241"/>
    <n v="9.4251731312692151"/>
    <s v="ChillVibes"/>
    <s v="Hashtags Used.1"/>
    <x v="0"/>
  </r>
  <r>
    <s v="Instagram"/>
    <n v="45673"/>
    <s v="Text"/>
    <s v="Music that moves youâ€”only on Spotify."/>
    <n v="2605"/>
    <n v="282"/>
    <n v="148"/>
    <n v="32201"/>
    <n v="49583"/>
    <n v="241"/>
    <n v="9.4251731312692151"/>
    <s v="ChillVibes"/>
    <s v="Hashtags Used.2"/>
    <x v="1"/>
  </r>
  <r>
    <s v="YouTube"/>
    <n v="45346"/>
    <s v="Reel"/>
    <s v="Discover fresh beats on Spotify!"/>
    <n v="4221"/>
    <n v="307"/>
    <n v="58"/>
    <n v="45080"/>
    <n v="37214"/>
    <n v="240"/>
    <n v="10.173025732031943"/>
    <s v="SummerBeats"/>
    <s v="Hashtags Used.1"/>
    <x v="2"/>
  </r>
  <r>
    <s v="YouTube"/>
    <n v="45346"/>
    <s v="Reel"/>
    <s v="Discover fresh beats on Spotify!"/>
    <n v="4221"/>
    <n v="307"/>
    <n v="58"/>
    <n v="45080"/>
    <n v="37214"/>
    <n v="240"/>
    <n v="10.173025732031943"/>
    <s v="SummerBeats"/>
    <s v="Hashtags Used.2"/>
    <x v="0"/>
  </r>
  <r>
    <s v="Twitter"/>
    <n v="45551"/>
    <s v="Story"/>
    <s v="Whatâ€™s your vibe today? #SpotifyHits"/>
    <n v="4422"/>
    <n v="434"/>
    <n v="156"/>
    <n v="56165"/>
    <n v="52431"/>
    <n v="173"/>
    <n v="8.9237069349238851"/>
    <s v="ChillVibes"/>
    <s v="Hashtags Used.1"/>
    <x v="2"/>
  </r>
  <r>
    <s v="Twitter"/>
    <n v="45551"/>
    <s v="Story"/>
    <s v="Whatâ€™s your vibe today? #SpotifyHits"/>
    <n v="4422"/>
    <n v="434"/>
    <n v="156"/>
    <n v="56165"/>
    <n v="52431"/>
    <n v="173"/>
    <n v="8.9237069349238851"/>
    <s v="ChillVibes"/>
    <s v="Hashtags Used.2"/>
    <x v="3"/>
  </r>
  <r>
    <s v="YouTube"/>
    <n v="45447"/>
    <s v="Reel"/>
    <s v="Wrapped is here! Relive your top tracks ðŸŽ§"/>
    <n v="1211"/>
    <n v="431"/>
    <n v="83"/>
    <n v="26532"/>
    <n v="47305"/>
    <n v="232"/>
    <n v="6.5015829941203069"/>
    <s v="SummerBeats"/>
    <s v="Hashtags Used.1"/>
    <x v="2"/>
  </r>
  <r>
    <s v="YouTube"/>
    <n v="45447"/>
    <s v="Reel"/>
    <s v="Wrapped is here! Relive your top tracks ðŸŽ§"/>
    <n v="1211"/>
    <n v="431"/>
    <n v="83"/>
    <n v="26532"/>
    <n v="47305"/>
    <n v="232"/>
    <n v="6.5015829941203069"/>
    <s v="SummerBeats"/>
    <s v="Hashtags Used.2"/>
    <x v="0"/>
  </r>
  <r>
    <s v="Twitter"/>
    <n v="45422"/>
    <s v="Story"/>
    <s v="Explore the latest podcasts now."/>
    <n v="2784"/>
    <n v="111"/>
    <n v="399"/>
    <n v="58366"/>
    <n v="69512"/>
    <n v="269"/>
    <n v="5.6436966727204192"/>
    <s v="ChillVibes"/>
    <s v="Hashtags Used.1"/>
    <x v="3"/>
  </r>
  <r>
    <s v="Twitter"/>
    <n v="45422"/>
    <s v="Story"/>
    <s v="Explore the latest podcasts now."/>
    <n v="2784"/>
    <n v="111"/>
    <n v="399"/>
    <n v="58366"/>
    <n v="69512"/>
    <n v="269"/>
    <n v="5.6436966727204192"/>
    <s v="ChillVibes"/>
    <s v="Hashtags Used.2"/>
    <x v="1"/>
  </r>
  <r>
    <s v="YouTube"/>
    <n v="45305"/>
    <s v="Text"/>
    <s v="New music just dropped. Hit play!"/>
    <n v="3634"/>
    <n v="280"/>
    <n v="399"/>
    <n v="40256"/>
    <n v="52605"/>
    <n v="213"/>
    <n v="10.713930842607313"/>
    <s v="IndieWave"/>
    <s v="Hashtags Used.1"/>
    <x v="2"/>
  </r>
  <r>
    <s v="YouTube"/>
    <n v="45305"/>
    <s v="Text"/>
    <s v="New music just dropped. Hit play!"/>
    <n v="3634"/>
    <n v="280"/>
    <n v="399"/>
    <n v="40256"/>
    <n v="52605"/>
    <n v="213"/>
    <n v="10.713930842607313"/>
    <s v="IndieWave"/>
    <s v="Hashtags Used.2"/>
    <x v="4"/>
  </r>
  <r>
    <s v="Instagram"/>
    <n v="45669"/>
    <s v="Text"/>
    <s v="From pop to podcasts, itâ€™s all here."/>
    <n v="1771"/>
    <n v="487"/>
    <n v="272"/>
    <n v="48810"/>
    <n v="48084"/>
    <n v="272"/>
    <n v="5.1833640647408314"/>
    <s v="ChillVibes"/>
    <s v="Hashtags Used.1"/>
    <x v="0"/>
  </r>
  <r>
    <s v="Instagram"/>
    <n v="45669"/>
    <s v="Text"/>
    <s v="From pop to podcasts, itâ€™s all here."/>
    <n v="1771"/>
    <n v="487"/>
    <n v="272"/>
    <n v="48810"/>
    <n v="48084"/>
    <n v="272"/>
    <n v="5.1833640647408314"/>
    <s v="ChillVibes"/>
    <s v="Hashtags Used.2"/>
    <x v="1"/>
  </r>
  <r>
    <s v="YouTube"/>
    <n v="45634"/>
    <s v="Text"/>
    <s v="Top trending tracks updated daily!"/>
    <n v="1424"/>
    <n v="396"/>
    <n v="312"/>
    <n v="59517"/>
    <n v="46102"/>
    <n v="239"/>
    <n v="3.5821698002251456"/>
    <s v="IndieWave"/>
    <s v="Hashtags Used.1"/>
    <x v="2"/>
  </r>
  <r>
    <s v="YouTube"/>
    <n v="45634"/>
    <s v="Text"/>
    <s v="Top trending tracks updated daily!"/>
    <n v="1424"/>
    <n v="396"/>
    <n v="312"/>
    <n v="59517"/>
    <n v="46102"/>
    <n v="239"/>
    <n v="3.5821698002251456"/>
    <s v="IndieWave"/>
    <s v="Hashtags Used.2"/>
    <x v="4"/>
  </r>
  <r>
    <s v="Twitter"/>
    <n v="45689"/>
    <s v="Story"/>
    <s v="Top trending tracks updated daily!"/>
    <n v="1079"/>
    <n v="265"/>
    <n v="190"/>
    <n v="43786"/>
    <n v="72428"/>
    <n v="222"/>
    <n v="3.5034029141734799"/>
    <s v="ChillVibes"/>
    <s v="Hashtags Used.1"/>
    <x v="0"/>
  </r>
  <r>
    <s v="Twitter"/>
    <n v="45689"/>
    <s v="Story"/>
    <s v="Top trending tracks updated daily!"/>
    <n v="1079"/>
    <n v="265"/>
    <n v="190"/>
    <n v="43786"/>
    <n v="72428"/>
    <n v="222"/>
    <n v="3.5034029141734799"/>
    <s v="ChillVibes"/>
    <s v="Hashtags Used.2"/>
    <x v="1"/>
  </r>
  <r>
    <s v="Twitter"/>
    <n v="45484"/>
    <s v="Story"/>
    <s v="Get into the groove with our new drop!"/>
    <n v="4247"/>
    <n v="179"/>
    <n v="175"/>
    <n v="32991"/>
    <n v="70120"/>
    <n v="276"/>
    <n v="13.946227759085811"/>
    <s v="ChillVibes"/>
    <s v="Hashtags Used.1"/>
    <x v="0"/>
  </r>
  <r>
    <s v="Twitter"/>
    <n v="45484"/>
    <s v="Story"/>
    <s v="Get into the groove with our new drop!"/>
    <n v="4247"/>
    <n v="179"/>
    <n v="175"/>
    <n v="32991"/>
    <n v="70120"/>
    <n v="276"/>
    <n v="13.946227759085811"/>
    <s v="ChillVibes"/>
    <s v="Hashtags Used.2"/>
    <x v="1"/>
  </r>
  <r>
    <s v="Twitter"/>
    <n v="45369"/>
    <s v="Text"/>
    <s v="New music just dropped. Hit play!"/>
    <n v="2033"/>
    <n v="420"/>
    <n v="94"/>
    <n v="56290"/>
    <n v="57391"/>
    <n v="196"/>
    <n v="4.5247823769763729"/>
    <s v="ChillVibes"/>
    <s v="Hashtags Used.1"/>
    <x v="1"/>
  </r>
  <r>
    <s v="Twitter"/>
    <n v="45547"/>
    <s v="Story"/>
    <s v="Wrapped is here! Relive your top tracks ðŸŽ§"/>
    <n v="1839"/>
    <n v="223"/>
    <n v="171"/>
    <n v="35459"/>
    <n v="69988"/>
    <n v="114"/>
    <n v="6.2974139146620036"/>
    <s v="ChillVibes"/>
    <s v="Hashtags Used.1"/>
    <x v="3"/>
  </r>
  <r>
    <s v="Twitter"/>
    <n v="45547"/>
    <s v="Story"/>
    <s v="Wrapped is here! Relive your top tracks ðŸŽ§"/>
    <n v="1839"/>
    <n v="223"/>
    <n v="171"/>
    <n v="35459"/>
    <n v="69988"/>
    <n v="114"/>
    <n v="6.2974139146620036"/>
    <s v="ChillVibes"/>
    <s v="Hashtags Used.2"/>
    <x v="1"/>
  </r>
  <r>
    <s v="Twitter"/>
    <n v="45302"/>
    <s v="Story"/>
    <s v="Wrapped is here! Relive your top tracks ðŸŽ§"/>
    <n v="2340"/>
    <n v="141"/>
    <n v="206"/>
    <n v="24916"/>
    <n v="30582"/>
    <n v="157"/>
    <n v="10.784235029699792"/>
    <s v="ChillVibes"/>
    <s v="Hashtags Used.1"/>
    <x v="0"/>
  </r>
  <r>
    <s v="Twitter"/>
    <n v="45302"/>
    <s v="Story"/>
    <s v="Wrapped is here! Relive your top tracks ðŸŽ§"/>
    <n v="2340"/>
    <n v="141"/>
    <n v="206"/>
    <n v="24916"/>
    <n v="30582"/>
    <n v="157"/>
    <n v="10.784235029699792"/>
    <s v="ChillVibes"/>
    <s v="Hashtags Used.2"/>
    <x v="1"/>
  </r>
  <r>
    <s v="Instagram"/>
    <n v="45571"/>
    <s v="Text"/>
    <s v="Top trending tracks updated daily!"/>
    <n v="2080"/>
    <n v="389"/>
    <n v="92"/>
    <n v="30971"/>
    <n v="25347"/>
    <n v="111"/>
    <n v="8.269025862904007"/>
    <s v="IndieWave"/>
    <s v="Hashtags Used.1"/>
    <x v="2"/>
  </r>
  <r>
    <s v="Twitter"/>
    <n v="45656"/>
    <s v="Text"/>
    <s v="Get into the groove with our new drop!"/>
    <n v="4214"/>
    <n v="286"/>
    <n v="127"/>
    <n v="47293"/>
    <n v="27184"/>
    <n v="232"/>
    <n v="9.7836889180216957"/>
    <s v="ChillVibes"/>
    <s v="Hashtags Used.1"/>
    <x v="1"/>
  </r>
  <r>
    <s v="Twitter"/>
    <n v="45763"/>
    <s v="Text"/>
    <s v="Wrapped is here! Relive your top tracks ðŸŽ§"/>
    <n v="3792"/>
    <n v="315"/>
    <n v="120"/>
    <n v="54592"/>
    <n v="67886"/>
    <n v="117"/>
    <n v="7.7428927315357567"/>
    <s v="IndieWave"/>
    <s v="Hashtags Used.1"/>
    <x v="0"/>
  </r>
  <r>
    <s v="Twitter"/>
    <n v="45525"/>
    <s v="Story"/>
    <s v="Explore the latest podcasts now."/>
    <n v="3989"/>
    <n v="476"/>
    <n v="128"/>
    <n v="57569"/>
    <n v="40193"/>
    <n v="222"/>
    <n v="7.9782521843353189"/>
    <s v="ChillVibes"/>
    <s v="Hashtags Used.1"/>
    <x v="2"/>
  </r>
  <r>
    <s v="Twitter"/>
    <n v="45525"/>
    <s v="Story"/>
    <s v="Explore the latest podcasts now."/>
    <n v="3989"/>
    <n v="476"/>
    <n v="128"/>
    <n v="57569"/>
    <n v="40193"/>
    <n v="222"/>
    <n v="7.9782521843353189"/>
    <s v="ChillVibes"/>
    <s v="Hashtags Used.2"/>
    <x v="3"/>
  </r>
  <r>
    <s v="Twitter"/>
    <n v="45387"/>
    <s v="Story"/>
    <s v="Wrapped is here! Relive your top tracks ðŸŽ§"/>
    <n v="2857"/>
    <n v="443"/>
    <n v="359"/>
    <n v="51519"/>
    <n v="28256"/>
    <n v="155"/>
    <n v="7.102234127215203"/>
    <s v="ChillVibes"/>
    <s v="Hashtags Used.1"/>
    <x v="0"/>
  </r>
  <r>
    <s v="Twitter"/>
    <n v="45387"/>
    <s v="Story"/>
    <s v="Wrapped is here! Relive your top tracks ðŸŽ§"/>
    <n v="2857"/>
    <n v="443"/>
    <n v="359"/>
    <n v="51519"/>
    <n v="28256"/>
    <n v="155"/>
    <n v="7.102234127215203"/>
    <s v="ChillVibes"/>
    <s v="Hashtags Used.2"/>
    <x v="1"/>
  </r>
  <r>
    <s v="Twitter"/>
    <n v="45754"/>
    <s v="Text"/>
    <s v="From pop to podcasts, itâ€™s all here."/>
    <n v="1403"/>
    <n v="385"/>
    <n v="344"/>
    <n v="54223"/>
    <n v="72595"/>
    <n v="239"/>
    <n v="3.9319108127547353"/>
    <s v="IndieWave"/>
    <s v="Hashtags Used.1"/>
    <x v="0"/>
  </r>
  <r>
    <s v="Twitter"/>
    <n v="45492"/>
    <s v="Story"/>
    <s v="Whatâ€™s your vibe today? #SpotifyHits"/>
    <n v="3071"/>
    <n v="126"/>
    <n v="200"/>
    <n v="44013"/>
    <n v="44679"/>
    <n v="118"/>
    <n v="7.7181741758116917"/>
    <s v="ChillVibes"/>
    <s v="Hashtags Used.1"/>
    <x v="2"/>
  </r>
  <r>
    <s v="Twitter"/>
    <n v="45492"/>
    <s v="Story"/>
    <s v="Whatâ€™s your vibe today? #SpotifyHits"/>
    <n v="3071"/>
    <n v="126"/>
    <n v="200"/>
    <n v="44013"/>
    <n v="44679"/>
    <n v="118"/>
    <n v="7.7181741758116917"/>
    <s v="ChillVibes"/>
    <s v="Hashtags Used.2"/>
    <x v="3"/>
  </r>
  <r>
    <s v="Twitter"/>
    <n v="45780"/>
    <s v="Story"/>
    <s v="Top trending tracks updated daily!"/>
    <n v="1010"/>
    <n v="361"/>
    <n v="240"/>
    <n v="47229"/>
    <n v="72573"/>
    <n v="275"/>
    <n v="3.4110398272247981"/>
    <s v="ChillVibes"/>
    <s v="Hashtags Used.1"/>
    <x v="0"/>
  </r>
  <r>
    <s v="Twitter"/>
    <n v="45780"/>
    <s v="Story"/>
    <s v="Top trending tracks updated daily!"/>
    <n v="1010"/>
    <n v="361"/>
    <n v="240"/>
    <n v="47229"/>
    <n v="72573"/>
    <n v="275"/>
    <n v="3.4110398272247981"/>
    <s v="ChillVibes"/>
    <s v="Hashtags Used.2"/>
    <x v="1"/>
  </r>
  <r>
    <s v="Twitter"/>
    <n v="45396"/>
    <s v="Story"/>
    <s v="Discover fresh beats on Spotify!"/>
    <n v="1295"/>
    <n v="153"/>
    <n v="81"/>
    <n v="48350"/>
    <n v="61033"/>
    <n v="232"/>
    <n v="3.1623578076525334"/>
    <s v="ChillVibes"/>
    <s v="Hashtags Used.1"/>
    <x v="2"/>
  </r>
  <r>
    <s v="Twitter"/>
    <n v="45396"/>
    <s v="Story"/>
    <s v="Discover fresh beats on Spotify!"/>
    <n v="1295"/>
    <n v="153"/>
    <n v="81"/>
    <n v="48350"/>
    <n v="61033"/>
    <n v="232"/>
    <n v="3.1623578076525334"/>
    <s v="ChillVibes"/>
    <s v="Hashtags Used.2"/>
    <x v="3"/>
  </r>
  <r>
    <s v="Twitter"/>
    <n v="45827"/>
    <s v="Story"/>
    <s v="Whatâ€™s your vibe today? #SpotifyHits"/>
    <n v="1433"/>
    <n v="452"/>
    <n v="305"/>
    <n v="54541"/>
    <n v="63700"/>
    <n v="296"/>
    <n v="4.0153279184466735"/>
    <s v="ChillVibes"/>
    <s v="Hashtags Used.1"/>
    <x v="2"/>
  </r>
  <r>
    <s v="Twitter"/>
    <n v="45827"/>
    <s v="Story"/>
    <s v="Whatâ€™s your vibe today? #SpotifyHits"/>
    <n v="1433"/>
    <n v="452"/>
    <n v="305"/>
    <n v="54541"/>
    <n v="63700"/>
    <n v="296"/>
    <n v="4.0153279184466735"/>
    <s v="ChillVibes"/>
    <s v="Hashtags Used.2"/>
    <x v="3"/>
  </r>
  <r>
    <s v="Instagram"/>
    <n v="45832"/>
    <s v="Story"/>
    <s v="Get into the groove with our new drop!"/>
    <n v="4902"/>
    <n v="422"/>
    <n v="376"/>
    <n v="31674"/>
    <n v="53225"/>
    <n v="147"/>
    <n v="17.995832544042432"/>
    <s v="Wrapped2024"/>
    <s v="Hashtags Used.1"/>
    <x v="1"/>
  </r>
  <r>
    <s v="Twitter"/>
    <n v="45574"/>
    <s v="Text"/>
    <s v="Wrapped is here! Relive your top tracks ðŸŽ§"/>
    <n v="2659"/>
    <n v="167"/>
    <n v="73"/>
    <n v="23090"/>
    <n v="25872"/>
    <n v="293"/>
    <n v="12.555218709398009"/>
    <s v="IndieWave"/>
    <s v="Hashtags Used.1"/>
    <x v="0"/>
  </r>
  <r>
    <s v="YouTube"/>
    <n v="45672"/>
    <s v="Text"/>
    <s v="Your weekend playlist is waiting."/>
    <n v="2599"/>
    <n v="324"/>
    <n v="182"/>
    <n v="37525"/>
    <n v="37216"/>
    <n v="186"/>
    <n v="8.2744836775483019"/>
    <s v="IndieWave"/>
    <s v="Hashtags Used.1"/>
    <x v="2"/>
  </r>
  <r>
    <s v="YouTube"/>
    <n v="45672"/>
    <s v="Text"/>
    <s v="Your weekend playlist is waiting."/>
    <n v="2599"/>
    <n v="324"/>
    <n v="182"/>
    <n v="37525"/>
    <n v="37216"/>
    <n v="186"/>
    <n v="8.2744836775483019"/>
    <s v="IndieWave"/>
    <s v="Hashtags Used.2"/>
    <x v="4"/>
  </r>
  <r>
    <s v="Twitter"/>
    <n v="45669"/>
    <s v="Text"/>
    <s v="Music that moves youâ€”only on Spotify."/>
    <n v="1765"/>
    <n v="285"/>
    <n v="100"/>
    <n v="41313"/>
    <n v="56575"/>
    <n v="174"/>
    <n v="5.2041730205988426"/>
    <s v="IndieWave"/>
    <s v="Hashtags Used.1"/>
    <x v="0"/>
  </r>
  <r>
    <s v="Instagram"/>
    <n v="45808"/>
    <s v="Text"/>
    <s v="Whatâ€™s your vibe today? #SpotifyHits"/>
    <n v="2169"/>
    <n v="240"/>
    <n v="57"/>
    <n v="26109"/>
    <n v="46667"/>
    <n v="133"/>
    <n v="9.4450189589796612"/>
    <s v="ChillVibes"/>
    <s v="Hashtags Used.1"/>
    <x v="0"/>
  </r>
  <r>
    <s v="Instagram"/>
    <n v="45808"/>
    <s v="Text"/>
    <s v="Whatâ€™s your vibe today? #SpotifyHits"/>
    <n v="2169"/>
    <n v="240"/>
    <n v="57"/>
    <n v="26109"/>
    <n v="46667"/>
    <n v="133"/>
    <n v="9.4450189589796612"/>
    <s v="ChillVibes"/>
    <s v="Hashtags Used.2"/>
    <x v="1"/>
  </r>
  <r>
    <s v="Twitter"/>
    <n v="45579"/>
    <s v="Story"/>
    <s v="Explore the latest podcasts now."/>
    <n v="4303"/>
    <n v="306"/>
    <n v="302"/>
    <n v="39575"/>
    <n v="33762"/>
    <n v="265"/>
    <n v="12.409349336702464"/>
    <s v="ChillVibes"/>
    <s v="Hashtags Used.1"/>
    <x v="2"/>
  </r>
  <r>
    <s v="Twitter"/>
    <n v="45579"/>
    <s v="Story"/>
    <s v="Explore the latest podcasts now."/>
    <n v="4303"/>
    <n v="306"/>
    <n v="302"/>
    <n v="39575"/>
    <n v="33762"/>
    <n v="265"/>
    <n v="12.409349336702464"/>
    <s v="ChillVibes"/>
    <s v="Hashtags Used.2"/>
    <x v="3"/>
  </r>
  <r>
    <s v="Twitter"/>
    <n v="45332"/>
    <s v="Text"/>
    <s v="From pop to podcasts, itâ€™s all here."/>
    <n v="1519"/>
    <n v="456"/>
    <n v="379"/>
    <n v="51611"/>
    <n v="45880"/>
    <n v="176"/>
    <n v="4.5610431884675746"/>
    <s v="IndieWave"/>
    <s v="Hashtags Used.1"/>
    <x v="0"/>
  </r>
  <r>
    <s v="YouTube"/>
    <n v="45636"/>
    <s v="Text"/>
    <s v="Whatâ€™s your vibe today? #SpotifyHits"/>
    <n v="2569"/>
    <n v="140"/>
    <n v="375"/>
    <n v="38372"/>
    <n v="22102"/>
    <n v="255"/>
    <n v="8.0371103929948919"/>
    <s v="IndieWave"/>
    <s v="Hashtags Used.1"/>
    <x v="2"/>
  </r>
  <r>
    <s v="YouTube"/>
    <n v="45636"/>
    <s v="Text"/>
    <s v="Whatâ€™s your vibe today? #SpotifyHits"/>
    <n v="2569"/>
    <n v="140"/>
    <n v="375"/>
    <n v="38372"/>
    <n v="22102"/>
    <n v="255"/>
    <n v="8.0371103929948919"/>
    <s v="IndieWave"/>
    <s v="Hashtags Used.2"/>
    <x v="4"/>
  </r>
  <r>
    <s v="Twitter"/>
    <n v="45786"/>
    <s v="Story"/>
    <s v="Music that moves youâ€”only on Spotify."/>
    <n v="2778"/>
    <n v="241"/>
    <n v="317"/>
    <n v="26247"/>
    <n v="20677"/>
    <n v="282"/>
    <n v="12.71002400274317"/>
    <s v="ChillVibes"/>
    <s v="Hashtags Used.1"/>
    <x v="3"/>
  </r>
  <r>
    <s v="Twitter"/>
    <n v="45786"/>
    <s v="Story"/>
    <s v="Music that moves youâ€”only on Spotify."/>
    <n v="2778"/>
    <n v="241"/>
    <n v="317"/>
    <n v="26247"/>
    <n v="20677"/>
    <n v="282"/>
    <n v="12.71002400274317"/>
    <s v="ChillVibes"/>
    <s v="Hashtags Used.2"/>
    <x v="1"/>
  </r>
  <r>
    <s v="Twitter"/>
    <n v="45829"/>
    <s v="Text"/>
    <s v="Explore the latest podcasts now."/>
    <n v="3611"/>
    <n v="127"/>
    <n v="139"/>
    <n v="44768"/>
    <n v="29435"/>
    <n v="178"/>
    <n v="8.6602037169406714"/>
    <s v="ChillVibes"/>
    <s v="Hashtags Used.1"/>
    <x v="1"/>
  </r>
  <r>
    <s v="Twitter"/>
    <n v="45462"/>
    <s v="Text"/>
    <s v="Whatâ€™s your vibe today? #SpotifyHits"/>
    <n v="1224"/>
    <n v="168"/>
    <n v="199"/>
    <n v="54232"/>
    <n v="52844"/>
    <n v="271"/>
    <n v="2.9336922849977873"/>
    <s v="IndieWave"/>
    <s v="Hashtags Used.1"/>
    <x v="0"/>
  </r>
  <r>
    <s v="Twitter"/>
    <n v="45636"/>
    <s v="Text"/>
    <s v="From pop to podcasts, itâ€™s all here."/>
    <n v="4673"/>
    <n v="270"/>
    <n v="93"/>
    <n v="45260"/>
    <n v="57513"/>
    <n v="103"/>
    <n v="11.126822801590809"/>
    <s v="ChillVibes"/>
    <s v="Hashtags Used.1"/>
    <x v="1"/>
  </r>
  <r>
    <s v="YouTube"/>
    <n v="45323"/>
    <s v="Text"/>
    <s v="Wrapped is here! Relive your top tracks ðŸŽ§"/>
    <n v="1432"/>
    <n v="437"/>
    <n v="267"/>
    <n v="40634"/>
    <n v="54511"/>
    <n v="197"/>
    <n v="5.2566815966924256"/>
    <s v="IndieWave"/>
    <s v="Hashtags Used.1"/>
    <x v="2"/>
  </r>
  <r>
    <s v="YouTube"/>
    <n v="45323"/>
    <s v="Text"/>
    <s v="Wrapped is here! Relive your top tracks ðŸŽ§"/>
    <n v="1432"/>
    <n v="437"/>
    <n v="267"/>
    <n v="40634"/>
    <n v="54511"/>
    <n v="197"/>
    <n v="5.2566815966924256"/>
    <s v="IndieWave"/>
    <s v="Hashtags Used.2"/>
    <x v="4"/>
  </r>
  <r>
    <s v="Twitter"/>
    <n v="45308"/>
    <s v="Story"/>
    <s v="New music just dropped. Hit play!"/>
    <n v="2174"/>
    <n v="499"/>
    <n v="212"/>
    <n v="54938"/>
    <n v="27190"/>
    <n v="265"/>
    <n v="5.2513742764570974"/>
    <s v="ChillVibes"/>
    <s v="Hashtags Used.1"/>
    <x v="3"/>
  </r>
  <r>
    <s v="Twitter"/>
    <n v="45308"/>
    <s v="Story"/>
    <s v="New music just dropped. Hit play!"/>
    <n v="2174"/>
    <n v="499"/>
    <n v="212"/>
    <n v="54938"/>
    <n v="27190"/>
    <n v="265"/>
    <n v="5.2513742764570974"/>
    <s v="ChillVibes"/>
    <s v="Hashtags Used.2"/>
    <x v="1"/>
  </r>
  <r>
    <s v="YouTube"/>
    <n v="45738"/>
    <s v="Text"/>
    <s v="Music that moves youâ€”only on Spotify."/>
    <n v="4308"/>
    <n v="171"/>
    <n v="106"/>
    <n v="36955"/>
    <n v="23949"/>
    <n v="294"/>
    <n v="12.406981463942634"/>
    <s v="IndieWave"/>
    <s v="Hashtags Used.1"/>
    <x v="2"/>
  </r>
  <r>
    <s v="YouTube"/>
    <n v="45738"/>
    <s v="Text"/>
    <s v="Music that moves youâ€”only on Spotify."/>
    <n v="4308"/>
    <n v="171"/>
    <n v="106"/>
    <n v="36955"/>
    <n v="23949"/>
    <n v="294"/>
    <n v="12.406981463942634"/>
    <s v="IndieWave"/>
    <s v="Hashtags Used.2"/>
    <x v="4"/>
  </r>
  <r>
    <s v="YouTube"/>
    <n v="45442"/>
    <s v="Reel"/>
    <s v="Whatâ€™s your vibe today? #SpotifyHits"/>
    <n v="1060"/>
    <n v="442"/>
    <n v="319"/>
    <n v="57194"/>
    <n v="24258"/>
    <n v="101"/>
    <n v="3.1839004091338254"/>
    <s v="SummerBeats"/>
    <s v="Hashtags Used.1"/>
    <x v="2"/>
  </r>
  <r>
    <s v="YouTube"/>
    <n v="45442"/>
    <s v="Reel"/>
    <s v="Whatâ€™s your vibe today? #SpotifyHits"/>
    <n v="1060"/>
    <n v="442"/>
    <n v="319"/>
    <n v="57194"/>
    <n v="24258"/>
    <n v="101"/>
    <n v="3.1839004091338254"/>
    <s v="SummerBeats"/>
    <s v="Hashtags Used.2"/>
    <x v="0"/>
  </r>
  <r>
    <s v="YouTube"/>
    <n v="45346"/>
    <s v="Text"/>
    <s v="Music that moves youâ€”only on Spotify."/>
    <n v="4653"/>
    <n v="226"/>
    <n v="349"/>
    <n v="56876"/>
    <n v="28452"/>
    <n v="257"/>
    <n v="9.1919262958013928"/>
    <s v="IndieWave"/>
    <s v="Hashtags Used.1"/>
    <x v="2"/>
  </r>
  <r>
    <s v="YouTube"/>
    <n v="45346"/>
    <s v="Text"/>
    <s v="Music that moves youâ€”only on Spotify."/>
    <n v="4653"/>
    <n v="226"/>
    <n v="349"/>
    <n v="56876"/>
    <n v="28452"/>
    <n v="257"/>
    <n v="9.1919262958013928"/>
    <s v="IndieWave"/>
    <s v="Hashtags Used.2"/>
    <x v="4"/>
  </r>
  <r>
    <s v="YouTube"/>
    <n v="45791"/>
    <s v="Text"/>
    <s v="Discover fresh beats on Spotify!"/>
    <n v="1701"/>
    <n v="272"/>
    <n v="385"/>
    <n v="47496"/>
    <n v="40832"/>
    <n v="246"/>
    <n v="4.9646286003031834"/>
    <s v="IndieWave"/>
    <s v="Hashtags Used.1"/>
    <x v="2"/>
  </r>
  <r>
    <s v="YouTube"/>
    <n v="45791"/>
    <s v="Text"/>
    <s v="Discover fresh beats on Spotify!"/>
    <n v="1701"/>
    <n v="272"/>
    <n v="385"/>
    <n v="47496"/>
    <n v="40832"/>
    <n v="246"/>
    <n v="4.9646286003031834"/>
    <s v="IndieWave"/>
    <s v="Hashtags Used.2"/>
    <x v="4"/>
  </r>
  <r>
    <s v="Instagram"/>
    <n v="45379"/>
    <s v="Text"/>
    <s v="Whatâ€™s your vibe today? #SpotifyHits"/>
    <n v="1673"/>
    <n v="280"/>
    <n v="67"/>
    <n v="29847"/>
    <n v="48016"/>
    <n v="213"/>
    <n v="6.7678493650953202"/>
    <s v="ChillVibes"/>
    <s v="Hashtags Used.1"/>
    <x v="0"/>
  </r>
  <r>
    <s v="Instagram"/>
    <n v="45379"/>
    <s v="Text"/>
    <s v="Whatâ€™s your vibe today? #SpotifyHits"/>
    <n v="1673"/>
    <n v="280"/>
    <n v="67"/>
    <n v="29847"/>
    <n v="48016"/>
    <n v="213"/>
    <n v="6.7678493650953202"/>
    <s v="ChillVibes"/>
    <s v="Hashtags Used.2"/>
    <x v="1"/>
  </r>
  <r>
    <s v="YouTube"/>
    <n v="45723"/>
    <s v="Text"/>
    <s v="Top trending tracks updated daily!"/>
    <n v="4310"/>
    <n v="284"/>
    <n v="306"/>
    <n v="44606"/>
    <n v="42604"/>
    <n v="290"/>
    <n v="10.985069273191947"/>
    <s v="IndieWave"/>
    <s v="Hashtags Used.1"/>
    <x v="2"/>
  </r>
  <r>
    <s v="YouTube"/>
    <n v="45723"/>
    <s v="Text"/>
    <s v="Top trending tracks updated daily!"/>
    <n v="4310"/>
    <n v="284"/>
    <n v="306"/>
    <n v="44606"/>
    <n v="42604"/>
    <n v="290"/>
    <n v="10.985069273191947"/>
    <s v="IndieWave"/>
    <s v="Hashtags Used.2"/>
    <x v="4"/>
  </r>
  <r>
    <s v="Twitter"/>
    <n v="45585"/>
    <s v="Text"/>
    <s v="From pop to podcasts, itâ€™s all here."/>
    <n v="2752"/>
    <n v="309"/>
    <n v="91"/>
    <n v="39038"/>
    <n v="28095"/>
    <n v="277"/>
    <n v="8.0741841282852604"/>
    <s v="ChillVibes"/>
    <s v="Hashtags Used.1"/>
    <x v="1"/>
  </r>
  <r>
    <s v="Twitter"/>
    <n v="45324"/>
    <s v="Text"/>
    <s v="From pop to podcasts, itâ€™s all here."/>
    <n v="3818"/>
    <n v="115"/>
    <n v="286"/>
    <n v="25127"/>
    <n v="22277"/>
    <n v="263"/>
    <n v="16.790703227603775"/>
    <s v="ChillVibes"/>
    <s v="Hashtags Used.1"/>
    <x v="1"/>
  </r>
  <r>
    <s v="YouTube"/>
    <n v="45542"/>
    <s v="Text"/>
    <s v="Your weekend playlist is waiting."/>
    <n v="2101"/>
    <n v="411"/>
    <n v="190"/>
    <n v="41791"/>
    <n v="57090"/>
    <n v="172"/>
    <n v="6.4655069273288515"/>
    <s v="IndieWave"/>
    <s v="Hashtags Used.1"/>
    <x v="2"/>
  </r>
  <r>
    <s v="YouTube"/>
    <n v="45542"/>
    <s v="Text"/>
    <s v="Your weekend playlist is waiting."/>
    <n v="2101"/>
    <n v="411"/>
    <n v="190"/>
    <n v="41791"/>
    <n v="57090"/>
    <n v="172"/>
    <n v="6.4655069273288515"/>
    <s v="IndieWave"/>
    <s v="Hashtags Used.2"/>
    <x v="4"/>
  </r>
  <r>
    <s v="Instagram"/>
    <n v="45646"/>
    <s v="Text"/>
    <s v="Discover fresh beats on Spotify!"/>
    <n v="2519"/>
    <n v="202"/>
    <n v="239"/>
    <n v="36245"/>
    <n v="48606"/>
    <n v="145"/>
    <n v="8.166643674989654"/>
    <s v="IndieWave"/>
    <s v="Hashtags Used.1"/>
    <x v="2"/>
  </r>
  <r>
    <s v="YouTube"/>
    <n v="45305"/>
    <s v="Text"/>
    <s v="Whatâ€™s your vibe today? #SpotifyHits"/>
    <n v="4502"/>
    <n v="238"/>
    <n v="386"/>
    <n v="39198"/>
    <n v="25050"/>
    <n v="297"/>
    <n v="13.077197816215113"/>
    <s v="IndieWave"/>
    <s v="Hashtags Used.1"/>
    <x v="2"/>
  </r>
  <r>
    <s v="YouTube"/>
    <n v="45305"/>
    <s v="Text"/>
    <s v="Whatâ€™s your vibe today? #SpotifyHits"/>
    <n v="4502"/>
    <n v="238"/>
    <n v="386"/>
    <n v="39198"/>
    <n v="25050"/>
    <n v="297"/>
    <n v="13.077197816215113"/>
    <s v="IndieWave"/>
    <s v="Hashtags Used.2"/>
    <x v="4"/>
  </r>
  <r>
    <s v="Instagram"/>
    <n v="45823"/>
    <s v="Text"/>
    <s v="Explore the latest podcasts now."/>
    <n v="2478"/>
    <n v="427"/>
    <n v="242"/>
    <n v="59272"/>
    <n v="37833"/>
    <n v="214"/>
    <n v="5.3094209744904841"/>
    <s v="ChillVibes"/>
    <s v="Hashtags Used.1"/>
    <x v="0"/>
  </r>
  <r>
    <s v="Instagram"/>
    <n v="45823"/>
    <s v="Text"/>
    <s v="Explore the latest podcasts now."/>
    <n v="2478"/>
    <n v="427"/>
    <n v="242"/>
    <n v="59272"/>
    <n v="37833"/>
    <n v="214"/>
    <n v="5.3094209744904841"/>
    <s v="ChillVibes"/>
    <s v="Hashtags Used.2"/>
    <x v="1"/>
  </r>
  <r>
    <s v="Twitter"/>
    <n v="45639"/>
    <s v="Story"/>
    <s v="New music just dropped. Hit play!"/>
    <n v="4984"/>
    <n v="300"/>
    <n v="338"/>
    <n v="32900"/>
    <n v="31691"/>
    <n v="160"/>
    <n v="17.088145896656535"/>
    <s v="ChillVibes"/>
    <s v="Hashtags Used.1"/>
    <x v="3"/>
  </r>
  <r>
    <s v="Twitter"/>
    <n v="45639"/>
    <s v="Story"/>
    <s v="New music just dropped. Hit play!"/>
    <n v="4984"/>
    <n v="300"/>
    <n v="338"/>
    <n v="32900"/>
    <n v="31691"/>
    <n v="160"/>
    <n v="17.088145896656535"/>
    <s v="ChillVibes"/>
    <s v="Hashtags Used.2"/>
    <x v="1"/>
  </r>
  <r>
    <s v="YouTube"/>
    <n v="45533"/>
    <s v="Text"/>
    <s v="Wrapped is here! Relive your top tracks ðŸŽ§"/>
    <n v="4774"/>
    <n v="389"/>
    <n v="358"/>
    <n v="52346"/>
    <n v="30518"/>
    <n v="277"/>
    <n v="10.547128720437092"/>
    <s v="IndieWave"/>
    <s v="Hashtags Used.1"/>
    <x v="2"/>
  </r>
  <r>
    <s v="YouTube"/>
    <n v="45533"/>
    <s v="Text"/>
    <s v="Wrapped is here! Relive your top tracks ðŸŽ§"/>
    <n v="4774"/>
    <n v="389"/>
    <n v="358"/>
    <n v="52346"/>
    <n v="30518"/>
    <n v="277"/>
    <n v="10.547128720437092"/>
    <s v="IndieWave"/>
    <s v="Hashtags Used.2"/>
    <x v="4"/>
  </r>
  <r>
    <s v="Twitter"/>
    <n v="45550"/>
    <s v="Text"/>
    <s v="Get into the groove with our new drop!"/>
    <n v="2145"/>
    <n v="340"/>
    <n v="85"/>
    <n v="53323"/>
    <n v="49938"/>
    <n v="104"/>
    <n v="4.8196838137389122"/>
    <s v="ChillVibes"/>
    <s v="Hashtags Used.1"/>
    <x v="1"/>
  </r>
  <r>
    <s v="Twitter"/>
    <n v="45759"/>
    <s v="Story"/>
    <s v="From pop to podcasts, itâ€™s all here."/>
    <n v="4315"/>
    <n v="208"/>
    <n v="273"/>
    <n v="35780"/>
    <n v="44349"/>
    <n v="133"/>
    <n v="13.404136389044158"/>
    <s v="ChillVibes"/>
    <s v="Hashtags Used.1"/>
    <x v="2"/>
  </r>
  <r>
    <s v="Twitter"/>
    <n v="45759"/>
    <s v="Story"/>
    <s v="From pop to podcasts, itâ€™s all here."/>
    <n v="4315"/>
    <n v="208"/>
    <n v="273"/>
    <n v="35780"/>
    <n v="44349"/>
    <n v="133"/>
    <n v="13.404136389044158"/>
    <s v="ChillVibes"/>
    <s v="Hashtags Used.2"/>
    <x v="3"/>
  </r>
  <r>
    <s v="Twitter"/>
    <n v="45636"/>
    <s v="Story"/>
    <s v="Wrapped is here! Relive your top tracks ðŸŽ§"/>
    <n v="2267"/>
    <n v="230"/>
    <n v="243"/>
    <n v="27904"/>
    <n v="69771"/>
    <n v="255"/>
    <n v="9.8193807339449553"/>
    <s v="ChillVibes"/>
    <s v="Hashtags Used.1"/>
    <x v="2"/>
  </r>
  <r>
    <s v="Twitter"/>
    <n v="45636"/>
    <s v="Story"/>
    <s v="Wrapped is here! Relive your top tracks ðŸŽ§"/>
    <n v="2267"/>
    <n v="230"/>
    <n v="243"/>
    <n v="27904"/>
    <n v="69771"/>
    <n v="255"/>
    <n v="9.8193807339449553"/>
    <s v="ChillVibes"/>
    <s v="Hashtags Used.2"/>
    <x v="3"/>
  </r>
  <r>
    <s v="YouTube"/>
    <n v="45816"/>
    <s v="Text"/>
    <s v="Music that moves youâ€”only on Spotify."/>
    <n v="4375"/>
    <n v="303"/>
    <n v="294"/>
    <n v="57468"/>
    <n v="53397"/>
    <n v="159"/>
    <n v="8.6517714206166918"/>
    <s v="IndieWave"/>
    <s v="Hashtags Used.1"/>
    <x v="2"/>
  </r>
  <r>
    <s v="YouTube"/>
    <n v="45816"/>
    <s v="Text"/>
    <s v="Music that moves youâ€”only on Spotify."/>
    <n v="4375"/>
    <n v="303"/>
    <n v="294"/>
    <n v="57468"/>
    <n v="53397"/>
    <n v="159"/>
    <n v="8.6517714206166918"/>
    <s v="IndieWave"/>
    <s v="Hashtags Used.2"/>
    <x v="4"/>
  </r>
  <r>
    <s v="Twitter"/>
    <n v="45666"/>
    <s v="Story"/>
    <s v="Your weekend playlist is waiting."/>
    <n v="3817"/>
    <n v="284"/>
    <n v="204"/>
    <n v="46434"/>
    <n v="53396"/>
    <n v="104"/>
    <n v="9.271223672309084"/>
    <s v="ChillVibes"/>
    <s v="Hashtags Used.1"/>
    <x v="3"/>
  </r>
  <r>
    <s v="Twitter"/>
    <n v="45666"/>
    <s v="Story"/>
    <s v="Your weekend playlist is waiting."/>
    <n v="3817"/>
    <n v="284"/>
    <n v="204"/>
    <n v="46434"/>
    <n v="53396"/>
    <n v="104"/>
    <n v="9.271223672309084"/>
    <s v="ChillVibes"/>
    <s v="Hashtags Used.2"/>
    <x v="1"/>
  </r>
  <r>
    <s v="Twitter"/>
    <n v="45481"/>
    <s v="Story"/>
    <s v="Top trending tracks updated daily!"/>
    <n v="2981"/>
    <n v="258"/>
    <n v="168"/>
    <n v="20677"/>
    <n v="68290"/>
    <n v="130"/>
    <n v="16.477245248343568"/>
    <s v="ChillVibes"/>
    <s v="Hashtags Used.1"/>
    <x v="0"/>
  </r>
  <r>
    <s v="Twitter"/>
    <n v="45481"/>
    <s v="Story"/>
    <s v="Top trending tracks updated daily!"/>
    <n v="2981"/>
    <n v="258"/>
    <n v="168"/>
    <n v="20677"/>
    <n v="68290"/>
    <n v="130"/>
    <n v="16.477245248343568"/>
    <s v="ChillVibes"/>
    <s v="Hashtags Used.2"/>
    <x v="1"/>
  </r>
  <r>
    <s v="Twitter"/>
    <n v="45551"/>
    <s v="Story"/>
    <s v="Your weekend playlist is waiting."/>
    <n v="3300"/>
    <n v="354"/>
    <n v="397"/>
    <n v="56773"/>
    <n v="72110"/>
    <n v="163"/>
    <n v="7.1354340971940893"/>
    <s v="ChillVibes"/>
    <s v="Hashtags Used.1"/>
    <x v="2"/>
  </r>
  <r>
    <s v="Twitter"/>
    <n v="45551"/>
    <s v="Story"/>
    <s v="Your weekend playlist is waiting."/>
    <n v="3300"/>
    <n v="354"/>
    <n v="397"/>
    <n v="56773"/>
    <n v="72110"/>
    <n v="163"/>
    <n v="7.1354340971940893"/>
    <s v="ChillVibes"/>
    <s v="Hashtags Used.2"/>
    <x v="3"/>
  </r>
  <r>
    <s v="YouTube"/>
    <n v="45457"/>
    <s v="Reel"/>
    <s v="Wrapped is here! Relive your top tracks ðŸŽ§"/>
    <n v="4722"/>
    <n v="310"/>
    <n v="344"/>
    <n v="27911"/>
    <n v="19000"/>
    <n v="225"/>
    <n v="19.261223173659133"/>
    <s v="SummerBeats"/>
    <s v="Hashtags Used.1"/>
    <x v="2"/>
  </r>
  <r>
    <s v="YouTube"/>
    <n v="45457"/>
    <s v="Reel"/>
    <s v="Wrapped is here! Relive your top tracks ðŸŽ§"/>
    <n v="4722"/>
    <n v="310"/>
    <n v="344"/>
    <n v="27911"/>
    <n v="19000"/>
    <n v="225"/>
    <n v="19.261223173659133"/>
    <s v="SummerBeats"/>
    <s v="Hashtags Used.2"/>
    <x v="0"/>
  </r>
  <r>
    <s v="Instagram"/>
    <n v="45357"/>
    <s v="Text"/>
    <s v="Whatâ€™s your vibe today? #SpotifyHits"/>
    <n v="3529"/>
    <n v="263"/>
    <n v="107"/>
    <n v="26570"/>
    <n v="19367"/>
    <n v="96"/>
    <n v="14.674444862627023"/>
    <s v="IndieWave"/>
    <s v="Hashtags Used.1"/>
    <x v="2"/>
  </r>
  <r>
    <s v="Twitter"/>
    <n v="45792"/>
    <s v="Text"/>
    <s v="Your weekend playlist is waiting."/>
    <n v="4782"/>
    <n v="210"/>
    <n v="311"/>
    <n v="29793"/>
    <n v="37543"/>
    <n v="145"/>
    <n v="17.79948310005706"/>
    <s v="ChillVibes"/>
    <s v="Hashtags Used.1"/>
    <x v="1"/>
  </r>
  <r>
    <s v="Twitter"/>
    <n v="45480"/>
    <s v="Text"/>
    <s v="Whatâ€™s your vibe today? #SpotifyHits"/>
    <n v="1848"/>
    <n v="417"/>
    <n v="294"/>
    <n v="57819"/>
    <n v="19798"/>
    <n v="262"/>
    <n v="4.4258807658382189"/>
    <s v="IndieWave"/>
    <s v="Hashtags Used.1"/>
    <x v="0"/>
  </r>
  <r>
    <s v="YouTube"/>
    <n v="45591"/>
    <s v="Text"/>
    <s v="New music just dropped. Hit play!"/>
    <n v="4676"/>
    <n v="211"/>
    <n v="55"/>
    <n v="45917"/>
    <n v="73503"/>
    <n v="248"/>
    <n v="10.762898272970794"/>
    <s v="IndieWave"/>
    <s v="Hashtags Used.1"/>
    <x v="2"/>
  </r>
  <r>
    <s v="YouTube"/>
    <n v="45591"/>
    <s v="Text"/>
    <s v="New music just dropped. Hit play!"/>
    <n v="4676"/>
    <n v="211"/>
    <n v="55"/>
    <n v="45917"/>
    <n v="73503"/>
    <n v="248"/>
    <n v="10.762898272970794"/>
    <s v="IndieWave"/>
    <s v="Hashtags Used.2"/>
    <x v="4"/>
  </r>
  <r>
    <s v="YouTube"/>
    <n v="45512"/>
    <s v="Text"/>
    <s v="From pop to podcasts, itâ€™s all here."/>
    <n v="1994"/>
    <n v="197"/>
    <n v="290"/>
    <n v="49500"/>
    <n v="23343"/>
    <n v="160"/>
    <n v="5.0121212121212118"/>
    <s v="IndieWave"/>
    <s v="Hashtags Used.1"/>
    <x v="2"/>
  </r>
  <r>
    <s v="YouTube"/>
    <n v="45512"/>
    <s v="Text"/>
    <s v="From pop to podcasts, itâ€™s all here."/>
    <n v="1994"/>
    <n v="197"/>
    <n v="290"/>
    <n v="49500"/>
    <n v="23343"/>
    <n v="160"/>
    <n v="5.0121212121212118"/>
    <s v="IndieWave"/>
    <s v="Hashtags Used.2"/>
    <x v="4"/>
  </r>
  <r>
    <s v="Twitter"/>
    <n v="45691"/>
    <s v="Text"/>
    <s v="Whatâ€™s your vibe today? #SpotifyHits"/>
    <n v="4995"/>
    <n v="231"/>
    <n v="94"/>
    <n v="34431"/>
    <n v="32560"/>
    <n v="262"/>
    <n v="15.451192239551567"/>
    <s v="ChillVibes"/>
    <s v="Hashtags Used.1"/>
    <x v="1"/>
  </r>
  <r>
    <s v="Twitter"/>
    <n v="45385"/>
    <s v="Story"/>
    <s v="Top trending tracks updated daily!"/>
    <n v="2291"/>
    <n v="146"/>
    <n v="399"/>
    <n v="49319"/>
    <n v="28056"/>
    <n v="90"/>
    <n v="5.750319349540745"/>
    <s v="ChillVibes"/>
    <s v="Hashtags Used.1"/>
    <x v="2"/>
  </r>
  <r>
    <s v="Twitter"/>
    <n v="45385"/>
    <s v="Story"/>
    <s v="Top trending tracks updated daily!"/>
    <n v="2291"/>
    <n v="146"/>
    <n v="399"/>
    <n v="49319"/>
    <n v="28056"/>
    <n v="90"/>
    <n v="5.750319349540745"/>
    <s v="ChillVibes"/>
    <s v="Hashtags Used.2"/>
    <x v="3"/>
  </r>
  <r>
    <s v="Twitter"/>
    <n v="45481"/>
    <s v="Story"/>
    <s v="Wrapped is here! Relive your top tracks ðŸŽ§"/>
    <n v="2304"/>
    <n v="289"/>
    <n v="161"/>
    <n v="52645"/>
    <n v="66262"/>
    <n v="146"/>
    <n v="5.2312660271630733"/>
    <s v="ChillVibes"/>
    <s v="Hashtags Used.1"/>
    <x v="3"/>
  </r>
  <r>
    <s v="Twitter"/>
    <n v="45481"/>
    <s v="Story"/>
    <s v="Wrapped is here! Relive your top tracks ðŸŽ§"/>
    <n v="2304"/>
    <n v="289"/>
    <n v="161"/>
    <n v="52645"/>
    <n v="66262"/>
    <n v="146"/>
    <n v="5.2312660271630733"/>
    <s v="ChillVibes"/>
    <s v="Hashtags Used.2"/>
    <x v="1"/>
  </r>
  <r>
    <s v="Twitter"/>
    <n v="45451"/>
    <s v="Story"/>
    <s v="Top trending tracks updated daily!"/>
    <n v="3413"/>
    <n v="326"/>
    <n v="86"/>
    <n v="44680"/>
    <n v="52719"/>
    <n v="272"/>
    <n v="8.5608773500447626"/>
    <s v="ChillVibes"/>
    <s v="Hashtags Used.1"/>
    <x v="2"/>
  </r>
  <r>
    <s v="Twitter"/>
    <n v="45451"/>
    <s v="Story"/>
    <s v="Top trending tracks updated daily!"/>
    <n v="3413"/>
    <n v="326"/>
    <n v="86"/>
    <n v="44680"/>
    <n v="52719"/>
    <n v="272"/>
    <n v="8.5608773500447626"/>
    <s v="ChillVibes"/>
    <s v="Hashtags Used.2"/>
    <x v="3"/>
  </r>
  <r>
    <s v="YouTube"/>
    <n v="45736"/>
    <s v="Reel"/>
    <s v="From pop to podcasts, itâ€™s all here."/>
    <n v="1453"/>
    <n v="156"/>
    <n v="178"/>
    <n v="52980"/>
    <n v="57180"/>
    <n v="286"/>
    <n v="3.3729709324273314"/>
    <s v="SummerBeats"/>
    <s v="Hashtags Used.1"/>
    <x v="2"/>
  </r>
  <r>
    <s v="YouTube"/>
    <n v="45736"/>
    <s v="Reel"/>
    <s v="From pop to podcasts, itâ€™s all here."/>
    <n v="1453"/>
    <n v="156"/>
    <n v="178"/>
    <n v="52980"/>
    <n v="57180"/>
    <n v="286"/>
    <n v="3.3729709324273314"/>
    <s v="SummerBeats"/>
    <s v="Hashtags Used.2"/>
    <x v="0"/>
  </r>
  <r>
    <s v="Twitter"/>
    <n v="45676"/>
    <s v="Story"/>
    <s v="Music that moves youâ€”only on Spotify."/>
    <n v="1651"/>
    <n v="480"/>
    <n v="282"/>
    <n v="32140"/>
    <n v="70560"/>
    <n v="138"/>
    <n v="7.5077784691972624"/>
    <s v="ChillVibes"/>
    <s v="Hashtags Used.1"/>
    <x v="0"/>
  </r>
  <r>
    <s v="Twitter"/>
    <n v="45676"/>
    <s v="Story"/>
    <s v="Music that moves youâ€”only on Spotify."/>
    <n v="1651"/>
    <n v="480"/>
    <n v="282"/>
    <n v="32140"/>
    <n v="70560"/>
    <n v="138"/>
    <n v="7.5077784691972624"/>
    <s v="ChillVibes"/>
    <s v="Hashtags Used.2"/>
    <x v="1"/>
  </r>
  <r>
    <s v="Twitter"/>
    <n v="45662"/>
    <s v="Story"/>
    <s v="Explore the latest podcasts now."/>
    <n v="3341"/>
    <n v="154"/>
    <n v="123"/>
    <n v="43369"/>
    <n v="49035"/>
    <n v="128"/>
    <n v="8.3423643616408025"/>
    <s v="ChillVibes"/>
    <s v="Hashtags Used.1"/>
    <x v="3"/>
  </r>
  <r>
    <s v="Twitter"/>
    <n v="45662"/>
    <s v="Story"/>
    <s v="Explore the latest podcasts now."/>
    <n v="3341"/>
    <n v="154"/>
    <n v="123"/>
    <n v="43369"/>
    <n v="49035"/>
    <n v="128"/>
    <n v="8.3423643616408025"/>
    <s v="ChillVibes"/>
    <s v="Hashtags Used.2"/>
    <x v="1"/>
  </r>
  <r>
    <s v="Twitter"/>
    <n v="45612"/>
    <s v="Text"/>
    <s v="From pop to podcasts, itâ€™s all here."/>
    <n v="2972"/>
    <n v="263"/>
    <n v="308"/>
    <n v="51740"/>
    <n v="28214"/>
    <n v="190"/>
    <n v="6.8477000386548124"/>
    <s v="IndieWave"/>
    <s v="Hashtags Used.1"/>
    <x v="0"/>
  </r>
  <r>
    <s v="Twitter"/>
    <n v="45626"/>
    <s v="Story"/>
    <s v="Explore the latest podcasts now."/>
    <n v="4963"/>
    <n v="255"/>
    <n v="193"/>
    <n v="44386"/>
    <n v="28415"/>
    <n v="174"/>
    <n v="12.190780876853061"/>
    <s v="ChillVibes"/>
    <s v="Hashtags Used.1"/>
    <x v="3"/>
  </r>
  <r>
    <s v="Twitter"/>
    <n v="45626"/>
    <s v="Story"/>
    <s v="Explore the latest podcasts now."/>
    <n v="4963"/>
    <n v="255"/>
    <n v="193"/>
    <n v="44386"/>
    <n v="28415"/>
    <n v="174"/>
    <n v="12.190780876853061"/>
    <s v="ChillVibes"/>
    <s v="Hashtags Used.2"/>
    <x v="1"/>
  </r>
  <r>
    <s v="YouTube"/>
    <n v="45378"/>
    <s v="Text"/>
    <s v="Music that moves youâ€”only on Spotify."/>
    <n v="2399"/>
    <n v="191"/>
    <n v="221"/>
    <n v="51603"/>
    <n v="40033"/>
    <n v="173"/>
    <n v="5.4473577117609437"/>
    <s v="IndieWave"/>
    <s v="Hashtags Used.1"/>
    <x v="2"/>
  </r>
  <r>
    <s v="YouTube"/>
    <n v="45378"/>
    <s v="Text"/>
    <s v="Music that moves youâ€”only on Spotify."/>
    <n v="2399"/>
    <n v="191"/>
    <n v="221"/>
    <n v="51603"/>
    <n v="40033"/>
    <n v="173"/>
    <n v="5.4473577117609437"/>
    <s v="IndieWave"/>
    <s v="Hashtags Used.2"/>
    <x v="4"/>
  </r>
  <r>
    <s v="YouTube"/>
    <n v="45808"/>
    <s v="Reel"/>
    <s v="Get into the groove with our new drop!"/>
    <n v="2162"/>
    <n v="318"/>
    <n v="83"/>
    <n v="46719"/>
    <n v="20482"/>
    <n v="185"/>
    <n v="5.4859907104176031"/>
    <s v="SummerBeats"/>
    <s v="Hashtags Used.1"/>
    <x v="2"/>
  </r>
  <r>
    <s v="YouTube"/>
    <n v="45808"/>
    <s v="Reel"/>
    <s v="Get into the groove with our new drop!"/>
    <n v="2162"/>
    <n v="318"/>
    <n v="83"/>
    <n v="46719"/>
    <n v="20482"/>
    <n v="185"/>
    <n v="5.4859907104176031"/>
    <s v="SummerBeats"/>
    <s v="Hashtags Used.2"/>
    <x v="0"/>
  </r>
  <r>
    <s v="Twitter"/>
    <n v="45825"/>
    <s v="Story"/>
    <s v="Explore the latest podcasts now."/>
    <n v="4341"/>
    <n v="141"/>
    <n v="63"/>
    <n v="50081"/>
    <n v="27507"/>
    <n v="221"/>
    <n v="9.0752980172121163"/>
    <s v="ChillVibes"/>
    <s v="Hashtags Used.1"/>
    <x v="2"/>
  </r>
  <r>
    <s v="Twitter"/>
    <n v="45825"/>
    <s v="Story"/>
    <s v="Explore the latest podcasts now."/>
    <n v="4341"/>
    <n v="141"/>
    <n v="63"/>
    <n v="50081"/>
    <n v="27507"/>
    <n v="221"/>
    <n v="9.0752980172121163"/>
    <s v="ChillVibes"/>
    <s v="Hashtags Used.2"/>
    <x v="3"/>
  </r>
  <r>
    <s v="Instagram"/>
    <n v="45442"/>
    <s v="Story"/>
    <s v="Get into the groove with our new drop!"/>
    <n v="2448"/>
    <n v="464"/>
    <n v="98"/>
    <n v="25737"/>
    <n v="48545"/>
    <n v="246"/>
    <n v="11.695224773672146"/>
    <s v="Wrapped2024"/>
    <s v="Hashtags Used.1"/>
    <x v="1"/>
  </r>
  <r>
    <s v="YouTube"/>
    <n v="45604"/>
    <s v="Text"/>
    <s v="Top trending tracks updated daily!"/>
    <n v="2471"/>
    <n v="166"/>
    <n v="320"/>
    <n v="48254"/>
    <n v="46900"/>
    <n v="111"/>
    <n v="6.127989389480665"/>
    <s v="IndieWave"/>
    <s v="Hashtags Used.1"/>
    <x v="2"/>
  </r>
  <r>
    <s v="YouTube"/>
    <n v="45604"/>
    <s v="Text"/>
    <s v="Top trending tracks updated daily!"/>
    <n v="2471"/>
    <n v="166"/>
    <n v="320"/>
    <n v="48254"/>
    <n v="46900"/>
    <n v="111"/>
    <n v="6.127989389480665"/>
    <s v="IndieWave"/>
    <s v="Hashtags Used.2"/>
    <x v="4"/>
  </r>
  <r>
    <s v="YouTube"/>
    <n v="45368"/>
    <s v="Reel"/>
    <s v="Explore the latest podcasts now."/>
    <n v="2692"/>
    <n v="446"/>
    <n v="216"/>
    <n v="45818"/>
    <n v="62723"/>
    <n v="85"/>
    <n v="7.3202671439172375"/>
    <s v="SummerBeats"/>
    <s v="Hashtags Used.1"/>
    <x v="2"/>
  </r>
  <r>
    <s v="YouTube"/>
    <n v="45368"/>
    <s v="Reel"/>
    <s v="Explore the latest podcasts now."/>
    <n v="2692"/>
    <n v="446"/>
    <n v="216"/>
    <n v="45818"/>
    <n v="62723"/>
    <n v="85"/>
    <n v="7.3202671439172375"/>
    <s v="SummerBeats"/>
    <s v="Hashtags Used.2"/>
    <x v="0"/>
  </r>
  <r>
    <s v="YouTube"/>
    <n v="45464"/>
    <s v="Reel"/>
    <s v="Music that moves youâ€”only on Spotify."/>
    <n v="4621"/>
    <n v="374"/>
    <n v="298"/>
    <n v="56979"/>
    <n v="24098"/>
    <n v="205"/>
    <n v="9.2893873181347502"/>
    <s v="SummerBeats"/>
    <s v="Hashtags Used.1"/>
    <x v="2"/>
  </r>
  <r>
    <s v="YouTube"/>
    <n v="45464"/>
    <s v="Reel"/>
    <s v="Music that moves youâ€”only on Spotify."/>
    <n v="4621"/>
    <n v="374"/>
    <n v="298"/>
    <n v="56979"/>
    <n v="24098"/>
    <n v="205"/>
    <n v="9.2893873181347502"/>
    <s v="SummerBeats"/>
    <s v="Hashtags Used.2"/>
    <x v="0"/>
  </r>
  <r>
    <s v="Twitter"/>
    <n v="45609"/>
    <s v="Story"/>
    <s v="New music just dropped. Hit play!"/>
    <n v="1409"/>
    <n v="466"/>
    <n v="105"/>
    <n v="58923"/>
    <n v="38753"/>
    <n v="265"/>
    <n v="3.3603177027646249"/>
    <s v="ChillVibes"/>
    <s v="Hashtags Used.1"/>
    <x v="2"/>
  </r>
  <r>
    <s v="Twitter"/>
    <n v="45609"/>
    <s v="Story"/>
    <s v="New music just dropped. Hit play!"/>
    <n v="1409"/>
    <n v="466"/>
    <n v="105"/>
    <n v="58923"/>
    <n v="38753"/>
    <n v="265"/>
    <n v="3.3603177027646249"/>
    <s v="ChillVibes"/>
    <s v="Hashtags Used.2"/>
    <x v="3"/>
  </r>
  <r>
    <s v="Twitter"/>
    <n v="45693"/>
    <s v="Story"/>
    <s v="Discover fresh beats on Spotify!"/>
    <n v="3029"/>
    <n v="440"/>
    <n v="66"/>
    <n v="23815"/>
    <n v="47895"/>
    <n v="210"/>
    <n v="14.843585975225698"/>
    <s v="ChillVibes"/>
    <s v="Hashtags Used.1"/>
    <x v="2"/>
  </r>
  <r>
    <s v="Twitter"/>
    <n v="45693"/>
    <s v="Story"/>
    <s v="Discover fresh beats on Spotify!"/>
    <n v="3029"/>
    <n v="440"/>
    <n v="66"/>
    <n v="23815"/>
    <n v="47895"/>
    <n v="210"/>
    <n v="14.843585975225698"/>
    <s v="ChillVibes"/>
    <s v="Hashtags Used.2"/>
    <x v="3"/>
  </r>
  <r>
    <s v="Twitter"/>
    <n v="45603"/>
    <s v="Text"/>
    <s v="Explore the latest podcasts now."/>
    <n v="2229"/>
    <n v="395"/>
    <n v="328"/>
    <n v="56921"/>
    <n v="37176"/>
    <n v="126"/>
    <n v="5.1861351697967359"/>
    <s v="IndieWave"/>
    <s v="Hashtags Used.1"/>
    <x v="0"/>
  </r>
  <r>
    <s v="Twitter"/>
    <n v="45334"/>
    <s v="Text"/>
    <s v="Explore the latest podcasts now."/>
    <n v="2691"/>
    <n v="486"/>
    <n v="206"/>
    <n v="51133"/>
    <n v="44583"/>
    <n v="276"/>
    <n v="6.6160796354604656"/>
    <s v="ChillVibes"/>
    <s v="Hashtags Used.1"/>
    <x v="1"/>
  </r>
  <r>
    <s v="Instagram"/>
    <n v="45573"/>
    <s v="Text"/>
    <s v="Explore the latest podcasts now."/>
    <n v="2110"/>
    <n v="384"/>
    <n v="236"/>
    <n v="49965"/>
    <n v="61555"/>
    <n v="195"/>
    <n v="5.4638246772740917"/>
    <s v="IndieWave"/>
    <s v="Hashtags Used.1"/>
    <x v="2"/>
  </r>
  <r>
    <s v="Instagram"/>
    <n v="45341"/>
    <s v="Text"/>
    <s v="Wrapped is here! Relive your top tracks ðŸŽ§"/>
    <n v="4752"/>
    <n v="449"/>
    <n v="309"/>
    <n v="58530"/>
    <n v="26630"/>
    <n v="234"/>
    <n v="9.413975738937296"/>
    <s v="IndieWave"/>
    <s v="Hashtags Used.1"/>
    <x v="2"/>
  </r>
  <r>
    <s v="Twitter"/>
    <n v="45720"/>
    <s v="Text"/>
    <s v="Discover fresh beats on Spotify!"/>
    <n v="2177"/>
    <n v="258"/>
    <n v="292"/>
    <n v="47276"/>
    <n v="51324"/>
    <n v="143"/>
    <n v="5.7682545054573149"/>
    <s v="ChillVibes"/>
    <s v="Hashtags Used.1"/>
    <x v="1"/>
  </r>
  <r>
    <s v="Instagram"/>
    <n v="45691"/>
    <s v="Story"/>
    <s v="New music just dropped. Hit play!"/>
    <n v="1205"/>
    <n v="486"/>
    <n v="269"/>
    <n v="23341"/>
    <n v="42411"/>
    <n v="184"/>
    <n v="8.3972409065592739"/>
    <s v="Wrapped2024"/>
    <s v="Hashtags Used.1"/>
    <x v="1"/>
  </r>
  <r>
    <s v="Instagram"/>
    <n v="45628"/>
    <s v="Text"/>
    <s v="Top trending tracks updated daily!"/>
    <n v="3194"/>
    <n v="292"/>
    <n v="245"/>
    <n v="56371"/>
    <n v="65597"/>
    <n v="163"/>
    <n v="6.6186514342481058"/>
    <s v="ChillVibes"/>
    <s v="Hashtags Used.1"/>
    <x v="0"/>
  </r>
  <r>
    <s v="Instagram"/>
    <n v="45628"/>
    <s v="Text"/>
    <s v="Top trending tracks updated daily!"/>
    <n v="3194"/>
    <n v="292"/>
    <n v="245"/>
    <n v="56371"/>
    <n v="65597"/>
    <n v="163"/>
    <n v="6.6186514342481058"/>
    <s v="ChillVibes"/>
    <s v="Hashtags Used.2"/>
    <x v="1"/>
  </r>
  <r>
    <s v="Twitter"/>
    <n v="45676"/>
    <s v="Story"/>
    <s v="New music just dropped. Hit play!"/>
    <n v="3507"/>
    <n v="295"/>
    <n v="371"/>
    <n v="20410"/>
    <n v="53965"/>
    <n v="212"/>
    <n v="20.445859872611464"/>
    <s v="ChillVibes"/>
    <s v="Hashtags Used.1"/>
    <x v="0"/>
  </r>
  <r>
    <s v="Twitter"/>
    <n v="45676"/>
    <s v="Story"/>
    <s v="New music just dropped. Hit play!"/>
    <n v="3507"/>
    <n v="295"/>
    <n v="371"/>
    <n v="20410"/>
    <n v="53965"/>
    <n v="212"/>
    <n v="20.445859872611464"/>
    <s v="ChillVibes"/>
    <s v="Hashtags Used.2"/>
    <x v="1"/>
  </r>
  <r>
    <s v="Twitter"/>
    <n v="45563"/>
    <s v="Story"/>
    <s v="Wrapped is here! Relive your top tracks ðŸŽ§"/>
    <n v="4471"/>
    <n v="317"/>
    <n v="249"/>
    <n v="44862"/>
    <n v="33365"/>
    <n v="184"/>
    <n v="11.22776514644911"/>
    <s v="ChillVibes"/>
    <s v="Hashtags Used.1"/>
    <x v="2"/>
  </r>
  <r>
    <s v="Twitter"/>
    <n v="45563"/>
    <s v="Story"/>
    <s v="Wrapped is here! Relive your top tracks ðŸŽ§"/>
    <n v="4471"/>
    <n v="317"/>
    <n v="249"/>
    <n v="44862"/>
    <n v="33365"/>
    <n v="184"/>
    <n v="11.22776514644911"/>
    <s v="ChillVibes"/>
    <s v="Hashtags Used.2"/>
    <x v="3"/>
  </r>
  <r>
    <s v="Instagram"/>
    <n v="45298"/>
    <s v="Text"/>
    <s v="Top trending tracks updated daily!"/>
    <n v="4931"/>
    <n v="469"/>
    <n v="193"/>
    <n v="56701"/>
    <n v="69437"/>
    <n v="291"/>
    <n v="9.8640235621946708"/>
    <s v="ChillVibes"/>
    <s v="Hashtags Used.1"/>
    <x v="0"/>
  </r>
  <r>
    <s v="Instagram"/>
    <n v="45298"/>
    <s v="Text"/>
    <s v="Top trending tracks updated daily!"/>
    <n v="4931"/>
    <n v="469"/>
    <n v="193"/>
    <n v="56701"/>
    <n v="69437"/>
    <n v="291"/>
    <n v="9.8640235621946708"/>
    <s v="ChillVibes"/>
    <s v="Hashtags Used.2"/>
    <x v="1"/>
  </r>
  <r>
    <s v="Twitter"/>
    <n v="45343"/>
    <s v="Story"/>
    <s v="Get into the groove with our new drop!"/>
    <n v="2604"/>
    <n v="439"/>
    <n v="148"/>
    <n v="58468"/>
    <n v="39629"/>
    <n v="163"/>
    <n v="5.4576862557296293"/>
    <s v="ChillVibes"/>
    <s v="Hashtags Used.1"/>
    <x v="3"/>
  </r>
  <r>
    <s v="Twitter"/>
    <n v="45343"/>
    <s v="Story"/>
    <s v="Get into the groove with our new drop!"/>
    <n v="2604"/>
    <n v="439"/>
    <n v="148"/>
    <n v="58468"/>
    <n v="39629"/>
    <n v="163"/>
    <n v="5.4576862557296293"/>
    <s v="ChillVibes"/>
    <s v="Hashtags Used.2"/>
    <x v="1"/>
  </r>
  <r>
    <s v="Instagram"/>
    <n v="45531"/>
    <s v="Text"/>
    <s v="Music that moves youâ€”only on Spotify."/>
    <n v="4197"/>
    <n v="359"/>
    <n v="280"/>
    <n v="56048"/>
    <n v="70930"/>
    <n v="295"/>
    <n v="8.6283185840707954"/>
    <s v="IndieWave"/>
    <s v="Hashtags Used.1"/>
    <x v="2"/>
  </r>
  <r>
    <s v="Instagram"/>
    <n v="45589"/>
    <s v="Story"/>
    <s v="Top trending tracks updated daily!"/>
    <n v="1914"/>
    <n v="255"/>
    <n v="156"/>
    <n v="27660"/>
    <n v="47776"/>
    <n v="111"/>
    <n v="8.405639913232104"/>
    <s v="Wrapped2024"/>
    <s v="Hashtags Used.1"/>
    <x v="1"/>
  </r>
  <r>
    <s v="YouTube"/>
    <n v="45686"/>
    <s v="Text"/>
    <s v="New music just dropped. Hit play!"/>
    <n v="1334"/>
    <n v="357"/>
    <n v="257"/>
    <n v="56910"/>
    <n v="70606"/>
    <n v="228"/>
    <n v="3.4229485151994381"/>
    <s v="IndieWave"/>
    <s v="Hashtags Used.1"/>
    <x v="2"/>
  </r>
  <r>
    <s v="YouTube"/>
    <n v="45686"/>
    <s v="Text"/>
    <s v="New music just dropped. Hit play!"/>
    <n v="1334"/>
    <n v="357"/>
    <n v="257"/>
    <n v="56910"/>
    <n v="70606"/>
    <n v="228"/>
    <n v="3.4229485151994381"/>
    <s v="IndieWave"/>
    <s v="Hashtags Used.2"/>
    <x v="4"/>
  </r>
  <r>
    <s v="Instagram"/>
    <n v="45413"/>
    <s v="Text"/>
    <s v="Get into the groove with our new drop!"/>
    <n v="3359"/>
    <n v="137"/>
    <n v="387"/>
    <n v="33861"/>
    <n v="47257"/>
    <n v="198"/>
    <n v="11.467469950680725"/>
    <s v="IndieWave"/>
    <s v="Hashtags Used.1"/>
    <x v="2"/>
  </r>
  <r>
    <s v="YouTube"/>
    <n v="45468"/>
    <s v="Text"/>
    <s v="Your weekend playlist is waiting."/>
    <n v="2172"/>
    <n v="338"/>
    <n v="70"/>
    <n v="30515"/>
    <n v="57853"/>
    <n v="156"/>
    <n v="8.4548582664263474"/>
    <s v="IndieWave"/>
    <s v="Hashtags Used.1"/>
    <x v="2"/>
  </r>
  <r>
    <s v="YouTube"/>
    <n v="45468"/>
    <s v="Text"/>
    <s v="Your weekend playlist is waiting."/>
    <n v="2172"/>
    <n v="338"/>
    <n v="70"/>
    <n v="30515"/>
    <n v="57853"/>
    <n v="156"/>
    <n v="8.4548582664263474"/>
    <s v="IndieWave"/>
    <s v="Hashtags Used.2"/>
    <x v="4"/>
  </r>
  <r>
    <s v="Twitter"/>
    <n v="45513"/>
    <s v="Story"/>
    <s v="From pop to podcasts, itâ€™s all here."/>
    <n v="4877"/>
    <n v="442"/>
    <n v="236"/>
    <n v="52673"/>
    <n v="48241"/>
    <n v="114"/>
    <n v="10.546200140489436"/>
    <s v="ChillVibes"/>
    <s v="Hashtags Used.1"/>
    <x v="2"/>
  </r>
  <r>
    <s v="Twitter"/>
    <n v="45513"/>
    <s v="Story"/>
    <s v="From pop to podcasts, itâ€™s all here."/>
    <n v="4877"/>
    <n v="442"/>
    <n v="236"/>
    <n v="52673"/>
    <n v="48241"/>
    <n v="114"/>
    <n v="10.546200140489436"/>
    <s v="ChillVibes"/>
    <s v="Hashtags Used.2"/>
    <x v="3"/>
  </r>
  <r>
    <s v="Instagram"/>
    <n v="45678"/>
    <s v="Story"/>
    <s v="New music just dropped. Hit play!"/>
    <n v="4918"/>
    <n v="440"/>
    <n v="149"/>
    <n v="53269"/>
    <n v="64370"/>
    <n v="269"/>
    <n v="10.338095327488784"/>
    <s v="Wrapped2024"/>
    <s v="Hashtags Used.1"/>
    <x v="1"/>
  </r>
  <r>
    <s v="Twitter"/>
    <n v="45517"/>
    <s v="Text"/>
    <s v="Explore the latest podcasts now."/>
    <n v="3418"/>
    <n v="107"/>
    <n v="221"/>
    <n v="23927"/>
    <n v="26182"/>
    <n v="155"/>
    <n v="15.65595352530614"/>
    <s v="IndieWave"/>
    <s v="Hashtags Used.1"/>
    <x v="0"/>
  </r>
  <r>
    <s v="Instagram"/>
    <n v="45472"/>
    <s v="Text"/>
    <s v="Your weekend playlist is waiting."/>
    <n v="2088"/>
    <n v="490"/>
    <n v="124"/>
    <n v="46544"/>
    <n v="69346"/>
    <n v="178"/>
    <n v="5.8052595393606046"/>
    <s v="ChillVibes"/>
    <s v="Hashtags Used.1"/>
    <x v="0"/>
  </r>
  <r>
    <s v="Instagram"/>
    <n v="45472"/>
    <s v="Text"/>
    <s v="Your weekend playlist is waiting."/>
    <n v="2088"/>
    <n v="490"/>
    <n v="124"/>
    <n v="46544"/>
    <n v="69346"/>
    <n v="178"/>
    <n v="5.8052595393606046"/>
    <s v="ChillVibes"/>
    <s v="Hashtags Used.2"/>
    <x v="1"/>
  </r>
  <r>
    <s v="Twitter"/>
    <n v="45599"/>
    <s v="Story"/>
    <s v="Explore the latest podcasts now."/>
    <n v="3061"/>
    <n v="320"/>
    <n v="76"/>
    <n v="26640"/>
    <n v="24306"/>
    <n v="112"/>
    <n v="12.976726726726726"/>
    <s v="ChillVibes"/>
    <s v="Hashtags Used.1"/>
    <x v="3"/>
  </r>
  <r>
    <s v="Twitter"/>
    <n v="45599"/>
    <s v="Story"/>
    <s v="Explore the latest podcasts now."/>
    <n v="3061"/>
    <n v="320"/>
    <n v="76"/>
    <n v="26640"/>
    <n v="24306"/>
    <n v="112"/>
    <n v="12.976726726726726"/>
    <s v="ChillVibes"/>
    <s v="Hashtags Used.2"/>
    <x v="1"/>
  </r>
  <r>
    <s v="YouTube"/>
    <n v="45765"/>
    <s v="Reel"/>
    <s v="Your weekend playlist is waiting."/>
    <n v="1265"/>
    <n v="230"/>
    <n v="364"/>
    <n v="41312"/>
    <n v="50382"/>
    <n v="106"/>
    <n v="4.4999031758326877"/>
    <s v="SummerBeats"/>
    <s v="Hashtags Used.1"/>
    <x v="2"/>
  </r>
  <r>
    <s v="YouTube"/>
    <n v="45765"/>
    <s v="Reel"/>
    <s v="Your weekend playlist is waiting."/>
    <n v="1265"/>
    <n v="230"/>
    <n v="364"/>
    <n v="41312"/>
    <n v="50382"/>
    <n v="106"/>
    <n v="4.4999031758326877"/>
    <s v="SummerBeats"/>
    <s v="Hashtags Used.2"/>
    <x v="0"/>
  </r>
  <r>
    <s v="Instagram"/>
    <n v="45653"/>
    <s v="Text"/>
    <s v="From pop to podcasts, itâ€™s all here."/>
    <n v="1436"/>
    <n v="219"/>
    <n v="229"/>
    <n v="58488"/>
    <n v="24314"/>
    <n v="147"/>
    <n v="3.2211735740664751"/>
    <s v="IndieWave"/>
    <s v="Hashtags Used.1"/>
    <x v="2"/>
  </r>
  <r>
    <s v="Instagram"/>
    <n v="45724"/>
    <s v="Story"/>
    <s v="Top trending tracks updated daily!"/>
    <n v="2244"/>
    <n v="392"/>
    <n v="231"/>
    <n v="25834"/>
    <n v="50906"/>
    <n v="165"/>
    <n v="11.097778121854921"/>
    <s v="Wrapped2024"/>
    <s v="Hashtags Used.1"/>
    <x v="1"/>
  </r>
  <r>
    <s v="Twitter"/>
    <n v="45736"/>
    <s v="Story"/>
    <s v="Your weekend playlist is waiting."/>
    <n v="3393"/>
    <n v="104"/>
    <n v="79"/>
    <n v="30025"/>
    <n v="21593"/>
    <n v="165"/>
    <n v="11.910074937552039"/>
    <s v="ChillVibes"/>
    <s v="Hashtags Used.1"/>
    <x v="3"/>
  </r>
  <r>
    <s v="Twitter"/>
    <n v="45736"/>
    <s v="Story"/>
    <s v="Your weekend playlist is waiting."/>
    <n v="3393"/>
    <n v="104"/>
    <n v="79"/>
    <n v="30025"/>
    <n v="21593"/>
    <n v="165"/>
    <n v="11.910074937552039"/>
    <s v="ChillVibes"/>
    <s v="Hashtags Used.2"/>
    <x v="1"/>
  </r>
  <r>
    <s v="Twitter"/>
    <n v="45612"/>
    <s v="Text"/>
    <s v="Explore the latest podcasts now."/>
    <n v="2901"/>
    <n v="108"/>
    <n v="86"/>
    <n v="51777"/>
    <n v="23773"/>
    <n v="160"/>
    <n v="5.9775576027966082"/>
    <s v="IndieWave"/>
    <s v="Hashtags Used.1"/>
    <x v="0"/>
  </r>
  <r>
    <s v="Twitter"/>
    <n v="45838"/>
    <s v="Text"/>
    <s v="Whatâ€™s your vibe today? #SpotifyHits"/>
    <n v="2275"/>
    <n v="285"/>
    <n v="125"/>
    <n v="43970"/>
    <n v="74761"/>
    <n v="83"/>
    <n v="6.1064362065044353"/>
    <s v="ChillVibes"/>
    <s v="Hashtags Used.1"/>
    <x v="1"/>
  </r>
  <r>
    <s v="Twitter"/>
    <n v="45303"/>
    <s v="Story"/>
    <s v="Wrapped is here! Relive your top tracks ðŸŽ§"/>
    <n v="2227"/>
    <n v="494"/>
    <n v="161"/>
    <n v="51651"/>
    <n v="68074"/>
    <n v="240"/>
    <n v="5.5797564422760448"/>
    <s v="ChillVibes"/>
    <s v="Hashtags Used.1"/>
    <x v="2"/>
  </r>
  <r>
    <s v="Twitter"/>
    <n v="45303"/>
    <s v="Story"/>
    <s v="Wrapped is here! Relive your top tracks ðŸŽ§"/>
    <n v="2227"/>
    <n v="494"/>
    <n v="161"/>
    <n v="51651"/>
    <n v="68074"/>
    <n v="240"/>
    <n v="5.5797564422760448"/>
    <s v="ChillVibes"/>
    <s v="Hashtags Used.2"/>
    <x v="3"/>
  </r>
  <r>
    <s v="Instagram"/>
    <n v="45329"/>
    <s v="Text"/>
    <s v="Music that moves youâ€”only on Spotify."/>
    <n v="1883"/>
    <n v="432"/>
    <n v="397"/>
    <n v="28759"/>
    <n v="18691"/>
    <n v="270"/>
    <n v="9.4300914496331583"/>
    <s v="ChillVibes"/>
    <s v="Hashtags Used.1"/>
    <x v="0"/>
  </r>
  <r>
    <s v="Instagram"/>
    <n v="45329"/>
    <s v="Text"/>
    <s v="Music that moves youâ€”only on Spotify."/>
    <n v="1883"/>
    <n v="432"/>
    <n v="397"/>
    <n v="28759"/>
    <n v="18691"/>
    <n v="270"/>
    <n v="9.4300914496331583"/>
    <s v="ChillVibes"/>
    <s v="Hashtags Used.2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2414"/>
    <n v="245"/>
    <n v="137"/>
    <n v="21181"/>
    <n v="45292"/>
    <n v="133"/>
    <s v="#SoundtrackOfLife,#NowPlaying"/>
    <x v="0"/>
  </r>
  <r>
    <n v="1934"/>
    <n v="210"/>
    <n v="393"/>
    <n v="29129"/>
    <n v="73287"/>
    <n v="273"/>
    <s v="#DiscoverWeekly"/>
    <x v="1"/>
  </r>
  <r>
    <n v="3092"/>
    <n v="177"/>
    <n v="81"/>
    <n v="47533"/>
    <n v="29220"/>
    <n v="121"/>
    <s v="#MusicForEveryone,#NowPlaying"/>
    <x v="0"/>
  </r>
  <r>
    <n v="3173"/>
    <n v="229"/>
    <n v="197"/>
    <n v="29604"/>
    <n v="21809"/>
    <n v="272"/>
    <s v="#SoundtrackOfLife,#NowPlaying"/>
    <x v="0"/>
  </r>
  <r>
    <n v="2748"/>
    <n v="145"/>
    <n v="315"/>
    <n v="24401"/>
    <n v="61182"/>
    <n v="200"/>
    <s v="#DiscoverWeekly,#SpotifyWrapped"/>
    <x v="1"/>
  </r>
  <r>
    <n v="3882"/>
    <n v="239"/>
    <n v="275"/>
    <n v="58748"/>
    <n v="44646"/>
    <n v="149"/>
    <s v="#DiscoverWeekly,#SpotifyWrapped"/>
    <x v="1"/>
  </r>
  <r>
    <n v="4674"/>
    <n v="409"/>
    <n v="327"/>
    <n v="20756"/>
    <n v="63599"/>
    <n v="212"/>
    <s v="#SoundtrackOfLife,#NowPlaying"/>
    <x v="0"/>
  </r>
  <r>
    <n v="1428"/>
    <n v="347"/>
    <n v="67"/>
    <n v="21148"/>
    <n v="19712"/>
    <n v="120"/>
    <s v="#DiscoverWeekly,#MusicForEveryone"/>
    <x v="0"/>
  </r>
  <r>
    <n v="4432"/>
    <n v="223"/>
    <n v="299"/>
    <n v="59016"/>
    <n v="21742"/>
    <n v="171"/>
    <s v="#NowPlaying"/>
    <x v="0"/>
  </r>
  <r>
    <n v="2357"/>
    <n v="274"/>
    <n v="172"/>
    <n v="21566"/>
    <n v="66829"/>
    <n v="284"/>
    <s v="#NowPlaying"/>
    <x v="0"/>
  </r>
  <r>
    <n v="1971"/>
    <n v="370"/>
    <n v="306"/>
    <n v="31316"/>
    <n v="27897"/>
    <n v="88"/>
    <s v="#SoundtrackOfLife"/>
    <x v="1"/>
  </r>
  <r>
    <n v="1485"/>
    <n v="353"/>
    <n v="244"/>
    <n v="38419"/>
    <n v="38556"/>
    <n v="86"/>
    <s v="#SoundtrackOfLife,#NowPlaying"/>
    <x v="0"/>
  </r>
  <r>
    <n v="3956"/>
    <n v="319"/>
    <n v="61"/>
    <n v="58162"/>
    <n v="28720"/>
    <n v="213"/>
    <s v="#MusicForEveryone,#NowPlaying"/>
    <x v="0"/>
  </r>
  <r>
    <n v="2460"/>
    <n v="409"/>
    <n v="253"/>
    <n v="36702"/>
    <n v="46122"/>
    <n v="264"/>
    <s v="#NowPlaying"/>
    <x v="0"/>
  </r>
  <r>
    <n v="3476"/>
    <n v="355"/>
    <n v="396"/>
    <n v="37492"/>
    <n v="27285"/>
    <n v="179"/>
    <s v="#NowPlaying"/>
    <x v="0"/>
  </r>
  <r>
    <n v="4049"/>
    <n v="377"/>
    <n v="94"/>
    <n v="48182"/>
    <n v="42875"/>
    <n v="172"/>
    <s v="#MusicForEveryone,#NowPlaying"/>
    <x v="0"/>
  </r>
  <r>
    <n v="1514"/>
    <n v="164"/>
    <n v="275"/>
    <n v="41364"/>
    <n v="44389"/>
    <n v="83"/>
    <s v="#NowPlaying"/>
    <x v="0"/>
  </r>
  <r>
    <n v="4281"/>
    <n v="101"/>
    <n v="163"/>
    <n v="32278"/>
    <n v="53382"/>
    <n v="235"/>
    <s v="#NowPlaying"/>
    <x v="2"/>
  </r>
  <r>
    <n v="1751"/>
    <n v="143"/>
    <n v="151"/>
    <n v="31826"/>
    <n v="47729"/>
    <n v="95"/>
    <s v="#DiscoverWeekly,#SoundtrackOfLife"/>
    <x v="3"/>
  </r>
  <r>
    <n v="3753"/>
    <n v="411"/>
    <n v="308"/>
    <n v="29138"/>
    <n v="27678"/>
    <n v="90"/>
    <s v="#DiscoverWeekly"/>
    <x v="1"/>
  </r>
  <r>
    <n v="1678"/>
    <n v="423"/>
    <n v="323"/>
    <n v="55668"/>
    <n v="37945"/>
    <n v="230"/>
    <s v="#NowPlaying"/>
    <x v="2"/>
  </r>
  <r>
    <n v="4896"/>
    <n v="466"/>
    <n v="233"/>
    <n v="28621"/>
    <n v="34270"/>
    <n v="84"/>
    <s v="#SoundtrackOfLife,#NowPlaying"/>
    <x v="0"/>
  </r>
  <r>
    <n v="2786"/>
    <n v="368"/>
    <n v="208"/>
    <n v="42000"/>
    <n v="39967"/>
    <n v="103"/>
    <s v="#DiscoverWeekly,#SoundtrackOfLife"/>
    <x v="3"/>
  </r>
  <r>
    <n v="2607"/>
    <n v="379"/>
    <n v="180"/>
    <n v="28712"/>
    <n v="61620"/>
    <n v="174"/>
    <s v="#SoundtrackOfLife"/>
    <x v="1"/>
  </r>
  <r>
    <n v="4013"/>
    <n v="320"/>
    <n v="92"/>
    <n v="54605"/>
    <n v="60169"/>
    <n v="232"/>
    <s v="#DiscoverWeekly,#SoundtrackOfLife"/>
    <x v="3"/>
  </r>
  <r>
    <n v="2707"/>
    <n v="103"/>
    <n v="51"/>
    <n v="55302"/>
    <n v="18801"/>
    <n v="147"/>
    <s v="#DiscoverWeekly,#MusicForEveryone"/>
    <x v="0"/>
  </r>
  <r>
    <n v="2824"/>
    <n v="425"/>
    <n v="274"/>
    <n v="31004"/>
    <n v="53488"/>
    <n v="268"/>
    <s v="#SoundtrackOfLife,#NowPlaying"/>
    <x v="0"/>
  </r>
  <r>
    <n v="3558"/>
    <n v="314"/>
    <n v="199"/>
    <n v="49612"/>
    <n v="53929"/>
    <n v="206"/>
    <s v="#DiscoverWeekly,#SoundtrackOfLife"/>
    <x v="3"/>
  </r>
  <r>
    <n v="3418"/>
    <n v="188"/>
    <n v="387"/>
    <n v="57431"/>
    <n v="36933"/>
    <n v="202"/>
    <s v="#MusicForEveryone,#NowPlaying"/>
    <x v="0"/>
  </r>
  <r>
    <n v="2411"/>
    <n v="194"/>
    <n v="168"/>
    <n v="26665"/>
    <n v="71699"/>
    <n v="197"/>
    <s v="#NowPlaying"/>
    <x v="0"/>
  </r>
  <r>
    <n v="4036"/>
    <n v="112"/>
    <n v="382"/>
    <n v="56284"/>
    <n v="29440"/>
    <n v="279"/>
    <s v="#SoundtrackOfLife,#NowPlaying"/>
    <x v="0"/>
  </r>
  <r>
    <n v="2776"/>
    <n v="307"/>
    <n v="178"/>
    <n v="43365"/>
    <n v="48408"/>
    <n v="138"/>
    <s v="#SoundtrackOfLife,#NowPlaying"/>
    <x v="0"/>
  </r>
  <r>
    <n v="4929"/>
    <n v="182"/>
    <n v="95"/>
    <n v="32181"/>
    <n v="31084"/>
    <n v="289"/>
    <s v="#DiscoverWeekly,#MusicForEveryone"/>
    <x v="0"/>
  </r>
  <r>
    <n v="1015"/>
    <n v="366"/>
    <n v="308"/>
    <n v="38127"/>
    <n v="63790"/>
    <n v="287"/>
    <s v="#SoundtrackOfLife,#NowPlaying"/>
    <x v="0"/>
  </r>
  <r>
    <n v="3316"/>
    <n v="332"/>
    <n v="268"/>
    <n v="40095"/>
    <n v="36913"/>
    <n v="265"/>
    <s v="#MusicForEveryone,#NowPlaying"/>
    <x v="0"/>
  </r>
  <r>
    <n v="2274"/>
    <n v="243"/>
    <n v="222"/>
    <n v="43066"/>
    <n v="59174"/>
    <n v="80"/>
    <s v="#DiscoverWeekly"/>
    <x v="1"/>
  </r>
  <r>
    <n v="4095"/>
    <n v="385"/>
    <n v="400"/>
    <n v="45300"/>
    <n v="31795"/>
    <n v="80"/>
    <s v="#MusicForEveryone,#NowPlaying"/>
    <x v="0"/>
  </r>
  <r>
    <n v="1230"/>
    <n v="309"/>
    <n v="207"/>
    <n v="44629"/>
    <n v="40699"/>
    <n v="195"/>
    <s v="#NowPlaying"/>
    <x v="2"/>
  </r>
  <r>
    <n v="1341"/>
    <n v="472"/>
    <n v="238"/>
    <n v="51386"/>
    <n v="51706"/>
    <n v="133"/>
    <s v="#DiscoverWeekly"/>
    <x v="1"/>
  </r>
  <r>
    <n v="3615"/>
    <n v="192"/>
    <n v="162"/>
    <n v="27492"/>
    <n v="35341"/>
    <n v="125"/>
    <s v="#NowPlaying"/>
    <x v="0"/>
  </r>
  <r>
    <n v="4001"/>
    <n v="353"/>
    <n v="129"/>
    <n v="41265"/>
    <n v="37279"/>
    <n v="275"/>
    <s v="#SoundtrackOfLife,#NowPlaying"/>
    <x v="0"/>
  </r>
  <r>
    <n v="3451"/>
    <n v="363"/>
    <n v="393"/>
    <n v="44853"/>
    <n v="69032"/>
    <n v="211"/>
    <s v="#NowPlaying"/>
    <x v="2"/>
  </r>
  <r>
    <n v="4891"/>
    <n v="450"/>
    <n v="387"/>
    <n v="48746"/>
    <n v="37312"/>
    <n v="154"/>
    <s v="#SoundtrackOfLife,#NowPlaying"/>
    <x v="0"/>
  </r>
  <r>
    <n v="1452"/>
    <n v="281"/>
    <n v="326"/>
    <n v="51556"/>
    <n v="62599"/>
    <n v="290"/>
    <s v="#DiscoverWeekly"/>
    <x v="1"/>
  </r>
  <r>
    <n v="3806"/>
    <n v="114"/>
    <n v="278"/>
    <n v="36148"/>
    <n v="24209"/>
    <n v="201"/>
    <s v="#DiscoverWeekly,#SpotifyWrapped"/>
    <x v="1"/>
  </r>
  <r>
    <n v="2923"/>
    <n v="330"/>
    <n v="250"/>
    <n v="23993"/>
    <n v="74590"/>
    <n v="92"/>
    <s v="#DiscoverWeekly"/>
    <x v="1"/>
  </r>
  <r>
    <n v="3361"/>
    <n v="188"/>
    <n v="358"/>
    <n v="39838"/>
    <n v="24536"/>
    <n v="120"/>
    <s v="#DiscoverWeekly,#SoundtrackOfLife"/>
    <x v="3"/>
  </r>
  <r>
    <n v="3074"/>
    <n v="371"/>
    <n v="348"/>
    <n v="24104"/>
    <n v="57803"/>
    <n v="213"/>
    <s v="#NowPlaying"/>
    <x v="2"/>
  </r>
  <r>
    <n v="4276"/>
    <n v="227"/>
    <n v="223"/>
    <n v="43443"/>
    <n v="41005"/>
    <n v="191"/>
    <s v="#DiscoverWeekly,#MusicForEveryone"/>
    <x v="0"/>
  </r>
  <r>
    <n v="4401"/>
    <n v="421"/>
    <n v="216"/>
    <n v="24890"/>
    <n v="54361"/>
    <n v="148"/>
    <s v="#NowPlaying"/>
    <x v="0"/>
  </r>
  <r>
    <n v="4161"/>
    <n v="481"/>
    <n v="61"/>
    <n v="45884"/>
    <n v="48955"/>
    <n v="215"/>
    <s v="#DiscoverWeekly,#SoundtrackOfLife"/>
    <x v="3"/>
  </r>
  <r>
    <n v="2613"/>
    <n v="455"/>
    <n v="228"/>
    <n v="21645"/>
    <n v="61334"/>
    <n v="261"/>
    <s v="#DiscoverWeekly,#MusicForEveryone"/>
    <x v="0"/>
  </r>
  <r>
    <n v="2842"/>
    <n v="213"/>
    <n v="331"/>
    <n v="57660"/>
    <n v="68606"/>
    <n v="87"/>
    <s v="#MusicForEveryone,#NowPlaying"/>
    <x v="0"/>
  </r>
  <r>
    <n v="4851"/>
    <n v="460"/>
    <n v="212"/>
    <n v="58075"/>
    <n v="59574"/>
    <n v="239"/>
    <s v="#DiscoverWeekly"/>
    <x v="1"/>
  </r>
  <r>
    <n v="1828"/>
    <n v="450"/>
    <n v="214"/>
    <n v="52115"/>
    <n v="19166"/>
    <n v="190"/>
    <s v="#NowPlaying"/>
    <x v="0"/>
  </r>
  <r>
    <n v="2422"/>
    <n v="455"/>
    <n v="376"/>
    <n v="23428"/>
    <n v="46775"/>
    <n v="259"/>
    <s v="#NowPlaying"/>
    <x v="2"/>
  </r>
  <r>
    <n v="2683"/>
    <n v="405"/>
    <n v="223"/>
    <n v="31233"/>
    <n v="58106"/>
    <n v="291"/>
    <s v="#DiscoverWeekly"/>
    <x v="1"/>
  </r>
  <r>
    <n v="3135"/>
    <n v="110"/>
    <n v="215"/>
    <n v="39192"/>
    <n v="24744"/>
    <n v="177"/>
    <s v="#DiscoverWeekly,#SpotifyWrapped"/>
    <x v="1"/>
  </r>
  <r>
    <n v="1105"/>
    <n v="181"/>
    <n v="55"/>
    <n v="53581"/>
    <n v="74048"/>
    <n v="220"/>
    <s v="#DiscoverWeekly,#SpotifyWrapped"/>
    <x v="1"/>
  </r>
  <r>
    <n v="4674"/>
    <n v="326"/>
    <n v="62"/>
    <n v="45503"/>
    <n v="46814"/>
    <n v="116"/>
    <s v="#DiscoverWeekly,#SpotifyWrapped"/>
    <x v="1"/>
  </r>
  <r>
    <n v="3437"/>
    <n v="129"/>
    <n v="359"/>
    <n v="44558"/>
    <n v="30854"/>
    <n v="171"/>
    <s v="#DiscoverWeekly,#SoundtrackOfLife"/>
    <x v="3"/>
  </r>
  <r>
    <n v="1959"/>
    <n v="316"/>
    <n v="82"/>
    <n v="54036"/>
    <n v="69015"/>
    <n v="182"/>
    <s v="#MusicForEveryone,#NowPlaying"/>
    <x v="0"/>
  </r>
  <r>
    <n v="1035"/>
    <n v="137"/>
    <n v="184"/>
    <n v="37302"/>
    <n v="68953"/>
    <n v="237"/>
    <s v="#SoundtrackOfLife"/>
    <x v="1"/>
  </r>
  <r>
    <n v="4478"/>
    <n v="101"/>
    <n v="121"/>
    <n v="51035"/>
    <n v="58207"/>
    <n v="205"/>
    <s v="#MusicForEveryone,#NowPlaying"/>
    <x v="0"/>
  </r>
  <r>
    <n v="1488"/>
    <n v="327"/>
    <n v="110"/>
    <n v="53805"/>
    <n v="30239"/>
    <n v="109"/>
    <s v="#DiscoverWeekly,#SpotifyWrapped"/>
    <x v="1"/>
  </r>
  <r>
    <n v="4836"/>
    <n v="331"/>
    <n v="140"/>
    <n v="58792"/>
    <n v="47711"/>
    <n v="227"/>
    <s v="#SoundtrackOfLife,#NowPlaying"/>
    <x v="0"/>
  </r>
  <r>
    <n v="4563"/>
    <n v="488"/>
    <n v="356"/>
    <n v="30619"/>
    <n v="23328"/>
    <n v="267"/>
    <s v="#DiscoverWeekly,#SoundtrackOfLife"/>
    <x v="3"/>
  </r>
  <r>
    <n v="3276"/>
    <n v="421"/>
    <n v="114"/>
    <n v="20580"/>
    <n v="30324"/>
    <n v="221"/>
    <s v="#SoundtrackOfLife"/>
    <x v="1"/>
  </r>
  <r>
    <n v="1316"/>
    <n v="472"/>
    <n v="286"/>
    <n v="44692"/>
    <n v="53343"/>
    <n v="227"/>
    <s v="#DiscoverWeekly,#MusicForEveryone"/>
    <x v="0"/>
  </r>
  <r>
    <n v="4811"/>
    <n v="473"/>
    <n v="254"/>
    <n v="51964"/>
    <n v="68795"/>
    <n v="107"/>
    <s v="#NowPlaying"/>
    <x v="0"/>
  </r>
  <r>
    <n v="4218"/>
    <n v="247"/>
    <n v="183"/>
    <n v="28914"/>
    <n v="18310"/>
    <n v="135"/>
    <s v="#SoundtrackOfLife"/>
    <x v="1"/>
  </r>
  <r>
    <n v="1360"/>
    <n v="249"/>
    <n v="52"/>
    <n v="20368"/>
    <n v="42152"/>
    <n v="193"/>
    <s v="#DiscoverWeekly"/>
    <x v="1"/>
  </r>
  <r>
    <n v="1085"/>
    <n v="496"/>
    <n v="320"/>
    <n v="36528"/>
    <n v="38599"/>
    <n v="270"/>
    <s v="#DiscoverWeekly,#SoundtrackOfLife"/>
    <x v="3"/>
  </r>
  <r>
    <n v="1763"/>
    <n v="206"/>
    <n v="187"/>
    <n v="53342"/>
    <n v="25095"/>
    <n v="88"/>
    <s v="#DiscoverWeekly,#MusicForEveryone"/>
    <x v="0"/>
  </r>
  <r>
    <n v="1554"/>
    <n v="455"/>
    <n v="158"/>
    <n v="41947"/>
    <n v="48578"/>
    <n v="101"/>
    <s v="#SoundtrackOfLife,#NowPlaying"/>
    <x v="0"/>
  </r>
  <r>
    <n v="2464"/>
    <n v="401"/>
    <n v="78"/>
    <n v="38665"/>
    <n v="73593"/>
    <n v="207"/>
    <s v="#DiscoverWeekly"/>
    <x v="1"/>
  </r>
  <r>
    <n v="2418"/>
    <n v="161"/>
    <n v="360"/>
    <n v="30589"/>
    <n v="41383"/>
    <n v="88"/>
    <s v="#NowPlaying"/>
    <x v="0"/>
  </r>
  <r>
    <n v="2494"/>
    <n v="494"/>
    <n v="55"/>
    <n v="22580"/>
    <n v="22214"/>
    <n v="109"/>
    <s v="#MusicForEveryone,#NowPlaying"/>
    <x v="0"/>
  </r>
  <r>
    <n v="4781"/>
    <n v="191"/>
    <n v="122"/>
    <n v="35535"/>
    <n v="50777"/>
    <n v="128"/>
    <s v="#DiscoverWeekly,#SoundtrackOfLife"/>
    <x v="3"/>
  </r>
  <r>
    <n v="2284"/>
    <n v="187"/>
    <n v="260"/>
    <n v="37400"/>
    <n v="65014"/>
    <n v="157"/>
    <s v="#SoundtrackOfLife,#NowPlaying"/>
    <x v="0"/>
  </r>
  <r>
    <n v="4234"/>
    <n v="486"/>
    <n v="276"/>
    <n v="56623"/>
    <n v="41343"/>
    <n v="184"/>
    <s v="#SoundtrackOfLife"/>
    <x v="1"/>
  </r>
  <r>
    <n v="2102"/>
    <n v="181"/>
    <n v="306"/>
    <n v="43650"/>
    <n v="50079"/>
    <n v="182"/>
    <s v="#DiscoverWeekly"/>
    <x v="1"/>
  </r>
  <r>
    <n v="4845"/>
    <n v="158"/>
    <n v="84"/>
    <n v="34578"/>
    <n v="51480"/>
    <n v="180"/>
    <s v="#SoundtrackOfLife,#NowPlaying"/>
    <x v="0"/>
  </r>
  <r>
    <n v="4247"/>
    <n v="390"/>
    <n v="213"/>
    <n v="29785"/>
    <n v="57768"/>
    <n v="122"/>
    <s v="#NowPlaying"/>
    <x v="0"/>
  </r>
  <r>
    <n v="2965"/>
    <n v="328"/>
    <n v="171"/>
    <n v="57685"/>
    <n v="67536"/>
    <n v="264"/>
    <s v="#SoundtrackOfLife,#NowPlaying"/>
    <x v="0"/>
  </r>
  <r>
    <n v="1371"/>
    <n v="139"/>
    <n v="96"/>
    <n v="36140"/>
    <n v="39395"/>
    <n v="169"/>
    <s v="#SoundtrackOfLife,#NowPlaying"/>
    <x v="0"/>
  </r>
  <r>
    <n v="2683"/>
    <n v="496"/>
    <n v="89"/>
    <n v="53435"/>
    <n v="30334"/>
    <n v="160"/>
    <s v="#SoundtrackOfLife,#NowPlaying"/>
    <x v="0"/>
  </r>
  <r>
    <n v="4796"/>
    <n v="427"/>
    <n v="339"/>
    <n v="30752"/>
    <n v="33870"/>
    <n v="298"/>
    <s v="#SoundtrackOfLife,#NowPlaying"/>
    <x v="0"/>
  </r>
  <r>
    <n v="2601"/>
    <n v="336"/>
    <n v="260"/>
    <n v="32368"/>
    <n v="49028"/>
    <n v="120"/>
    <s v="#SoundtrackOfLife,#NowPlaying"/>
    <x v="0"/>
  </r>
  <r>
    <n v="3336"/>
    <n v="229"/>
    <n v="337"/>
    <n v="22117"/>
    <n v="26205"/>
    <n v="160"/>
    <s v="#MusicForEveryone,#NowPlaying"/>
    <x v="0"/>
  </r>
  <r>
    <n v="1165"/>
    <n v="294"/>
    <n v="163"/>
    <n v="20659"/>
    <n v="45926"/>
    <n v="111"/>
    <s v="#SoundtrackOfLife"/>
    <x v="1"/>
  </r>
  <r>
    <n v="1948"/>
    <n v="155"/>
    <n v="315"/>
    <n v="30321"/>
    <n v="57121"/>
    <n v="82"/>
    <s v="#DiscoverWeekly,#SoundtrackOfLife"/>
    <x v="3"/>
  </r>
  <r>
    <n v="1100"/>
    <n v="229"/>
    <n v="312"/>
    <n v="25641"/>
    <n v="34601"/>
    <n v="169"/>
    <s v="#DiscoverWeekly"/>
    <x v="1"/>
  </r>
  <r>
    <n v="4628"/>
    <n v="257"/>
    <n v="397"/>
    <n v="36686"/>
    <n v="54683"/>
    <n v="98"/>
    <s v="#SoundtrackOfLife,#NowPlaying"/>
    <x v="0"/>
  </r>
  <r>
    <n v="2319"/>
    <n v="484"/>
    <n v="193"/>
    <n v="21202"/>
    <n v="18091"/>
    <n v="241"/>
    <s v="#NowPlaying"/>
    <x v="2"/>
  </r>
  <r>
    <n v="2895"/>
    <n v="292"/>
    <n v="90"/>
    <n v="24223"/>
    <n v="54626"/>
    <n v="114"/>
    <s v="#SoundtrackOfLife,#NowPlaying"/>
    <x v="0"/>
  </r>
  <r>
    <n v="3878"/>
    <n v="431"/>
    <n v="97"/>
    <n v="41763"/>
    <n v="29729"/>
    <n v="191"/>
    <s v="#DiscoverWeekly"/>
    <x v="1"/>
  </r>
  <r>
    <n v="4969"/>
    <n v="433"/>
    <n v="237"/>
    <n v="59552"/>
    <n v="23885"/>
    <n v="157"/>
    <s v="#DiscoverWeekly,#MusicForEveryone"/>
    <x v="0"/>
  </r>
  <r>
    <n v="1984"/>
    <n v="481"/>
    <n v="356"/>
    <n v="40681"/>
    <n v="63111"/>
    <n v="258"/>
    <s v="#NowPlaying"/>
    <x v="0"/>
  </r>
  <r>
    <n v="3004"/>
    <n v="415"/>
    <n v="218"/>
    <n v="36090"/>
    <n v="37073"/>
    <n v="181"/>
    <s v="#DiscoverWeekly"/>
    <x v="1"/>
  </r>
  <r>
    <n v="3169"/>
    <n v="386"/>
    <n v="175"/>
    <n v="45012"/>
    <n v="38508"/>
    <n v="218"/>
    <s v="#NowPlaying"/>
    <x v="0"/>
  </r>
  <r>
    <n v="3036"/>
    <n v="293"/>
    <n v="115"/>
    <n v="23776"/>
    <n v="46386"/>
    <n v="282"/>
    <s v="#NowPlaying"/>
    <x v="0"/>
  </r>
  <r>
    <n v="1830"/>
    <n v="112"/>
    <n v="181"/>
    <n v="31870"/>
    <n v="55742"/>
    <n v="263"/>
    <s v="#SoundtrackOfLife,#NowPlaying"/>
    <x v="0"/>
  </r>
  <r>
    <n v="2587"/>
    <n v="447"/>
    <n v="183"/>
    <n v="36266"/>
    <n v="32877"/>
    <n v="132"/>
    <s v="#DiscoverWeekly,#MusicForEveryone"/>
    <x v="0"/>
  </r>
  <r>
    <n v="2878"/>
    <n v="265"/>
    <n v="91"/>
    <n v="52090"/>
    <n v="28924"/>
    <n v="133"/>
    <s v="#NowPlaying"/>
    <x v="0"/>
  </r>
  <r>
    <n v="4619"/>
    <n v="272"/>
    <n v="57"/>
    <n v="21334"/>
    <n v="46292"/>
    <n v="91"/>
    <s v="#SoundtrackOfLife,#NowPlaying"/>
    <x v="0"/>
  </r>
  <r>
    <n v="4090"/>
    <n v="209"/>
    <n v="278"/>
    <n v="52853"/>
    <n v="57084"/>
    <n v="102"/>
    <s v="#SoundtrackOfLife"/>
    <x v="1"/>
  </r>
  <r>
    <n v="3882"/>
    <n v="342"/>
    <n v="374"/>
    <n v="41991"/>
    <n v="48554"/>
    <n v="118"/>
    <s v="#DiscoverWeekly,#SoundtrackOfLife"/>
    <x v="3"/>
  </r>
  <r>
    <n v="4581"/>
    <n v="181"/>
    <n v="112"/>
    <n v="35221"/>
    <n v="28797"/>
    <n v="164"/>
    <s v="#SoundtrackOfLife,#NowPlaying"/>
    <x v="0"/>
  </r>
  <r>
    <n v="3253"/>
    <n v="483"/>
    <n v="336"/>
    <n v="25397"/>
    <n v="51485"/>
    <n v="131"/>
    <s v="#DiscoverWeekly"/>
    <x v="1"/>
  </r>
  <r>
    <n v="4955"/>
    <n v="299"/>
    <n v="345"/>
    <n v="33644"/>
    <n v="43547"/>
    <n v="194"/>
    <s v="#DiscoverWeekly,#SoundtrackOfLife"/>
    <x v="3"/>
  </r>
  <r>
    <n v="1333"/>
    <n v="286"/>
    <n v="298"/>
    <n v="36174"/>
    <n v="34517"/>
    <n v="170"/>
    <s v="#SoundtrackOfLife,#NowPlaying"/>
    <x v="0"/>
  </r>
  <r>
    <n v="1616"/>
    <n v="360"/>
    <n v="180"/>
    <n v="54342"/>
    <n v="18796"/>
    <n v="282"/>
    <s v="#SoundtrackOfLife,#NowPlaying"/>
    <x v="0"/>
  </r>
  <r>
    <n v="1803"/>
    <n v="273"/>
    <n v="287"/>
    <n v="46176"/>
    <n v="25488"/>
    <n v="141"/>
    <s v="#NowPlaying"/>
    <x v="0"/>
  </r>
  <r>
    <n v="4177"/>
    <n v="489"/>
    <n v="331"/>
    <n v="57451"/>
    <n v="73793"/>
    <n v="251"/>
    <s v="#DiscoverWeekly"/>
    <x v="1"/>
  </r>
  <r>
    <n v="1311"/>
    <n v="181"/>
    <n v="361"/>
    <n v="37148"/>
    <n v="44875"/>
    <n v="245"/>
    <s v="#NowPlaying"/>
    <x v="2"/>
  </r>
  <r>
    <n v="1516"/>
    <n v="215"/>
    <n v="332"/>
    <n v="58981"/>
    <n v="36118"/>
    <n v="211"/>
    <s v="#NowPlaying"/>
    <x v="2"/>
  </r>
  <r>
    <n v="2023"/>
    <n v="124"/>
    <n v="99"/>
    <n v="54524"/>
    <n v="34790"/>
    <n v="195"/>
    <s v="#DiscoverWeekly,#MusicForEveryone"/>
    <x v="0"/>
  </r>
  <r>
    <n v="2134"/>
    <n v="322"/>
    <n v="114"/>
    <n v="44338"/>
    <n v="52165"/>
    <n v="176"/>
    <s v="#MusicForEveryone,#NowPlaying"/>
    <x v="0"/>
  </r>
  <r>
    <n v="2266"/>
    <n v="126"/>
    <n v="140"/>
    <n v="53759"/>
    <n v="46834"/>
    <n v="277"/>
    <s v="#DiscoverWeekly"/>
    <x v="1"/>
  </r>
  <r>
    <n v="3916"/>
    <n v="459"/>
    <n v="229"/>
    <n v="48989"/>
    <n v="39768"/>
    <n v="200"/>
    <s v="#NowPlaying"/>
    <x v="2"/>
  </r>
  <r>
    <n v="1022"/>
    <n v="463"/>
    <n v="360"/>
    <n v="51468"/>
    <n v="24279"/>
    <n v="230"/>
    <s v="#DiscoverWeekly,#MusicForEveryone"/>
    <x v="0"/>
  </r>
  <r>
    <n v="2911"/>
    <n v="467"/>
    <n v="94"/>
    <n v="59083"/>
    <n v="49762"/>
    <n v="236"/>
    <s v="#DiscoverWeekly,#SpotifyWrapped"/>
    <x v="1"/>
  </r>
  <r>
    <n v="3277"/>
    <n v="423"/>
    <n v="259"/>
    <n v="46328"/>
    <n v="44293"/>
    <n v="299"/>
    <s v="#SoundtrackOfLife,#NowPlaying"/>
    <x v="0"/>
  </r>
  <r>
    <n v="2956"/>
    <n v="381"/>
    <n v="345"/>
    <n v="33347"/>
    <n v="22558"/>
    <n v="173"/>
    <s v="#NowPlaying"/>
    <x v="0"/>
  </r>
  <r>
    <n v="3208"/>
    <n v="476"/>
    <n v="277"/>
    <n v="56072"/>
    <n v="21061"/>
    <n v="113"/>
    <s v="#MusicForEveryone,#NowPlaying"/>
    <x v="0"/>
  </r>
  <r>
    <n v="1456"/>
    <n v="265"/>
    <n v="137"/>
    <n v="53485"/>
    <n v="59729"/>
    <n v="145"/>
    <s v="#SoundtrackOfLife"/>
    <x v="1"/>
  </r>
  <r>
    <n v="1902"/>
    <n v="394"/>
    <n v="279"/>
    <n v="24615"/>
    <n v="51330"/>
    <n v="176"/>
    <s v="#SoundtrackOfLife,#NowPlaying"/>
    <x v="0"/>
  </r>
  <r>
    <n v="3219"/>
    <n v="424"/>
    <n v="267"/>
    <n v="48879"/>
    <n v="37691"/>
    <n v="224"/>
    <s v="#DiscoverWeekly,#MusicForEveryone"/>
    <x v="0"/>
  </r>
  <r>
    <n v="1261"/>
    <n v="190"/>
    <n v="233"/>
    <n v="59888"/>
    <n v="51449"/>
    <n v="205"/>
    <s v="#DiscoverWeekly,#SpotifyWrapped"/>
    <x v="1"/>
  </r>
  <r>
    <n v="1564"/>
    <n v="362"/>
    <n v="371"/>
    <n v="42075"/>
    <n v="66659"/>
    <n v="205"/>
    <s v="#SoundtrackOfLife"/>
    <x v="1"/>
  </r>
  <r>
    <n v="4006"/>
    <n v="420"/>
    <n v="194"/>
    <n v="49964"/>
    <n v="20685"/>
    <n v="148"/>
    <s v="#NowPlaying"/>
    <x v="0"/>
  </r>
  <r>
    <n v="1976"/>
    <n v="262"/>
    <n v="218"/>
    <n v="51696"/>
    <n v="44846"/>
    <n v="139"/>
    <s v="#DiscoverWeekly,#SpotifyWrapped"/>
    <x v="1"/>
  </r>
  <r>
    <n v="1583"/>
    <n v="433"/>
    <n v="249"/>
    <n v="30256"/>
    <n v="47066"/>
    <n v="196"/>
    <s v="#NowPlaying"/>
    <x v="0"/>
  </r>
  <r>
    <n v="2870"/>
    <n v="380"/>
    <n v="393"/>
    <n v="37621"/>
    <n v="71794"/>
    <n v="127"/>
    <s v="#MusicForEveryone,#NowPlaying"/>
    <x v="0"/>
  </r>
  <r>
    <n v="3728"/>
    <n v="271"/>
    <n v="275"/>
    <n v="22827"/>
    <n v="37034"/>
    <n v="199"/>
    <s v="#NowPlaying"/>
    <x v="0"/>
  </r>
  <r>
    <n v="4965"/>
    <n v="175"/>
    <n v="307"/>
    <n v="32793"/>
    <n v="43412"/>
    <n v="296"/>
    <s v="#SoundtrackOfLife,#NowPlaying"/>
    <x v="0"/>
  </r>
  <r>
    <n v="1131"/>
    <n v="100"/>
    <n v="116"/>
    <n v="48437"/>
    <n v="72704"/>
    <n v="236"/>
    <s v="#DiscoverWeekly,#MusicForEveryone"/>
    <x v="0"/>
  </r>
  <r>
    <n v="2754"/>
    <n v="215"/>
    <n v="264"/>
    <n v="27762"/>
    <n v="70203"/>
    <n v="289"/>
    <s v="#NowPlaying"/>
    <x v="0"/>
  </r>
  <r>
    <n v="1856"/>
    <n v="357"/>
    <n v="348"/>
    <n v="29428"/>
    <n v="70206"/>
    <n v="236"/>
    <s v="#MusicForEveryone,#NowPlaying"/>
    <x v="0"/>
  </r>
  <r>
    <n v="3543"/>
    <n v="334"/>
    <n v="218"/>
    <n v="58007"/>
    <n v="24792"/>
    <n v="273"/>
    <s v="#DiscoverWeekly,#SoundtrackOfLife"/>
    <x v="3"/>
  </r>
  <r>
    <n v="4563"/>
    <n v="398"/>
    <n v="163"/>
    <n v="43679"/>
    <n v="48760"/>
    <n v="92"/>
    <s v="#NowPlaying"/>
    <x v="2"/>
  </r>
  <r>
    <n v="4283"/>
    <n v="471"/>
    <n v="156"/>
    <n v="53004"/>
    <n v="25678"/>
    <n v="105"/>
    <s v="#DiscoverWeekly"/>
    <x v="1"/>
  </r>
  <r>
    <n v="2329"/>
    <n v="373"/>
    <n v="291"/>
    <n v="49577"/>
    <n v="28002"/>
    <n v="82"/>
    <s v="#SoundtrackOfLife,#NowPlaying"/>
    <x v="0"/>
  </r>
  <r>
    <n v="4287"/>
    <n v="273"/>
    <n v="122"/>
    <n v="40792"/>
    <n v="23878"/>
    <n v="277"/>
    <s v="#MusicForEveryone,#NowPlaying"/>
    <x v="0"/>
  </r>
  <r>
    <n v="2633"/>
    <n v="318"/>
    <n v="380"/>
    <n v="40869"/>
    <n v="64474"/>
    <n v="245"/>
    <s v="#DiscoverWeekly"/>
    <x v="1"/>
  </r>
  <r>
    <n v="2383"/>
    <n v="136"/>
    <n v="302"/>
    <n v="39187"/>
    <n v="22133"/>
    <n v="208"/>
    <s v="#MusicForEveryone,#NowPlaying"/>
    <x v="0"/>
  </r>
  <r>
    <n v="4752"/>
    <n v="334"/>
    <n v="56"/>
    <n v="48017"/>
    <n v="55534"/>
    <n v="270"/>
    <s v="#DiscoverWeekly,#MusicForEveryone"/>
    <x v="0"/>
  </r>
  <r>
    <n v="3890"/>
    <n v="408"/>
    <n v="338"/>
    <n v="56994"/>
    <n v="32621"/>
    <n v="286"/>
    <s v="#SoundtrackOfLife"/>
    <x v="1"/>
  </r>
  <r>
    <n v="2311"/>
    <n v="207"/>
    <n v="363"/>
    <n v="30349"/>
    <n v="32925"/>
    <n v="88"/>
    <s v="#MusicForEveryone,#NowPlaying"/>
    <x v="0"/>
  </r>
  <r>
    <n v="2962"/>
    <n v="400"/>
    <n v="280"/>
    <n v="52508"/>
    <n v="58329"/>
    <n v="219"/>
    <s v="#NowPlaying"/>
    <x v="2"/>
  </r>
  <r>
    <n v="3118"/>
    <n v="116"/>
    <n v="195"/>
    <n v="37100"/>
    <n v="62629"/>
    <n v="272"/>
    <s v="#DiscoverWeekly"/>
    <x v="1"/>
  </r>
  <r>
    <n v="3805"/>
    <n v="453"/>
    <n v="63"/>
    <n v="52395"/>
    <n v="72934"/>
    <n v="87"/>
    <s v="#DiscoverWeekly,#MusicForEveryone"/>
    <x v="0"/>
  </r>
  <r>
    <n v="2525"/>
    <n v="272"/>
    <n v="294"/>
    <n v="51875"/>
    <n v="24732"/>
    <n v="92"/>
    <s v="#DiscoverWeekly"/>
    <x v="1"/>
  </r>
  <r>
    <n v="3563"/>
    <n v="483"/>
    <n v="227"/>
    <n v="41085"/>
    <n v="26393"/>
    <n v="236"/>
    <s v="#SoundtrackOfLife,#NowPlaying"/>
    <x v="0"/>
  </r>
  <r>
    <n v="1437"/>
    <n v="494"/>
    <n v="129"/>
    <n v="53048"/>
    <n v="44090"/>
    <n v="230"/>
    <s v="#DiscoverWeekly,#SoundtrackOfLife"/>
    <x v="3"/>
  </r>
  <r>
    <n v="4425"/>
    <n v="185"/>
    <n v="162"/>
    <n v="24610"/>
    <n v="21342"/>
    <n v="158"/>
    <s v="#DiscoverWeekly,#SpotifyWrapped"/>
    <x v="1"/>
  </r>
  <r>
    <n v="4609"/>
    <n v="427"/>
    <n v="395"/>
    <n v="33698"/>
    <n v="29259"/>
    <n v="216"/>
    <s v="#DiscoverWeekly,#MusicForEveryone"/>
    <x v="0"/>
  </r>
  <r>
    <n v="1558"/>
    <n v="352"/>
    <n v="202"/>
    <n v="25405"/>
    <n v="69941"/>
    <n v="219"/>
    <s v="#NowPlaying"/>
    <x v="2"/>
  </r>
  <r>
    <n v="1889"/>
    <n v="298"/>
    <n v="122"/>
    <n v="46225"/>
    <n v="74305"/>
    <n v="293"/>
    <s v="#DiscoverWeekly,#SoundtrackOfLife"/>
    <x v="3"/>
  </r>
  <r>
    <n v="3086"/>
    <n v="148"/>
    <n v="310"/>
    <n v="22824"/>
    <n v="58103"/>
    <n v="275"/>
    <s v="#DiscoverWeekly"/>
    <x v="1"/>
  </r>
  <r>
    <n v="2422"/>
    <n v="318"/>
    <n v="118"/>
    <n v="25386"/>
    <n v="20873"/>
    <n v="100"/>
    <s v="#SoundtrackOfLife,#NowPlaying"/>
    <x v="0"/>
  </r>
  <r>
    <n v="3414"/>
    <n v="154"/>
    <n v="204"/>
    <n v="34146"/>
    <n v="44633"/>
    <n v="256"/>
    <s v="#DiscoverWeekly,#SoundtrackOfLife"/>
    <x v="3"/>
  </r>
  <r>
    <n v="1342"/>
    <n v="332"/>
    <n v="163"/>
    <n v="51712"/>
    <n v="57922"/>
    <n v="168"/>
    <s v="#NowPlaying"/>
    <x v="2"/>
  </r>
  <r>
    <n v="2414"/>
    <n v="220"/>
    <n v="280"/>
    <n v="27355"/>
    <n v="50562"/>
    <n v="258"/>
    <s v="#NowPlaying"/>
    <x v="2"/>
  </r>
  <r>
    <n v="4383"/>
    <n v="352"/>
    <n v="176"/>
    <n v="53239"/>
    <n v="34168"/>
    <n v="288"/>
    <s v="#DiscoverWeekly"/>
    <x v="1"/>
  </r>
  <r>
    <n v="4294"/>
    <n v="423"/>
    <n v="93"/>
    <n v="29828"/>
    <n v="73144"/>
    <n v="298"/>
    <s v="#DiscoverWeekly,#SpotifyWrapped"/>
    <x v="1"/>
  </r>
  <r>
    <n v="2762"/>
    <n v="339"/>
    <n v="323"/>
    <n v="33757"/>
    <n v="68511"/>
    <n v="121"/>
    <s v="#SoundtrackOfLife,#NowPlaying"/>
    <x v="0"/>
  </r>
  <r>
    <n v="3782"/>
    <n v="484"/>
    <n v="144"/>
    <n v="52172"/>
    <n v="59386"/>
    <n v="175"/>
    <s v="#DiscoverWeekly,#SpotifyWrapped"/>
    <x v="1"/>
  </r>
  <r>
    <n v="4318"/>
    <n v="371"/>
    <n v="329"/>
    <n v="32347"/>
    <n v="68956"/>
    <n v="259"/>
    <s v="#SoundtrackOfLife"/>
    <x v="1"/>
  </r>
  <r>
    <n v="2335"/>
    <n v="150"/>
    <n v="75"/>
    <n v="26114"/>
    <n v="57549"/>
    <n v="135"/>
    <s v="#NowPlaying"/>
    <x v="2"/>
  </r>
  <r>
    <n v="4023"/>
    <n v="293"/>
    <n v="91"/>
    <n v="26795"/>
    <n v="28924"/>
    <n v="278"/>
    <s v="#DiscoverWeekly,#SpotifyWrapped"/>
    <x v="1"/>
  </r>
  <r>
    <n v="3948"/>
    <n v="151"/>
    <n v="249"/>
    <n v="43147"/>
    <n v="63136"/>
    <n v="230"/>
    <s v="#DiscoverWeekly"/>
    <x v="1"/>
  </r>
  <r>
    <n v="4598"/>
    <n v="455"/>
    <n v="378"/>
    <n v="52952"/>
    <n v="58504"/>
    <n v="269"/>
    <s v="#DiscoverWeekly,#SpotifyWrapped"/>
    <x v="1"/>
  </r>
  <r>
    <n v="2665"/>
    <n v="143"/>
    <n v="315"/>
    <n v="54808"/>
    <n v="29818"/>
    <n v="98"/>
    <s v="#DiscoverWeekly,#MusicForEveryone"/>
    <x v="0"/>
  </r>
  <r>
    <n v="3469"/>
    <n v="371"/>
    <n v="76"/>
    <n v="46493"/>
    <n v="26906"/>
    <n v="150"/>
    <s v="#SoundtrackOfLife,#NowPlaying"/>
    <x v="0"/>
  </r>
  <r>
    <n v="4823"/>
    <n v="489"/>
    <n v="302"/>
    <n v="32470"/>
    <n v="31861"/>
    <n v="178"/>
    <s v="#SoundtrackOfLife"/>
    <x v="1"/>
  </r>
  <r>
    <n v="3812"/>
    <n v="321"/>
    <n v="289"/>
    <n v="59838"/>
    <n v="36337"/>
    <n v="161"/>
    <s v="#NowPlaying"/>
    <x v="2"/>
  </r>
  <r>
    <n v="2387"/>
    <n v="353"/>
    <n v="78"/>
    <n v="39745"/>
    <n v="69226"/>
    <n v="208"/>
    <s v="#SoundtrackOfLife"/>
    <x v="1"/>
  </r>
  <r>
    <n v="3929"/>
    <n v="275"/>
    <n v="330"/>
    <n v="58329"/>
    <n v="33196"/>
    <n v="85"/>
    <s v="#MusicForEveryone,#NowPlaying"/>
    <x v="0"/>
  </r>
  <r>
    <n v="2191"/>
    <n v="288"/>
    <n v="83"/>
    <n v="59606"/>
    <n v="24765"/>
    <n v="281"/>
    <s v="#SoundtrackOfLife"/>
    <x v="1"/>
  </r>
  <r>
    <n v="2878"/>
    <n v="278"/>
    <n v="255"/>
    <n v="47235"/>
    <n v="57922"/>
    <n v="112"/>
    <s v="#SoundtrackOfLife,#NowPlaying"/>
    <x v="0"/>
  </r>
  <r>
    <n v="3204"/>
    <n v="398"/>
    <n v="85"/>
    <n v="22020"/>
    <n v="58353"/>
    <n v="286"/>
    <s v="#SoundtrackOfLife"/>
    <x v="1"/>
  </r>
  <r>
    <n v="2408"/>
    <n v="323"/>
    <n v="251"/>
    <n v="47599"/>
    <n v="35543"/>
    <n v="287"/>
    <s v="#MusicForEveryone,#NowPlaying"/>
    <x v="0"/>
  </r>
  <r>
    <n v="2733"/>
    <n v="297"/>
    <n v="235"/>
    <n v="37980"/>
    <n v="33058"/>
    <n v="219"/>
    <s v="#DiscoverWeekly,#SoundtrackOfLife"/>
    <x v="3"/>
  </r>
  <r>
    <n v="4618"/>
    <n v="312"/>
    <n v="254"/>
    <n v="22571"/>
    <n v="29453"/>
    <n v="197"/>
    <s v="#MusicForEveryone,#NowPlaying"/>
    <x v="0"/>
  </r>
  <r>
    <n v="4210"/>
    <n v="319"/>
    <n v="350"/>
    <n v="37762"/>
    <n v="55162"/>
    <n v="204"/>
    <s v="#DiscoverWeekly,#SoundtrackOfLife"/>
    <x v="3"/>
  </r>
  <r>
    <n v="3987"/>
    <n v="171"/>
    <n v="274"/>
    <n v="45122"/>
    <n v="65431"/>
    <n v="168"/>
    <s v="#DiscoverWeekly"/>
    <x v="1"/>
  </r>
  <r>
    <n v="4957"/>
    <n v="262"/>
    <n v="365"/>
    <n v="49199"/>
    <n v="40314"/>
    <n v="216"/>
    <s v="#DiscoverWeekly,#SoundtrackOfLife"/>
    <x v="3"/>
  </r>
  <r>
    <n v="2605"/>
    <n v="282"/>
    <n v="148"/>
    <n v="32201"/>
    <n v="49583"/>
    <n v="241"/>
    <s v="#SoundtrackOfLife,#NowPlaying"/>
    <x v="0"/>
  </r>
  <r>
    <n v="4221"/>
    <n v="307"/>
    <n v="58"/>
    <n v="45080"/>
    <n v="37214"/>
    <n v="240"/>
    <s v="#DiscoverWeekly,#SoundtrackOfLife"/>
    <x v="3"/>
  </r>
  <r>
    <n v="4422"/>
    <n v="434"/>
    <n v="156"/>
    <n v="56165"/>
    <n v="52431"/>
    <n v="173"/>
    <s v="#DiscoverWeekly,#MusicForEveryone"/>
    <x v="0"/>
  </r>
  <r>
    <n v="1211"/>
    <n v="431"/>
    <n v="83"/>
    <n v="26532"/>
    <n v="47305"/>
    <n v="232"/>
    <s v="#DiscoverWeekly,#SoundtrackOfLife"/>
    <x v="3"/>
  </r>
  <r>
    <n v="2784"/>
    <n v="111"/>
    <n v="399"/>
    <n v="58366"/>
    <n v="69512"/>
    <n v="269"/>
    <s v="#MusicForEveryone,#NowPlaying"/>
    <x v="0"/>
  </r>
  <r>
    <n v="3634"/>
    <n v="280"/>
    <n v="399"/>
    <n v="40256"/>
    <n v="52605"/>
    <n v="213"/>
    <s v="#DiscoverWeekly,#SpotifyWrapped"/>
    <x v="1"/>
  </r>
  <r>
    <n v="1771"/>
    <n v="487"/>
    <n v="272"/>
    <n v="48810"/>
    <n v="48084"/>
    <n v="272"/>
    <s v="#SoundtrackOfLife,#NowPlaying"/>
    <x v="0"/>
  </r>
  <r>
    <n v="1424"/>
    <n v="396"/>
    <n v="312"/>
    <n v="59517"/>
    <n v="46102"/>
    <n v="239"/>
    <s v="#DiscoverWeekly,#SpotifyWrapped"/>
    <x v="1"/>
  </r>
  <r>
    <n v="1079"/>
    <n v="265"/>
    <n v="190"/>
    <n v="43786"/>
    <n v="72428"/>
    <n v="222"/>
    <s v="#SoundtrackOfLife,#NowPlaying"/>
    <x v="0"/>
  </r>
  <r>
    <n v="4247"/>
    <n v="179"/>
    <n v="175"/>
    <n v="32991"/>
    <n v="70120"/>
    <n v="276"/>
    <s v="#SoundtrackOfLife,#NowPlaying"/>
    <x v="0"/>
  </r>
  <r>
    <n v="2033"/>
    <n v="420"/>
    <n v="94"/>
    <n v="56290"/>
    <n v="57391"/>
    <n v="196"/>
    <s v="#NowPlaying"/>
    <x v="0"/>
  </r>
  <r>
    <n v="1839"/>
    <n v="223"/>
    <n v="171"/>
    <n v="35459"/>
    <n v="69988"/>
    <n v="114"/>
    <s v="#MusicForEveryone,#NowPlaying"/>
    <x v="0"/>
  </r>
  <r>
    <n v="2340"/>
    <n v="141"/>
    <n v="206"/>
    <n v="24916"/>
    <n v="30582"/>
    <n v="157"/>
    <s v="#SoundtrackOfLife,#NowPlaying"/>
    <x v="0"/>
  </r>
  <r>
    <n v="2080"/>
    <n v="389"/>
    <n v="92"/>
    <n v="30971"/>
    <n v="25347"/>
    <n v="111"/>
    <s v="#DiscoverWeekly"/>
    <x v="1"/>
  </r>
  <r>
    <n v="4214"/>
    <n v="286"/>
    <n v="127"/>
    <n v="47293"/>
    <n v="27184"/>
    <n v="232"/>
    <s v="#NowPlaying"/>
    <x v="0"/>
  </r>
  <r>
    <n v="3792"/>
    <n v="315"/>
    <n v="120"/>
    <n v="54592"/>
    <n v="67886"/>
    <n v="117"/>
    <s v="#SoundtrackOfLife"/>
    <x v="1"/>
  </r>
  <r>
    <n v="3989"/>
    <n v="476"/>
    <n v="128"/>
    <n v="57569"/>
    <n v="40193"/>
    <n v="222"/>
    <s v="#DiscoverWeekly,#MusicForEveryone"/>
    <x v="0"/>
  </r>
  <r>
    <n v="2857"/>
    <n v="443"/>
    <n v="359"/>
    <n v="51519"/>
    <n v="28256"/>
    <n v="155"/>
    <s v="#SoundtrackOfLife,#NowPlaying"/>
    <x v="0"/>
  </r>
  <r>
    <n v="1403"/>
    <n v="385"/>
    <n v="344"/>
    <n v="54223"/>
    <n v="72595"/>
    <n v="239"/>
    <s v="#SoundtrackOfLife"/>
    <x v="1"/>
  </r>
  <r>
    <n v="3071"/>
    <n v="126"/>
    <n v="200"/>
    <n v="44013"/>
    <n v="44679"/>
    <n v="118"/>
    <s v="#DiscoverWeekly,#MusicForEveryone"/>
    <x v="0"/>
  </r>
  <r>
    <n v="1010"/>
    <n v="361"/>
    <n v="240"/>
    <n v="47229"/>
    <n v="72573"/>
    <n v="275"/>
    <s v="#SoundtrackOfLife,#NowPlaying"/>
    <x v="0"/>
  </r>
  <r>
    <n v="1295"/>
    <n v="153"/>
    <n v="81"/>
    <n v="48350"/>
    <n v="61033"/>
    <n v="232"/>
    <s v="#DiscoverWeekly,#MusicForEveryone"/>
    <x v="0"/>
  </r>
  <r>
    <n v="1433"/>
    <n v="452"/>
    <n v="305"/>
    <n v="54541"/>
    <n v="63700"/>
    <n v="296"/>
    <s v="#DiscoverWeekly,#MusicForEveryone"/>
    <x v="0"/>
  </r>
  <r>
    <n v="4902"/>
    <n v="422"/>
    <n v="376"/>
    <n v="31674"/>
    <n v="53225"/>
    <n v="147"/>
    <s v="#NowPlaying"/>
    <x v="2"/>
  </r>
  <r>
    <n v="2659"/>
    <n v="167"/>
    <n v="73"/>
    <n v="23090"/>
    <n v="25872"/>
    <n v="293"/>
    <s v="#SoundtrackOfLife"/>
    <x v="1"/>
  </r>
  <r>
    <n v="2599"/>
    <n v="324"/>
    <n v="182"/>
    <n v="37525"/>
    <n v="37216"/>
    <n v="186"/>
    <s v="#DiscoverWeekly,#SpotifyWrapped"/>
    <x v="1"/>
  </r>
  <r>
    <n v="1765"/>
    <n v="285"/>
    <n v="100"/>
    <n v="41313"/>
    <n v="56575"/>
    <n v="174"/>
    <s v="#SoundtrackOfLife"/>
    <x v="1"/>
  </r>
  <r>
    <n v="2169"/>
    <n v="240"/>
    <n v="57"/>
    <n v="26109"/>
    <n v="46667"/>
    <n v="133"/>
    <s v="#SoundtrackOfLife,#NowPlaying"/>
    <x v="0"/>
  </r>
  <r>
    <n v="4303"/>
    <n v="306"/>
    <n v="302"/>
    <n v="39575"/>
    <n v="33762"/>
    <n v="265"/>
    <s v="#DiscoverWeekly,#MusicForEveryone"/>
    <x v="0"/>
  </r>
  <r>
    <n v="1519"/>
    <n v="456"/>
    <n v="379"/>
    <n v="51611"/>
    <n v="45880"/>
    <n v="176"/>
    <s v="#SoundtrackOfLife"/>
    <x v="1"/>
  </r>
  <r>
    <n v="2569"/>
    <n v="140"/>
    <n v="375"/>
    <n v="38372"/>
    <n v="22102"/>
    <n v="255"/>
    <s v="#DiscoverWeekly,#SpotifyWrapped"/>
    <x v="1"/>
  </r>
  <r>
    <n v="2778"/>
    <n v="241"/>
    <n v="317"/>
    <n v="26247"/>
    <n v="20677"/>
    <n v="282"/>
    <s v="#MusicForEveryone,#NowPlaying"/>
    <x v="0"/>
  </r>
  <r>
    <n v="3611"/>
    <n v="127"/>
    <n v="139"/>
    <n v="44768"/>
    <n v="29435"/>
    <n v="178"/>
    <s v="#NowPlaying"/>
    <x v="0"/>
  </r>
  <r>
    <n v="1224"/>
    <n v="168"/>
    <n v="199"/>
    <n v="54232"/>
    <n v="52844"/>
    <n v="271"/>
    <s v="#SoundtrackOfLife"/>
    <x v="1"/>
  </r>
  <r>
    <n v="4673"/>
    <n v="270"/>
    <n v="93"/>
    <n v="45260"/>
    <n v="57513"/>
    <n v="103"/>
    <s v="#NowPlaying"/>
    <x v="0"/>
  </r>
  <r>
    <n v="1432"/>
    <n v="437"/>
    <n v="267"/>
    <n v="40634"/>
    <n v="54511"/>
    <n v="197"/>
    <s v="#DiscoverWeekly,#SpotifyWrapped"/>
    <x v="1"/>
  </r>
  <r>
    <n v="2174"/>
    <n v="499"/>
    <n v="212"/>
    <n v="54938"/>
    <n v="27190"/>
    <n v="265"/>
    <s v="#MusicForEveryone,#NowPlaying"/>
    <x v="0"/>
  </r>
  <r>
    <n v="4308"/>
    <n v="171"/>
    <n v="106"/>
    <n v="36955"/>
    <n v="23949"/>
    <n v="294"/>
    <s v="#DiscoverWeekly,#SpotifyWrapped"/>
    <x v="1"/>
  </r>
  <r>
    <n v="1060"/>
    <n v="442"/>
    <n v="319"/>
    <n v="57194"/>
    <n v="24258"/>
    <n v="101"/>
    <s v="#DiscoverWeekly,#SoundtrackOfLife"/>
    <x v="3"/>
  </r>
  <r>
    <n v="4653"/>
    <n v="226"/>
    <n v="349"/>
    <n v="56876"/>
    <n v="28452"/>
    <n v="257"/>
    <s v="#DiscoverWeekly,#SpotifyWrapped"/>
    <x v="1"/>
  </r>
  <r>
    <n v="1701"/>
    <n v="272"/>
    <n v="385"/>
    <n v="47496"/>
    <n v="40832"/>
    <n v="246"/>
    <s v="#DiscoverWeekly,#SpotifyWrapped"/>
    <x v="1"/>
  </r>
  <r>
    <n v="1673"/>
    <n v="280"/>
    <n v="67"/>
    <n v="29847"/>
    <n v="48016"/>
    <n v="213"/>
    <s v="#SoundtrackOfLife,#NowPlaying"/>
    <x v="0"/>
  </r>
  <r>
    <n v="4310"/>
    <n v="284"/>
    <n v="306"/>
    <n v="44606"/>
    <n v="42604"/>
    <n v="290"/>
    <s v="#DiscoverWeekly,#SpotifyWrapped"/>
    <x v="1"/>
  </r>
  <r>
    <n v="2752"/>
    <n v="309"/>
    <n v="91"/>
    <n v="39038"/>
    <n v="28095"/>
    <n v="277"/>
    <s v="#NowPlaying"/>
    <x v="0"/>
  </r>
  <r>
    <n v="3818"/>
    <n v="115"/>
    <n v="286"/>
    <n v="25127"/>
    <n v="22277"/>
    <n v="263"/>
    <s v="#NowPlaying"/>
    <x v="0"/>
  </r>
  <r>
    <n v="2101"/>
    <n v="411"/>
    <n v="190"/>
    <n v="41791"/>
    <n v="57090"/>
    <n v="172"/>
    <s v="#DiscoverWeekly,#SpotifyWrapped"/>
    <x v="1"/>
  </r>
  <r>
    <n v="2519"/>
    <n v="202"/>
    <n v="239"/>
    <n v="36245"/>
    <n v="48606"/>
    <n v="145"/>
    <s v="#DiscoverWeekly"/>
    <x v="1"/>
  </r>
  <r>
    <n v="4502"/>
    <n v="238"/>
    <n v="386"/>
    <n v="39198"/>
    <n v="25050"/>
    <n v="297"/>
    <s v="#DiscoverWeekly,#SpotifyWrapped"/>
    <x v="1"/>
  </r>
  <r>
    <n v="2478"/>
    <n v="427"/>
    <n v="242"/>
    <n v="59272"/>
    <n v="37833"/>
    <n v="214"/>
    <s v="#SoundtrackOfLife,#NowPlaying"/>
    <x v="0"/>
  </r>
  <r>
    <n v="4984"/>
    <n v="300"/>
    <n v="338"/>
    <n v="32900"/>
    <n v="31691"/>
    <n v="160"/>
    <s v="#MusicForEveryone,#NowPlaying"/>
    <x v="0"/>
  </r>
  <r>
    <n v="4774"/>
    <n v="389"/>
    <n v="358"/>
    <n v="52346"/>
    <n v="30518"/>
    <n v="277"/>
    <s v="#DiscoverWeekly,#SpotifyWrapped"/>
    <x v="1"/>
  </r>
  <r>
    <n v="2145"/>
    <n v="340"/>
    <n v="85"/>
    <n v="53323"/>
    <n v="49938"/>
    <n v="104"/>
    <s v="#NowPlaying"/>
    <x v="0"/>
  </r>
  <r>
    <n v="4315"/>
    <n v="208"/>
    <n v="273"/>
    <n v="35780"/>
    <n v="44349"/>
    <n v="133"/>
    <s v="#DiscoverWeekly,#MusicForEveryone"/>
    <x v="0"/>
  </r>
  <r>
    <n v="2267"/>
    <n v="230"/>
    <n v="243"/>
    <n v="27904"/>
    <n v="69771"/>
    <n v="255"/>
    <s v="#DiscoverWeekly,#MusicForEveryone"/>
    <x v="0"/>
  </r>
  <r>
    <n v="4375"/>
    <n v="303"/>
    <n v="294"/>
    <n v="57468"/>
    <n v="53397"/>
    <n v="159"/>
    <s v="#DiscoverWeekly,#SpotifyWrapped"/>
    <x v="1"/>
  </r>
  <r>
    <n v="3817"/>
    <n v="284"/>
    <n v="204"/>
    <n v="46434"/>
    <n v="53396"/>
    <n v="104"/>
    <s v="#MusicForEveryone,#NowPlaying"/>
    <x v="0"/>
  </r>
  <r>
    <n v="2981"/>
    <n v="258"/>
    <n v="168"/>
    <n v="20677"/>
    <n v="68290"/>
    <n v="130"/>
    <s v="#SoundtrackOfLife,#NowPlaying"/>
    <x v="0"/>
  </r>
  <r>
    <n v="3300"/>
    <n v="354"/>
    <n v="397"/>
    <n v="56773"/>
    <n v="72110"/>
    <n v="163"/>
    <s v="#DiscoverWeekly,#MusicForEveryone"/>
    <x v="0"/>
  </r>
  <r>
    <n v="4722"/>
    <n v="310"/>
    <n v="344"/>
    <n v="27911"/>
    <n v="19000"/>
    <n v="225"/>
    <s v="#DiscoverWeekly,#SoundtrackOfLife"/>
    <x v="3"/>
  </r>
  <r>
    <n v="3529"/>
    <n v="263"/>
    <n v="107"/>
    <n v="26570"/>
    <n v="19367"/>
    <n v="96"/>
    <s v="#DiscoverWeekly"/>
    <x v="1"/>
  </r>
  <r>
    <n v="4782"/>
    <n v="210"/>
    <n v="311"/>
    <n v="29793"/>
    <n v="37543"/>
    <n v="145"/>
    <s v="#NowPlaying"/>
    <x v="0"/>
  </r>
  <r>
    <n v="1848"/>
    <n v="417"/>
    <n v="294"/>
    <n v="57819"/>
    <n v="19798"/>
    <n v="262"/>
    <s v="#SoundtrackOfLife"/>
    <x v="1"/>
  </r>
  <r>
    <n v="4676"/>
    <n v="211"/>
    <n v="55"/>
    <n v="45917"/>
    <n v="73503"/>
    <n v="248"/>
    <s v="#DiscoverWeekly,#SpotifyWrapped"/>
    <x v="1"/>
  </r>
  <r>
    <n v="1994"/>
    <n v="197"/>
    <n v="290"/>
    <n v="49500"/>
    <n v="23343"/>
    <n v="160"/>
    <s v="#DiscoverWeekly,#SpotifyWrapped"/>
    <x v="1"/>
  </r>
  <r>
    <n v="4995"/>
    <n v="231"/>
    <n v="94"/>
    <n v="34431"/>
    <n v="32560"/>
    <n v="262"/>
    <s v="#NowPlaying"/>
    <x v="0"/>
  </r>
  <r>
    <n v="2291"/>
    <n v="146"/>
    <n v="399"/>
    <n v="49319"/>
    <n v="28056"/>
    <n v="90"/>
    <s v="#DiscoverWeekly,#MusicForEveryone"/>
    <x v="0"/>
  </r>
  <r>
    <n v="2304"/>
    <n v="289"/>
    <n v="161"/>
    <n v="52645"/>
    <n v="66262"/>
    <n v="146"/>
    <s v="#MusicForEveryone,#NowPlaying"/>
    <x v="0"/>
  </r>
  <r>
    <n v="3413"/>
    <n v="326"/>
    <n v="86"/>
    <n v="44680"/>
    <n v="52719"/>
    <n v="272"/>
    <s v="#DiscoverWeekly,#MusicForEveryone"/>
    <x v="0"/>
  </r>
  <r>
    <n v="1453"/>
    <n v="156"/>
    <n v="178"/>
    <n v="52980"/>
    <n v="57180"/>
    <n v="286"/>
    <s v="#DiscoverWeekly,#SoundtrackOfLife"/>
    <x v="3"/>
  </r>
  <r>
    <n v="1651"/>
    <n v="480"/>
    <n v="282"/>
    <n v="32140"/>
    <n v="70560"/>
    <n v="138"/>
    <s v="#SoundtrackOfLife,#NowPlaying"/>
    <x v="0"/>
  </r>
  <r>
    <n v="3341"/>
    <n v="154"/>
    <n v="123"/>
    <n v="43369"/>
    <n v="49035"/>
    <n v="128"/>
    <s v="#MusicForEveryone,#NowPlaying"/>
    <x v="0"/>
  </r>
  <r>
    <n v="2972"/>
    <n v="263"/>
    <n v="308"/>
    <n v="51740"/>
    <n v="28214"/>
    <n v="190"/>
    <s v="#SoundtrackOfLife"/>
    <x v="1"/>
  </r>
  <r>
    <n v="4963"/>
    <n v="255"/>
    <n v="193"/>
    <n v="44386"/>
    <n v="28415"/>
    <n v="174"/>
    <s v="#MusicForEveryone,#NowPlaying"/>
    <x v="0"/>
  </r>
  <r>
    <n v="2399"/>
    <n v="191"/>
    <n v="221"/>
    <n v="51603"/>
    <n v="40033"/>
    <n v="173"/>
    <s v="#DiscoverWeekly,#SpotifyWrapped"/>
    <x v="1"/>
  </r>
  <r>
    <n v="2162"/>
    <n v="318"/>
    <n v="83"/>
    <n v="46719"/>
    <n v="20482"/>
    <n v="185"/>
    <s v="#DiscoverWeekly,#SoundtrackOfLife"/>
    <x v="3"/>
  </r>
  <r>
    <n v="4341"/>
    <n v="141"/>
    <n v="63"/>
    <n v="50081"/>
    <n v="27507"/>
    <n v="221"/>
    <s v="#DiscoverWeekly,#MusicForEveryone"/>
    <x v="0"/>
  </r>
  <r>
    <n v="2448"/>
    <n v="464"/>
    <n v="98"/>
    <n v="25737"/>
    <n v="48545"/>
    <n v="246"/>
    <s v="#NowPlaying"/>
    <x v="2"/>
  </r>
  <r>
    <n v="2471"/>
    <n v="166"/>
    <n v="320"/>
    <n v="48254"/>
    <n v="46900"/>
    <n v="111"/>
    <s v="#DiscoverWeekly,#SpotifyWrapped"/>
    <x v="1"/>
  </r>
  <r>
    <n v="2692"/>
    <n v="446"/>
    <n v="216"/>
    <n v="45818"/>
    <n v="62723"/>
    <n v="85"/>
    <s v="#DiscoverWeekly,#SoundtrackOfLife"/>
    <x v="3"/>
  </r>
  <r>
    <n v="4621"/>
    <n v="374"/>
    <n v="298"/>
    <n v="56979"/>
    <n v="24098"/>
    <n v="205"/>
    <s v="#DiscoverWeekly,#SoundtrackOfLife"/>
    <x v="3"/>
  </r>
  <r>
    <n v="1409"/>
    <n v="466"/>
    <n v="105"/>
    <n v="58923"/>
    <n v="38753"/>
    <n v="265"/>
    <s v="#DiscoverWeekly,#MusicForEveryone"/>
    <x v="0"/>
  </r>
  <r>
    <n v="3029"/>
    <n v="440"/>
    <n v="66"/>
    <n v="23815"/>
    <n v="47895"/>
    <n v="210"/>
    <s v="#DiscoverWeekly,#MusicForEveryone"/>
    <x v="0"/>
  </r>
  <r>
    <n v="2229"/>
    <n v="395"/>
    <n v="328"/>
    <n v="56921"/>
    <n v="37176"/>
    <n v="126"/>
    <s v="#SoundtrackOfLife"/>
    <x v="1"/>
  </r>
  <r>
    <n v="2691"/>
    <n v="486"/>
    <n v="206"/>
    <n v="51133"/>
    <n v="44583"/>
    <n v="276"/>
    <s v="#NowPlaying"/>
    <x v="0"/>
  </r>
  <r>
    <n v="2110"/>
    <n v="384"/>
    <n v="236"/>
    <n v="49965"/>
    <n v="61555"/>
    <n v="195"/>
    <s v="#DiscoverWeekly"/>
    <x v="1"/>
  </r>
  <r>
    <n v="4752"/>
    <n v="449"/>
    <n v="309"/>
    <n v="58530"/>
    <n v="26630"/>
    <n v="234"/>
    <s v="#DiscoverWeekly"/>
    <x v="1"/>
  </r>
  <r>
    <n v="2177"/>
    <n v="258"/>
    <n v="292"/>
    <n v="47276"/>
    <n v="51324"/>
    <n v="143"/>
    <s v="#NowPlaying"/>
    <x v="0"/>
  </r>
  <r>
    <n v="1205"/>
    <n v="486"/>
    <n v="269"/>
    <n v="23341"/>
    <n v="42411"/>
    <n v="184"/>
    <s v="#NowPlaying"/>
    <x v="2"/>
  </r>
  <r>
    <n v="3194"/>
    <n v="292"/>
    <n v="245"/>
    <n v="56371"/>
    <n v="65597"/>
    <n v="163"/>
    <s v="#SoundtrackOfLife,#NowPlaying"/>
    <x v="0"/>
  </r>
  <r>
    <n v="3507"/>
    <n v="295"/>
    <n v="371"/>
    <n v="20410"/>
    <n v="53965"/>
    <n v="212"/>
    <s v="#SoundtrackOfLife,#NowPlaying"/>
    <x v="0"/>
  </r>
  <r>
    <n v="4471"/>
    <n v="317"/>
    <n v="249"/>
    <n v="44862"/>
    <n v="33365"/>
    <n v="184"/>
    <s v="#DiscoverWeekly,#MusicForEveryone"/>
    <x v="0"/>
  </r>
  <r>
    <n v="4931"/>
    <n v="469"/>
    <n v="193"/>
    <n v="56701"/>
    <n v="69437"/>
    <n v="291"/>
    <s v="#SoundtrackOfLife,#NowPlaying"/>
    <x v="0"/>
  </r>
  <r>
    <n v="2604"/>
    <n v="439"/>
    <n v="148"/>
    <n v="58468"/>
    <n v="39629"/>
    <n v="163"/>
    <s v="#MusicForEveryone,#NowPlaying"/>
    <x v="0"/>
  </r>
  <r>
    <n v="4197"/>
    <n v="359"/>
    <n v="280"/>
    <n v="56048"/>
    <n v="70930"/>
    <n v="295"/>
    <s v="#DiscoverWeekly"/>
    <x v="1"/>
  </r>
  <r>
    <n v="1914"/>
    <n v="255"/>
    <n v="156"/>
    <n v="27660"/>
    <n v="47776"/>
    <n v="111"/>
    <s v="#NowPlaying"/>
    <x v="2"/>
  </r>
  <r>
    <n v="1334"/>
    <n v="357"/>
    <n v="257"/>
    <n v="56910"/>
    <n v="70606"/>
    <n v="228"/>
    <s v="#DiscoverWeekly,#SpotifyWrapped"/>
    <x v="1"/>
  </r>
  <r>
    <n v="3359"/>
    <n v="137"/>
    <n v="387"/>
    <n v="33861"/>
    <n v="47257"/>
    <n v="198"/>
    <s v="#DiscoverWeekly"/>
    <x v="1"/>
  </r>
  <r>
    <n v="2172"/>
    <n v="338"/>
    <n v="70"/>
    <n v="30515"/>
    <n v="57853"/>
    <n v="156"/>
    <s v="#DiscoverWeekly,#SpotifyWrapped"/>
    <x v="1"/>
  </r>
  <r>
    <n v="4877"/>
    <n v="442"/>
    <n v="236"/>
    <n v="52673"/>
    <n v="48241"/>
    <n v="114"/>
    <s v="#DiscoverWeekly,#MusicForEveryone"/>
    <x v="0"/>
  </r>
  <r>
    <n v="4918"/>
    <n v="440"/>
    <n v="149"/>
    <n v="53269"/>
    <n v="64370"/>
    <n v="269"/>
    <s v="#NowPlaying"/>
    <x v="2"/>
  </r>
  <r>
    <n v="3418"/>
    <n v="107"/>
    <n v="221"/>
    <n v="23927"/>
    <n v="26182"/>
    <n v="155"/>
    <s v="#SoundtrackOfLife"/>
    <x v="1"/>
  </r>
  <r>
    <n v="2088"/>
    <n v="490"/>
    <n v="124"/>
    <n v="46544"/>
    <n v="69346"/>
    <n v="178"/>
    <s v="#SoundtrackOfLife,#NowPlaying"/>
    <x v="0"/>
  </r>
  <r>
    <n v="3061"/>
    <n v="320"/>
    <n v="76"/>
    <n v="26640"/>
    <n v="24306"/>
    <n v="112"/>
    <s v="#MusicForEveryone,#NowPlaying"/>
    <x v="0"/>
  </r>
  <r>
    <n v="1265"/>
    <n v="230"/>
    <n v="364"/>
    <n v="41312"/>
    <n v="50382"/>
    <n v="106"/>
    <s v="#DiscoverWeekly,#SoundtrackOfLife"/>
    <x v="3"/>
  </r>
  <r>
    <n v="1436"/>
    <n v="219"/>
    <n v="229"/>
    <n v="58488"/>
    <n v="24314"/>
    <n v="147"/>
    <s v="#DiscoverWeekly"/>
    <x v="1"/>
  </r>
  <r>
    <n v="2244"/>
    <n v="392"/>
    <n v="231"/>
    <n v="25834"/>
    <n v="50906"/>
    <n v="165"/>
    <s v="#NowPlaying"/>
    <x v="2"/>
  </r>
  <r>
    <n v="3393"/>
    <n v="104"/>
    <n v="79"/>
    <n v="30025"/>
    <n v="21593"/>
    <n v="165"/>
    <s v="#MusicForEveryone,#NowPlaying"/>
    <x v="0"/>
  </r>
  <r>
    <n v="2901"/>
    <n v="108"/>
    <n v="86"/>
    <n v="51777"/>
    <n v="23773"/>
    <n v="160"/>
    <s v="#SoundtrackOfLife"/>
    <x v="1"/>
  </r>
  <r>
    <n v="2275"/>
    <n v="285"/>
    <n v="125"/>
    <n v="43970"/>
    <n v="74761"/>
    <n v="83"/>
    <s v="#NowPlaying"/>
    <x v="0"/>
  </r>
  <r>
    <n v="2227"/>
    <n v="494"/>
    <n v="161"/>
    <n v="51651"/>
    <n v="68074"/>
    <n v="240"/>
    <s v="#DiscoverWeekly,#MusicForEveryone"/>
    <x v="0"/>
  </r>
  <r>
    <n v="1883"/>
    <n v="432"/>
    <n v="397"/>
    <n v="28759"/>
    <n v="18691"/>
    <n v="270"/>
    <s v="#SoundtrackOfLife,#NowPlaying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7"/>
    <s v="Twitter"/>
    <d v="2024-12-19T00:00:00"/>
    <s v="Story"/>
    <s v="Get into the groove with our new drop!"/>
    <n v="4674"/>
    <n v="409"/>
    <n v="327"/>
    <n v="20756"/>
    <n v="63599"/>
    <n v="212"/>
    <s v="#SoundtrackOfLife"/>
    <s v="#NowPlaying"/>
    <x v="0"/>
    <n v="13.200509890939994"/>
    <n v="2796"/>
    <n v="200000"/>
    <n v="1.3979999999999999E-2"/>
    <d v="2025-01-10T00:00:00"/>
    <d v="2025-02-10T00:00:00"/>
    <s v="Before"/>
    <n v="9.1506370005412894"/>
    <n v="10.935919348028296"/>
    <n v="19.509924253157475"/>
  </r>
  <r>
    <s v="SP106"/>
    <s v="Twitter"/>
    <d v="2025-01-20T00:00:00"/>
    <s v="Story"/>
    <s v="New music just dropped. Hit play!"/>
    <n v="4619"/>
    <n v="272"/>
    <n v="57"/>
    <n v="21334"/>
    <n v="46292"/>
    <n v="91"/>
    <s v="#SoundtrackOfLife"/>
    <s v="#NowPlaying"/>
    <x v="0"/>
    <n v="8.7095334546328402"/>
    <n v="2537"/>
    <n v="160000"/>
    <n v="1.5856249999999999E-2"/>
    <d v="2025-03-01T00:00:00"/>
    <d v="2025-03-31T00:00:00"/>
    <s v="During"/>
    <n v="9.2225707195282638"/>
    <n v="9.8461233003105288"/>
    <n v="6.7611580300699483"/>
  </r>
  <r>
    <s v="SP186"/>
    <s v="Twitter"/>
    <d v="2024-06-16T00:00:00"/>
    <s v="Story"/>
    <s v="Explore the latest podcasts now."/>
    <n v="4618"/>
    <n v="312"/>
    <n v="254"/>
    <n v="22571"/>
    <n v="29453"/>
    <n v="197"/>
    <s v="#MusicForEveryone"/>
    <s v="#NowPlaying"/>
    <x v="0"/>
    <n v="7.0477352576105021"/>
    <n v="3350"/>
    <n v="200000"/>
    <n v="1.6750000000000001E-2"/>
    <d v="2025-01-10T00:00:00"/>
    <d v="2025-02-10T00:00:00"/>
    <s v="Before"/>
    <n v="9.2721024329819812"/>
    <n v="9.2480453162955385"/>
    <n v="-0.25945697710228777"/>
  </r>
  <r>
    <s v="SP279"/>
    <s v="Twitter"/>
    <d v="2025-01-19T00:00:00"/>
    <s v="Story"/>
    <s v="New music just dropped. Hit play!"/>
    <n v="3507"/>
    <n v="295"/>
    <n v="371"/>
    <n v="20410"/>
    <n v="53965"/>
    <n v="212"/>
    <s v="#SoundtrackOfLife"/>
    <s v="#NowPlaying"/>
    <x v="0"/>
    <n v="12.15714092690177"/>
    <n v="3599"/>
    <n v="200000"/>
    <n v="1.7995000000000001E-2"/>
    <d v="2025-01-10T00:00:00"/>
    <d v="2025-02-10T00:00:00"/>
    <s v="During"/>
    <n v="9.2567134035350644"/>
    <n v="9.5415157832624846"/>
    <n v="3.0767116503645497"/>
  </r>
  <r>
    <s v="SP050"/>
    <s v="Twitter"/>
    <d v="2025-04-22T00:00:00"/>
    <s v="Text"/>
    <s v="Discover fresh beats on Spotify!"/>
    <n v="4401"/>
    <n v="421"/>
    <n v="216"/>
    <n v="24890"/>
    <n v="54361"/>
    <n v="148"/>
    <s v="#NowPlaying"/>
    <s v="NA"/>
    <x v="0"/>
    <n v="13.14700217204213"/>
    <n v="3208"/>
    <n v="160000"/>
    <n v="2.0049999999999998E-2"/>
    <d v="2025-03-01T00:00:00"/>
    <d v="2025-03-31T00:00:00"/>
    <s v="Before"/>
    <n v="9.220041802281834"/>
    <n v="9.8664062932633403"/>
    <n v="7.0104290722580007"/>
  </r>
  <r>
    <s v="SP022"/>
    <s v="Instagram"/>
    <d v="2025-06-15T00:00:00"/>
    <s v="Text"/>
    <s v="Whatâ€™s your vibe today? #SpotifyHits"/>
    <n v="4896"/>
    <n v="466"/>
    <n v="233"/>
    <n v="28621"/>
    <n v="34270"/>
    <n v="84"/>
    <s v="#SoundtrackOfLife"/>
    <s v="#NowPlaying"/>
    <x v="0"/>
    <n v="7.4828079253761839"/>
    <n v="4396"/>
    <n v="160000"/>
    <n v="2.7474999999999999E-2"/>
    <d v="2025-03-01T00:00:00"/>
    <d v="2025-03-31T00:00:00"/>
    <s v="Before"/>
    <n v="9.2603179379735359"/>
    <n v="9.188117865372659"/>
    <n v="-0.77967163853854327"/>
  </r>
  <r>
    <s v="SP157"/>
    <s v="YouTube"/>
    <d v="2025-03-02T00:00:00"/>
    <s v="Text"/>
    <s v="From pop to podcasts, itâ€™s all here."/>
    <n v="4425"/>
    <n v="185"/>
    <n v="162"/>
    <n v="24610"/>
    <n v="21342"/>
    <n v="158"/>
    <s v="#DiscoverWeekly"/>
    <s v="#SpotifyWrapped"/>
    <x v="1"/>
    <n v="26.064752360763155"/>
    <n v="5410"/>
    <n v="200000"/>
    <n v="2.7050000000000001E-2"/>
    <d v="2025-01-10T00:00:00"/>
    <d v="2025-02-10T00:00:00"/>
    <s v="Before"/>
    <n v="9.2375163304801919"/>
    <n v="9.5508245585902625"/>
    <n v="3.3916933610853373"/>
  </r>
  <r>
    <s v="SP248"/>
    <s v="YouTube"/>
    <d v="2024-06-14T00:00:00"/>
    <s v="Reel"/>
    <s v="Wrapped is here! Relive your top tracks ðŸŽ§"/>
    <n v="4722"/>
    <n v="310"/>
    <n v="344"/>
    <n v="27911"/>
    <n v="19000"/>
    <n v="225"/>
    <s v="#DiscoverWeekly"/>
    <s v="#SoundtrackOfLife"/>
    <x v="2"/>
    <n v="8.7100435029317183"/>
    <n v="1842"/>
    <n v="200000"/>
    <n v="9.2099999999999994E-3"/>
    <d v="2025-01-10T00:00:00"/>
    <d v="2025-02-10T00:00:00"/>
    <s v="Before"/>
    <n v="9.2423217502917225"/>
    <n v="8.7267561586262499"/>
    <n v="-5.5783125235734135"/>
  </r>
  <r>
    <s v="SP136"/>
    <s v="Twitter"/>
    <d v="2024-11-19T00:00:00"/>
    <s v="Text"/>
    <s v="Top trending tracks updated daily!"/>
    <n v="3728"/>
    <n v="271"/>
    <n v="275"/>
    <n v="22827"/>
    <n v="37034"/>
    <n v="199"/>
    <s v="#NowPlaying"/>
    <s v="NA"/>
    <x v="0"/>
    <n v="8.3943337400027112"/>
    <n v="4954"/>
    <n v="200000"/>
    <n v="2.477E-2"/>
    <d v="2025-01-10T00:00:00"/>
    <d v="2025-02-10T00:00:00"/>
    <s v="Before"/>
    <n v="9.2357409607339775"/>
    <n v="8.8317148598967794"/>
    <n v="-4.3745932519645896"/>
  </r>
  <r>
    <s v="SP068"/>
    <s v="Twitter"/>
    <d v="2024-03-28T00:00:00"/>
    <s v="Text"/>
    <s v="Music that moves youâ€”only on Spotify."/>
    <n v="3276"/>
    <n v="421"/>
    <n v="114"/>
    <n v="20580"/>
    <n v="30324"/>
    <n v="221"/>
    <s v="#SoundtrackOfLife"/>
    <s v="NA"/>
    <x v="1"/>
    <n v="12.997310581470833"/>
    <n v="2803"/>
    <n v="200000"/>
    <n v="1.4015E-2"/>
    <d v="2025-01-10T00:00:00"/>
    <d v="2025-02-10T00:00:00"/>
    <s v="Before"/>
    <n v="9.1628811258014515"/>
    <n v="9.7608377152413421"/>
    <n v="6.5258577649351421"/>
  </r>
  <r>
    <s v="SP088"/>
    <s v="Twitter"/>
    <d v="2025-02-17T00:00:00"/>
    <s v="Story"/>
    <s v="Whatâ€™s your vibe today? #SpotifyHits"/>
    <n v="4796"/>
    <n v="427"/>
    <n v="339"/>
    <n v="30752"/>
    <n v="33870"/>
    <n v="298"/>
    <s v="#SoundtrackOfLife"/>
    <s v="#NowPlaying"/>
    <x v="0"/>
    <n v="8.4525482181632388"/>
    <n v="2647"/>
    <n v="160000"/>
    <n v="1.6543749999999999E-2"/>
    <d v="2025-03-01T00:00:00"/>
    <d v="2025-03-31T00:00:00"/>
    <s v="Before"/>
    <n v="9.309486702107554"/>
    <n v="7.8006229922547989"/>
    <n v="-16.207807778608963"/>
  </r>
  <r>
    <s v="SP213"/>
    <s v="Instagram"/>
    <d v="2025-06-24T00:00:00"/>
    <s v="Story"/>
    <s v="Get into the groove with our new drop!"/>
    <n v="4902"/>
    <n v="422"/>
    <n v="376"/>
    <n v="31674"/>
    <n v="53225"/>
    <n v="147"/>
    <s v="#NowPlaying"/>
    <s v="NA"/>
    <x v="3"/>
    <n v="5.4191936281527369"/>
    <n v="2082"/>
    <n v="200000"/>
    <n v="1.0410000000000001E-2"/>
    <d v="2025-01-10T00:00:00"/>
    <d v="2025-02-10T00:00:00"/>
    <s v="Before"/>
    <n v="9.1876068567652975"/>
    <n v="9.3249979125317406"/>
    <n v="1.495395459431039"/>
  </r>
  <r>
    <s v="SP250"/>
    <s v="Twitter"/>
    <d v="2025-05-15T00:00:00"/>
    <s v="Text"/>
    <s v="Your weekend playlist is waiting."/>
    <n v="4782"/>
    <n v="210"/>
    <n v="311"/>
    <n v="29793"/>
    <n v="37543"/>
    <n v="145"/>
    <s v="#NowPlaying"/>
    <s v="NA"/>
    <x v="0"/>
    <n v="7.4550393727863558"/>
    <n v="4336"/>
    <n v="200000"/>
    <n v="2.1680000000000001E-2"/>
    <d v="2025-01-10T00:00:00"/>
    <d v="2025-02-10T00:00:00"/>
    <s v="Before"/>
    <n v="9.1958495116853509"/>
    <n v="9.3996466918154784"/>
    <n v="2.2161865510212877"/>
  </r>
  <r>
    <s v="SP067"/>
    <s v="YouTube"/>
    <d v="2024-04-02T00:00:00"/>
    <s v="Reel"/>
    <s v="Your weekend playlist is waiting."/>
    <n v="4563"/>
    <n v="488"/>
    <n v="356"/>
    <n v="30619"/>
    <n v="23328"/>
    <n v="267"/>
    <s v="#DiscoverWeekly"/>
    <s v="#SoundtrackOfLife"/>
    <x v="2"/>
    <n v="8.5063484278785886"/>
    <n v="3122"/>
    <n v="200000"/>
    <n v="1.5610000000000001E-2"/>
    <d v="2025-01-10T00:00:00"/>
    <d v="2025-02-10T00:00:00"/>
    <s v="Before"/>
    <n v="9.1834244585386475"/>
    <n v="9.6399264192403589"/>
    <n v="4.9709339121013922"/>
  </r>
  <r>
    <s v="SP090"/>
    <s v="Twitter"/>
    <d v="2024-07-22T00:00:00"/>
    <s v="Story"/>
    <s v="Wrapped is here! Relive your top tracks ðŸŽ§"/>
    <n v="3336"/>
    <n v="229"/>
    <n v="337"/>
    <n v="22117"/>
    <n v="26205"/>
    <n v="160"/>
    <s v="#MusicForEveryone"/>
    <s v="#NowPlaying"/>
    <x v="0"/>
    <n v="11.27440520644404"/>
    <n v="4227"/>
    <n v="200000"/>
    <n v="2.1135000000000001E-2"/>
    <d v="2025-01-10T00:00:00"/>
    <d v="2025-02-10T00:00:00"/>
    <s v="Before"/>
    <n v="9.2006735846575989"/>
    <n v="9.4671919414263854"/>
    <n v="2.8967265745979072"/>
  </r>
  <r>
    <s v="SP177"/>
    <s v="Twitter"/>
    <d v="2024-11-10T00:00:00"/>
    <s v="Text"/>
    <s v="Explore the latest podcasts now."/>
    <n v="4823"/>
    <n v="489"/>
    <n v="302"/>
    <n v="32470"/>
    <n v="31861"/>
    <n v="178"/>
    <s v="#SoundtrackOfLife"/>
    <s v="NA"/>
    <x v="1"/>
    <n v="9.3810966751068872"/>
    <n v="4520"/>
    <n v="200000"/>
    <n v="2.2599999999999999E-2"/>
    <d v="2025-01-10T00:00:00"/>
    <d v="2025-02-10T00:00:00"/>
    <s v="Before"/>
    <n v="9.2893379775759843"/>
    <n v="8.1887021541684479"/>
    <n v="-11.848377420053167"/>
  </r>
  <r>
    <s v="SP239"/>
    <s v="Twitter"/>
    <d v="2024-12-13T00:00:00"/>
    <s v="Story"/>
    <s v="New music just dropped. Hit play!"/>
    <n v="4984"/>
    <n v="300"/>
    <n v="338"/>
    <n v="32900"/>
    <n v="31691"/>
    <n v="160"/>
    <s v="#MusicForEveryone"/>
    <s v="#NowPlaying"/>
    <x v="0"/>
    <n v="4.7214969538729328"/>
    <n v="1953"/>
    <n v="200000"/>
    <n v="9.7649999999999994E-3"/>
    <d v="2025-01-10T00:00:00"/>
    <d v="2025-02-10T00:00:00"/>
    <s v="Before"/>
    <n v="9.0828306583125489"/>
    <n v="10.910010833569263"/>
    <n v="20.116858323065735"/>
  </r>
  <r>
    <s v="SP234"/>
    <s v="Twitter"/>
    <d v="2024-02-02T00:00:00"/>
    <s v="Text"/>
    <s v="From pop to podcasts, itâ€™s all here."/>
    <n v="3818"/>
    <n v="115"/>
    <n v="286"/>
    <n v="25127"/>
    <n v="22277"/>
    <n v="263"/>
    <s v="#NowPlaying"/>
    <s v="NA"/>
    <x v="0"/>
    <n v="14.080798066794721"/>
    <n v="4545"/>
    <n v="225000"/>
    <n v="2.0199999999999999E-2"/>
    <d v="2024-12-01T00:00:00"/>
    <d v="2024-12-31T00:00:00"/>
    <s v="Before"/>
    <n v="9.1456550018644176"/>
    <n v="10.30193740108416"/>
    <n v="12.642969792584838"/>
  </r>
  <r>
    <s v="SP183"/>
    <s v="Twitter"/>
    <d v="2024-07-23T00:00:00"/>
    <s v="Text"/>
    <s v="Top trending tracks updated daily!"/>
    <n v="3204"/>
    <n v="398"/>
    <n v="85"/>
    <n v="22020"/>
    <n v="58353"/>
    <n v="286"/>
    <s v="#SoundtrackOfLife"/>
    <s v="NA"/>
    <x v="1"/>
    <n v="6.4255640042732365"/>
    <n v="2045"/>
    <n v="175000"/>
    <n v="1.1685714285714285E-2"/>
    <d v="2024-06-15T00:00:00"/>
    <d v="2024-07-15T00:00:00"/>
    <s v="Before"/>
    <n v="9.1235443077335319"/>
    <n v="10.344830340952221"/>
    <n v="13.386091983829921"/>
  </r>
  <r>
    <s v="SP111"/>
    <s v="YouTube"/>
    <d v="2024-07-20T00:00:00"/>
    <s v="Reel"/>
    <s v="Music that moves youâ€”only on Spotify."/>
    <n v="4955"/>
    <n v="299"/>
    <n v="345"/>
    <n v="33644"/>
    <n v="43547"/>
    <n v="194"/>
    <s v="#DiscoverWeekly"/>
    <s v="#SoundtrackOfLife"/>
    <x v="2"/>
    <n v="15.347655981879333"/>
    <n v="4472"/>
    <n v="160000"/>
    <n v="2.7949999999999999E-2"/>
    <d v="2025-03-01T00:00:00"/>
    <d v="2025-03-31T00:00:00"/>
    <s v="Before"/>
    <n v="9.2515864972818491"/>
    <n v="8.8087787825197257"/>
    <n v="-4.7862895179353506"/>
  </r>
  <r>
    <s v="SP137"/>
    <s v="Twitter"/>
    <d v="2024-04-05T00:00:00"/>
    <s v="Story"/>
    <s v="New music just dropped. Hit play!"/>
    <n v="4965"/>
    <n v="175"/>
    <n v="307"/>
    <n v="32793"/>
    <n v="43412"/>
    <n v="296"/>
    <s v="#SoundtrackOfLife"/>
    <s v="#NowPlaying"/>
    <x v="0"/>
    <n v="4.3543867212761374"/>
    <n v="2424"/>
    <n v="225000"/>
    <n v="1.0773333333333333E-2"/>
    <d v="2024-12-01T00:00:00"/>
    <d v="2024-12-31T00:00:00"/>
    <s v="Before"/>
    <n v="9.1208368814715133"/>
    <n v="10.203720313824252"/>
    <n v="11.872632373818222"/>
  </r>
  <r>
    <s v="SP246"/>
    <s v="Twitter"/>
    <d v="2024-07-08T00:00:00"/>
    <s v="Story"/>
    <s v="Top trending tracks updated daily!"/>
    <n v="2981"/>
    <n v="258"/>
    <n v="168"/>
    <n v="20677"/>
    <n v="68290"/>
    <n v="130"/>
    <s v="#SoundtrackOfLife"/>
    <s v="#NowPlaying"/>
    <x v="0"/>
    <n v="19.548583208133888"/>
    <n v="5595"/>
    <n v="200000"/>
    <n v="2.7975E-2"/>
    <d v="2025-01-10T00:00:00"/>
    <d v="2025-02-10T00:00:00"/>
    <s v="Before"/>
    <n v="9.245209946885927"/>
    <n v="8.8314116247173438"/>
    <n v="-4.4758131458979289"/>
  </r>
  <r>
    <s v="SP172"/>
    <s v="YouTube"/>
    <d v="2024-04-18T00:00:00"/>
    <s v="Text"/>
    <s v="Explore the latest podcasts now."/>
    <n v="4023"/>
    <n v="293"/>
    <n v="91"/>
    <n v="26795"/>
    <n v="28924"/>
    <n v="278"/>
    <s v="#DiscoverWeekly"/>
    <s v="#SpotifyWrapped"/>
    <x v="1"/>
    <n v="8.0047619047619047"/>
    <n v="3362"/>
    <n v="175000"/>
    <n v="1.921142857142857E-2"/>
    <d v="2024-06-15T00:00:00"/>
    <d v="2024-07-15T00:00:00"/>
    <s v="Before"/>
    <n v="9.144489421348279"/>
    <n v="9.6155377410906286"/>
    <n v="5.1511713561903543"/>
  </r>
  <r>
    <s v="SP084"/>
    <s v="Twitter"/>
    <d v="2024-08-03T00:00:00"/>
    <s v="Text"/>
    <s v="Your weekend playlist is waiting."/>
    <n v="4247"/>
    <n v="390"/>
    <n v="213"/>
    <n v="29785"/>
    <n v="57768"/>
    <n v="122"/>
    <s v="#NowPlaying"/>
    <s v="NA"/>
    <x v="0"/>
    <n v="11.026748397882418"/>
    <n v="3166"/>
    <n v="160000"/>
    <n v="1.97875E-2"/>
    <d v="2025-03-01T00:00:00"/>
    <d v="2025-03-31T00:00:00"/>
    <s v="Before"/>
    <n v="9.1803833170402545"/>
    <n v="9.2112875572779931"/>
    <n v="0.33663344078863722"/>
  </r>
  <r>
    <s v="SP033"/>
    <s v="Twitter"/>
    <d v="2024-10-09T00:00:00"/>
    <s v="Story"/>
    <s v="Discover fresh beats on Spotify!"/>
    <n v="4929"/>
    <n v="182"/>
    <n v="95"/>
    <n v="32181"/>
    <n v="31084"/>
    <n v="289"/>
    <s v="#DiscoverWeekly"/>
    <s v="#MusicForEveryone"/>
    <x v="0"/>
    <n v="8.1036535115831878"/>
    <n v="4425"/>
    <n v="175000"/>
    <n v="2.5285714285714286E-2"/>
    <d v="2024-06-15T00:00:00"/>
    <d v="2024-07-15T00:00:00"/>
    <s v="Before"/>
    <n v="9.2329010819966566"/>
    <n v="8.4467419117939606"/>
    <n v="-8.5147578558556969"/>
  </r>
  <r>
    <s v="SP167"/>
    <s v="YouTube"/>
    <d v="2025-01-27T00:00:00"/>
    <s v="Text"/>
    <s v="Wrapped is here! Relive your top tracks ðŸŽ§"/>
    <n v="4294"/>
    <n v="423"/>
    <n v="93"/>
    <n v="29828"/>
    <n v="73144"/>
    <n v="298"/>
    <s v="#DiscoverWeekly"/>
    <s v="#SpotifyWrapped"/>
    <x v="1"/>
    <n v="5.1734114498571477"/>
    <n v="2861"/>
    <n v="200000"/>
    <n v="1.4305E-2"/>
    <d v="2025-01-10T00:00:00"/>
    <d v="2025-02-10T00:00:00"/>
    <s v="During"/>
    <n v="9.2034970480529292"/>
    <n v="8.8781057230971658"/>
    <n v="-3.5355183280533833"/>
  </r>
  <r>
    <s v="SP158"/>
    <s v="Twitter"/>
    <d v="2025-03-21T00:00:00"/>
    <s v="Story"/>
    <s v="New music just dropped. Hit play!"/>
    <n v="4609"/>
    <n v="427"/>
    <n v="395"/>
    <n v="33698"/>
    <n v="29259"/>
    <n v="216"/>
    <s v="#DiscoverWeekly"/>
    <s v="#MusicForEveryone"/>
    <x v="0"/>
    <n v="11.363049929041415"/>
    <n v="3523"/>
    <n v="200000"/>
    <n v="1.7614999999999999E-2"/>
    <d v="2025-01-10T00:00:00"/>
    <d v="2025-02-10T00:00:00"/>
    <s v="Before"/>
    <n v="9.1730581842482497"/>
    <n v="9.4661835733264077"/>
    <n v="3.1955034317944886"/>
  </r>
  <r>
    <s v="SP071"/>
    <s v="Twitter"/>
    <d v="2024-01-11T00:00:00"/>
    <s v="Text"/>
    <s v="Whatâ€™s your vibe today? #SpotifyHits"/>
    <n v="4218"/>
    <n v="247"/>
    <n v="183"/>
    <n v="28914"/>
    <n v="18310"/>
    <n v="135"/>
    <s v="#SoundtrackOfLife"/>
    <s v="NA"/>
    <x v="1"/>
    <n v="8.2056760461178744"/>
    <n v="4071"/>
    <n v="175000"/>
    <n v="2.3262857142857144E-2"/>
    <d v="2024-06-15T00:00:00"/>
    <d v="2024-07-15T00:00:00"/>
    <s v="Before"/>
    <n v="9.1894877242268223"/>
    <n v="9.1488503053578434"/>
    <n v="-0.44221636818605131"/>
  </r>
  <r>
    <s v="SP110"/>
    <s v="Instagram"/>
    <d v="2024-06-26T00:00:00"/>
    <s v="Text"/>
    <s v="New music just dropped. Hit play!"/>
    <n v="3253"/>
    <n v="483"/>
    <n v="336"/>
    <n v="25397"/>
    <n v="51485"/>
    <n v="131"/>
    <s v="#DiscoverWeekly"/>
    <s v="NA"/>
    <x v="1"/>
    <n v="6.9526910553533803"/>
    <n v="3993"/>
    <n v="200000"/>
    <n v="1.9965E-2"/>
    <d v="2025-01-10T00:00:00"/>
    <d v="2025-02-10T00:00:00"/>
    <s v="Before"/>
    <n v="9.2534812527775312"/>
    <n v="8.3917224295243287"/>
    <n v="-9.3128067125497935"/>
  </r>
  <r>
    <s v="SP048"/>
    <s v="Instagram"/>
    <d v="2025-02-05T00:00:00"/>
    <s v="Story"/>
    <s v="Music that moves youâ€”only on Spotify."/>
    <n v="3074"/>
    <n v="371"/>
    <n v="348"/>
    <n v="24104"/>
    <n v="57803"/>
    <n v="213"/>
    <s v="#NowPlaying"/>
    <s v="NA"/>
    <x v="3"/>
    <n v="10.399399962497656"/>
    <n v="2773"/>
    <n v="200000"/>
    <n v="1.3865000000000001E-2"/>
    <d v="2025-01-10T00:00:00"/>
    <d v="2025-02-10T00:00:00"/>
    <s v="During"/>
    <n v="9.2165685657741605"/>
    <n v="8.9700161612878428"/>
    <n v="-2.675099769798198"/>
  </r>
  <r>
    <s v="SP290"/>
    <s v="Twitter"/>
    <d v="2024-08-13T00:00:00"/>
    <s v="Text"/>
    <s v="Explore the latest podcasts now."/>
    <n v="3418"/>
    <n v="107"/>
    <n v="221"/>
    <n v="23927"/>
    <n v="26182"/>
    <n v="155"/>
    <s v="#SoundtrackOfLife"/>
    <s v="NA"/>
    <x v="1"/>
    <n v="8.0484684812735416"/>
    <n v="4530"/>
    <n v="200000"/>
    <n v="2.265E-2"/>
    <d v="2025-01-10T00:00:00"/>
    <d v="2025-02-10T00:00:00"/>
    <s v="Before"/>
    <n v="9.1710889457103342"/>
    <n v="9.4793698422495005"/>
    <n v="3.3614426636147825"/>
  </r>
  <r>
    <s v="SP161"/>
    <s v="Instagram"/>
    <d v="2025-05-26T00:00:00"/>
    <s v="Text"/>
    <s v="Discover fresh beats on Spotify!"/>
    <n v="3086"/>
    <n v="148"/>
    <n v="310"/>
    <n v="22824"/>
    <n v="58103"/>
    <n v="275"/>
    <s v="#DiscoverWeekly"/>
    <s v="NA"/>
    <x v="1"/>
    <n v="7.5198893116568657"/>
    <n v="3261"/>
    <n v="200000"/>
    <n v="1.6305E-2"/>
    <d v="2025-01-10T00:00:00"/>
    <d v="2025-02-10T00:00:00"/>
    <s v="Before"/>
    <n v="9.2140253228817333"/>
    <n v="9.0009429696874275"/>
    <n v="-2.3125870152011174"/>
  </r>
  <r>
    <s v="SP170"/>
    <s v="Twitter"/>
    <d v="2024-11-23T00:00:00"/>
    <s v="Text"/>
    <s v="New music just dropped. Hit play!"/>
    <n v="4318"/>
    <n v="371"/>
    <n v="329"/>
    <n v="32347"/>
    <n v="68956"/>
    <n v="259"/>
    <s v="#SoundtrackOfLife"/>
    <s v="NA"/>
    <x v="1"/>
    <n v="16.177247444144061"/>
    <n v="5206"/>
    <n v="200000"/>
    <n v="2.6030000000000001E-2"/>
    <d v="2025-01-10T00:00:00"/>
    <d v="2025-02-10T00:00:00"/>
    <s v="Before"/>
    <n v="9.3300781786847562"/>
    <n v="7.6465943582911438"/>
    <n v="-18.04361965840387"/>
  </r>
  <r>
    <s v="SP254"/>
    <s v="Twitter"/>
    <d v="2025-02-03T00:00:00"/>
    <s v="Text"/>
    <s v="Whatâ€™s your vibe today? #SpotifyHits"/>
    <n v="4995"/>
    <n v="231"/>
    <n v="94"/>
    <n v="34431"/>
    <n v="32560"/>
    <n v="262"/>
    <s v="#NowPlaying"/>
    <s v="NA"/>
    <x v="0"/>
    <n v="4.4299315445747114"/>
    <n v="1689"/>
    <n v="200000"/>
    <n v="8.4449999999999994E-3"/>
    <d v="2025-01-10T00:00:00"/>
    <d v="2025-02-10T00:00:00"/>
    <s v="During"/>
    <n v="9.056880948213724"/>
    <n v="10.678221691335448"/>
    <n v="17.901756160784014"/>
  </r>
  <r>
    <s v="SP020"/>
    <s v="Instagram"/>
    <d v="2024-07-05T00:00:00"/>
    <s v="Text"/>
    <s v="Your weekend playlist is waiting."/>
    <n v="3753"/>
    <n v="411"/>
    <n v="308"/>
    <n v="29138"/>
    <n v="27678"/>
    <n v="90"/>
    <s v="#DiscoverWeekly"/>
    <s v="NA"/>
    <x v="1"/>
    <n v="9.7668038408779143"/>
    <n v="3916"/>
    <n v="200000"/>
    <n v="1.958E-2"/>
    <d v="2025-01-10T00:00:00"/>
    <d v="2025-02-10T00:00:00"/>
    <s v="Before"/>
    <n v="9.1051139745820659"/>
    <n v="10.316302937186808"/>
    <n v="13.302293260533704"/>
  </r>
  <r>
    <s v="SP052"/>
    <s v="Twitter"/>
    <d v="2024-09-04T00:00:00"/>
    <s v="Story"/>
    <s v="New music just dropped. Hit play!"/>
    <n v="2613"/>
    <n v="455"/>
    <n v="228"/>
    <n v="21645"/>
    <n v="61334"/>
    <n v="261"/>
    <s v="#DiscoverWeekly"/>
    <s v="#MusicForEveryone"/>
    <x v="0"/>
    <n v="6.3600055728416844"/>
    <n v="2739"/>
    <n v="160000"/>
    <n v="1.7118749999999999E-2"/>
    <d v="2025-03-01T00:00:00"/>
    <d v="2025-03-31T00:00:00"/>
    <s v="Before"/>
    <n v="9.3493426806519615"/>
    <n v="7.2914167945158024"/>
    <n v="-22.011449964230565"/>
  </r>
  <r>
    <s v="SP271"/>
    <s v="Twitter"/>
    <d v="2025-02-05T00:00:00"/>
    <s v="Story"/>
    <s v="Discover fresh beats on Spotify!"/>
    <n v="3029"/>
    <n v="440"/>
    <n v="66"/>
    <n v="23815"/>
    <n v="47895"/>
    <n v="210"/>
    <s v="#DiscoverWeekly"/>
    <s v="#MusicForEveryone"/>
    <x v="0"/>
    <n v="10.772626931567329"/>
    <n v="4880"/>
    <n v="200000"/>
    <n v="2.4400000000000002E-2"/>
    <d v="2025-01-10T00:00:00"/>
    <d v="2025-02-10T00:00:00"/>
    <s v="During"/>
    <n v="9.3458265658408664"/>
    <n v="7.4837802506016633"/>
    <n v="-19.923826984389052"/>
  </r>
  <r>
    <s v="SP083"/>
    <s v="Twitter"/>
    <d v="2025-01-03T00:00:00"/>
    <s v="Story"/>
    <s v="Get into the groove with our new drop!"/>
    <n v="4845"/>
    <n v="158"/>
    <n v="84"/>
    <n v="34578"/>
    <n v="51480"/>
    <n v="180"/>
    <s v="#SoundtrackOfLife"/>
    <s v="#NowPlaying"/>
    <x v="0"/>
    <n v="3.9122543637545095"/>
    <n v="1746"/>
    <n v="225000"/>
    <n v="7.7600000000000004E-3"/>
    <d v="2024-12-01T00:00:00"/>
    <d v="2024-12-31T00:00:00"/>
    <s v="Before"/>
    <n v="9.1275063216334402"/>
    <n v="10.065031199435579"/>
    <n v="10.271424031556965"/>
  </r>
  <r>
    <s v="SP249"/>
    <s v="Instagram"/>
    <d v="2024-03-06T00:00:00"/>
    <s v="Text"/>
    <s v="Whatâ€™s your vibe today? #SpotifyHits"/>
    <n v="3529"/>
    <n v="263"/>
    <n v="107"/>
    <n v="26570"/>
    <n v="19367"/>
    <n v="96"/>
    <s v="#DiscoverWeekly"/>
    <s v="NA"/>
    <x v="1"/>
    <n v="3.9913595142645857"/>
    <n v="2051"/>
    <n v="160000"/>
    <n v="1.281875E-2"/>
    <d v="2025-03-01T00:00:00"/>
    <d v="2025-03-31T00:00:00"/>
    <s v="Before"/>
    <n v="9.1258964968600775"/>
    <n v="10.345272677087227"/>
    <n v="13.361713894593224"/>
  </r>
  <r>
    <s v="SP046"/>
    <s v="Instagram"/>
    <d v="2024-02-12T00:00:00"/>
    <s v="Text"/>
    <s v="Explore the latest podcasts now."/>
    <n v="2923"/>
    <n v="330"/>
    <n v="250"/>
    <n v="23993"/>
    <n v="74590"/>
    <n v="92"/>
    <s v="#DiscoverWeekly"/>
    <s v="NA"/>
    <x v="1"/>
    <n v="14.436927106067218"/>
    <n v="3969"/>
    <n v="200000"/>
    <n v="1.9845000000000002E-2"/>
    <d v="2025-01-10T00:00:00"/>
    <d v="2025-02-10T00:00:00"/>
    <s v="Before"/>
    <n v="9.2586251964746822"/>
    <n v="8.9891446695128696"/>
    <n v="-2.9105890047738412"/>
  </r>
  <r>
    <s v="SP102"/>
    <s v="Twitter"/>
    <d v="2024-10-26T00:00:00"/>
    <s v="Text"/>
    <s v="Discover fresh beats on Spotify!"/>
    <n v="3036"/>
    <n v="293"/>
    <n v="115"/>
    <n v="23776"/>
    <n v="46386"/>
    <n v="282"/>
    <s v="#NowPlaying"/>
    <s v="NA"/>
    <x v="0"/>
    <n v="10.863928268508422"/>
    <n v="4483"/>
    <n v="200000"/>
    <n v="2.2415000000000001E-2"/>
    <d v="2025-01-10T00:00:00"/>
    <d v="2025-02-10T00:00:00"/>
    <s v="Before"/>
    <n v="9.2879925114765793"/>
    <n v="8.3441012576681377"/>
    <n v="-10.162489393075367"/>
  </r>
  <r>
    <s v="SP040"/>
    <s v="Twitter"/>
    <d v="2025-06-10T00:00:00"/>
    <s v="Text"/>
    <s v="Explore the latest podcasts now."/>
    <n v="3615"/>
    <n v="192"/>
    <n v="162"/>
    <n v="27492"/>
    <n v="35341"/>
    <n v="125"/>
    <s v="#NowPlaying"/>
    <s v="NA"/>
    <x v="0"/>
    <n v="9.3795286825853346"/>
    <n v="4207"/>
    <n v="225000"/>
    <n v="1.8697777777777778E-2"/>
    <d v="2024-12-01T00:00:00"/>
    <d v="2024-12-31T00:00:00"/>
    <s v="Before"/>
    <n v="9.1050324192779541"/>
    <n v="10.572232119280743"/>
    <n v="16.114162283445673"/>
  </r>
  <r>
    <s v="SP094"/>
    <s v="Twitter"/>
    <d v="2024-11-13T00:00:00"/>
    <s v="Story"/>
    <s v="Top trending tracks updated daily!"/>
    <n v="4628"/>
    <n v="257"/>
    <n v="397"/>
    <n v="36686"/>
    <n v="54683"/>
    <n v="98"/>
    <s v="#SoundtrackOfLife"/>
    <s v="#NowPlaying"/>
    <x v="0"/>
    <n v="11.750707750379519"/>
    <n v="5728"/>
    <n v="200000"/>
    <n v="2.8639999999999999E-2"/>
    <d v="2025-01-10T00:00:00"/>
    <d v="2025-02-10T00:00:00"/>
    <s v="Before"/>
    <n v="9.1156702371843732"/>
    <n v="10.423972395967983"/>
    <n v="14.352232197330068"/>
  </r>
  <r>
    <s v="SP079"/>
    <s v="YouTube"/>
    <d v="2024-01-13T00:00:00"/>
    <s v="Reel"/>
    <s v="New music just dropped. Hit play!"/>
    <n v="4781"/>
    <n v="191"/>
    <n v="122"/>
    <n v="35535"/>
    <n v="50777"/>
    <n v="128"/>
    <s v="#DiscoverWeekly"/>
    <s v="#SoundtrackOfLife"/>
    <x v="2"/>
    <n v="3.9937155714174879"/>
    <n v="2059"/>
    <n v="160000"/>
    <n v="1.286875E-2"/>
    <d v="2025-03-01T00:00:00"/>
    <d v="2025-03-31T00:00:00"/>
    <s v="Before"/>
    <n v="9.2209056430799698"/>
    <n v="8.9670742845812921"/>
    <n v="-2.7527812161180836"/>
  </r>
  <r>
    <s v="SP095"/>
    <s v="Instagram"/>
    <d v="2024-03-22T00:00:00"/>
    <s v="Story"/>
    <s v="Discover fresh beats on Spotify!"/>
    <n v="2319"/>
    <n v="484"/>
    <n v="193"/>
    <n v="21202"/>
    <n v="18091"/>
    <n v="241"/>
    <s v="#NowPlaying"/>
    <s v="NA"/>
    <x v="3"/>
    <n v="11.613367267898639"/>
    <n v="4198"/>
    <n v="160000"/>
    <n v="2.62375E-2"/>
    <d v="2025-03-01T00:00:00"/>
    <d v="2025-03-31T00:00:00"/>
    <s v="Before"/>
    <n v="9.1255183370600719"/>
    <n v="10.432020684495955"/>
    <n v="14.317020679581397"/>
  </r>
  <r>
    <s v="SP018"/>
    <s v="Instagram"/>
    <d v="2024-02-03T00:00:00"/>
    <s v="Story"/>
    <s v="Music that moves youâ€”only on Spotify."/>
    <n v="4281"/>
    <n v="101"/>
    <n v="163"/>
    <n v="32278"/>
    <n v="53382"/>
    <n v="235"/>
    <s v="#NowPlaying"/>
    <s v="NA"/>
    <x v="3"/>
    <n v="14.600091693410578"/>
    <n v="3503"/>
    <n v="160000"/>
    <n v="2.189375E-2"/>
    <d v="2025-03-01T00:00:00"/>
    <d v="2025-03-31T00:00:00"/>
    <s v="Before"/>
    <n v="9.2102850866860795"/>
    <n v="9.2481890085709129"/>
    <n v="0.41153907320008332"/>
  </r>
  <r>
    <s v="SP199"/>
    <s v="Twitter"/>
    <d v="2024-07-11T00:00:00"/>
    <s v="Story"/>
    <s v="Get into the groove with our new drop!"/>
    <n v="4247"/>
    <n v="179"/>
    <n v="175"/>
    <n v="32991"/>
    <n v="70120"/>
    <n v="276"/>
    <s v="#SoundtrackOfLife"/>
    <s v="#NowPlaying"/>
    <x v="0"/>
    <n v="9.8072192379135501"/>
    <n v="3907"/>
    <n v="175000"/>
    <n v="2.2325714285714286E-2"/>
    <d v="2024-06-15T00:00:00"/>
    <d v="2024-07-15T00:00:00"/>
    <s v="Before"/>
    <n v="9.1189430647854479"/>
    <n v="10.09427156330373"/>
    <n v="10.695630969390526"/>
  </r>
  <r>
    <s v="SP056"/>
    <s v="Instagram"/>
    <d v="2025-02-19T00:00:00"/>
    <s v="Story"/>
    <s v="From pop to podcasts, itâ€™s all here."/>
    <n v="2422"/>
    <n v="455"/>
    <n v="376"/>
    <n v="23428"/>
    <n v="46775"/>
    <n v="259"/>
    <s v="#NowPlaying"/>
    <s v="NA"/>
    <x v="3"/>
    <n v="15.735977431131762"/>
    <n v="3793"/>
    <n v="225000"/>
    <n v="1.6857777777777777E-2"/>
    <d v="2024-12-01T00:00:00"/>
    <d v="2024-12-31T00:00:00"/>
    <s v="Before"/>
    <n v="9.1980402025812342"/>
    <n v="9.083902804496276"/>
    <n v="-1.2408882280480578"/>
  </r>
  <r>
    <s v="SP109"/>
    <s v="Instagram"/>
    <d v="2024-11-21T00:00:00"/>
    <s v="Text"/>
    <s v="Music that moves youâ€”only on Spotify."/>
    <n v="4581"/>
    <n v="181"/>
    <n v="112"/>
    <n v="35221"/>
    <n v="28797"/>
    <n v="164"/>
    <s v="#SoundtrackOfLife"/>
    <s v="#NowPlaying"/>
    <x v="0"/>
    <n v="10.87862256289851"/>
    <n v="4726"/>
    <n v="200000"/>
    <n v="2.3630000000000002E-2"/>
    <d v="2025-01-10T00:00:00"/>
    <d v="2025-02-10T00:00:00"/>
    <s v="Before"/>
    <n v="9.1029714143122327"/>
    <n v="9.9056444065029101"/>
    <n v="8.817703095592142"/>
  </r>
  <r>
    <s v="SP096"/>
    <s v="Twitter"/>
    <d v="2024-03-16T00:00:00"/>
    <s v="Story"/>
    <s v="Wrapped is here! Relive your top tracks ðŸŽ§"/>
    <n v="2895"/>
    <n v="292"/>
    <n v="90"/>
    <n v="24223"/>
    <n v="54626"/>
    <n v="114"/>
    <s v="#SoundtrackOfLife"/>
    <s v="#NowPlaying"/>
    <x v="0"/>
    <n v="20.241060666934512"/>
    <n v="5038"/>
    <n v="200000"/>
    <n v="2.5190000000000001E-2"/>
    <d v="2025-01-10T00:00:00"/>
    <d v="2025-02-10T00:00:00"/>
    <s v="Before"/>
    <n v="9.2257328660548517"/>
    <n v="8.3132071458253591"/>
    <n v="-9.8910919433516042"/>
  </r>
  <r>
    <s v="SP078"/>
    <s v="Twitter"/>
    <d v="2025-01-21T00:00:00"/>
    <s v="Story"/>
    <s v="Discover fresh beats on Spotify!"/>
    <n v="2494"/>
    <n v="494"/>
    <n v="55"/>
    <n v="22580"/>
    <n v="22214"/>
    <n v="109"/>
    <s v="#MusicForEveryone"/>
    <s v="#NowPlaying"/>
    <x v="0"/>
    <n v="10.249760265016128"/>
    <n v="4703"/>
    <n v="175000"/>
    <n v="2.6874285714285715E-2"/>
    <d v="2024-06-15T00:00:00"/>
    <d v="2024-07-15T00:00:00"/>
    <s v="During"/>
    <n v="9.1197116226964301"/>
    <n v="9.0224481676630415"/>
    <n v="-1.066518976228666"/>
  </r>
  <r>
    <s v="SP242"/>
    <s v="Twitter"/>
    <d v="2025-04-12T00:00:00"/>
    <s v="Story"/>
    <s v="From pop to podcasts, itâ€™s all here."/>
    <n v="4315"/>
    <n v="208"/>
    <n v="273"/>
    <n v="35780"/>
    <n v="44349"/>
    <n v="133"/>
    <s v="#DiscoverWeekly"/>
    <s v="#MusicForEveryone"/>
    <x v="0"/>
    <n v="15.227535227535228"/>
    <n v="3296"/>
    <n v="200000"/>
    <n v="1.6480000000000002E-2"/>
    <d v="2025-01-10T00:00:00"/>
    <d v="2025-02-10T00:00:00"/>
    <s v="Before"/>
    <n v="9.0955207210923081"/>
    <n v="9.2647140661740934"/>
    <n v="1.8601831634491219"/>
  </r>
  <r>
    <s v="SP001"/>
    <s v="Instagram"/>
    <d v="2025-05-04T00:00:00"/>
    <s v="Text"/>
    <s v="Discover fresh beats on Spotify!"/>
    <n v="2414"/>
    <n v="245"/>
    <n v="137"/>
    <n v="21181"/>
    <n v="45292"/>
    <n v="133"/>
    <s v="#SoundtrackOfLife"/>
    <s v="#NowPlaying"/>
    <x v="0"/>
    <n v="5.8723551855705862"/>
    <n v="3386"/>
    <n v="200000"/>
    <n v="1.6930000000000001E-2"/>
    <d v="2025-01-10T00:00:00"/>
    <d v="2025-02-10T00:00:00"/>
    <s v="Before"/>
    <n v="9.0758406804563538"/>
    <n v="9.1755137794978125"/>
    <n v="1.0982244240590495"/>
  </r>
  <r>
    <s v="SP005"/>
    <s v="YouTube"/>
    <d v="2024-04-06T00:00:00"/>
    <s v="Text"/>
    <s v="Music that moves youâ€”only on Spotify."/>
    <n v="2748"/>
    <n v="145"/>
    <n v="315"/>
    <n v="24401"/>
    <n v="61182"/>
    <n v="200"/>
    <s v="#DiscoverWeekly"/>
    <s v="#SpotifyWrapped"/>
    <x v="1"/>
    <n v="9.5101162290142049"/>
    <n v="5523"/>
    <n v="160000"/>
    <n v="3.4518750000000001E-2"/>
    <d v="2025-03-01T00:00:00"/>
    <d v="2025-03-31T00:00:00"/>
    <s v="Before"/>
    <n v="9.0441729121593681"/>
    <n v="9.7982635031586405"/>
    <n v="8.3378612762416449"/>
  </r>
  <r>
    <s v="SP237"/>
    <s v="YouTube"/>
    <d v="2024-01-14T00:00:00"/>
    <s v="Text"/>
    <s v="Whatâ€™s your vibe today? #SpotifyHits"/>
    <n v="4502"/>
    <n v="238"/>
    <n v="386"/>
    <n v="39198"/>
    <n v="25050"/>
    <n v="297"/>
    <s v="#DiscoverWeekly"/>
    <s v="#SpotifyWrapped"/>
    <x v="1"/>
    <n v="4.7817327065144388"/>
    <n v="2492"/>
    <n v="200000"/>
    <n v="1.2460000000000001E-2"/>
    <d v="2025-01-10T00:00:00"/>
    <d v="2025-02-10T00:00:00"/>
    <s v="Before"/>
    <n v="9.0342750251718069"/>
    <n v="9.9041854327643364"/>
    <n v="9.6290007241171658"/>
  </r>
  <r>
    <s v="SP010"/>
    <s v="Twitter"/>
    <d v="2024-12-04T00:00:00"/>
    <s v="Text"/>
    <s v="Wrapped is here! Relive your top tracks ðŸŽ§"/>
    <n v="2357"/>
    <n v="274"/>
    <n v="172"/>
    <n v="21566"/>
    <n v="66829"/>
    <n v="284"/>
    <s v="#NowPlaying"/>
    <s v="NA"/>
    <x v="0"/>
    <n v="13.885094758408743"/>
    <n v="3253"/>
    <n v="225000"/>
    <n v="1.4457777777777778E-2"/>
    <d v="2024-12-01T00:00:00"/>
    <d v="2024-12-31T00:00:00"/>
    <s v="Before"/>
    <n v="9.0419782865632055"/>
    <n v="10.051020651671308"/>
    <n v="11.159530946978562"/>
  </r>
  <r>
    <s v="SP292"/>
    <s v="Twitter"/>
    <d v="2024-11-03T00:00:00"/>
    <s v="Story"/>
    <s v="Explore the latest podcasts now."/>
    <n v="3061"/>
    <n v="320"/>
    <n v="76"/>
    <n v="26640"/>
    <n v="24306"/>
    <n v="112"/>
    <s v="#MusicForEveryone"/>
    <s v="#NowPlaying"/>
    <x v="0"/>
    <n v="10.600966926007748"/>
    <n v="3311"/>
    <n v="160000"/>
    <n v="2.069375E-2"/>
    <d v="2025-03-01T00:00:00"/>
    <d v="2025-03-31T00:00:00"/>
    <s v="Before"/>
    <n v="9.0911423598049907"/>
    <n v="9.1096464694518176"/>
    <n v="0.20353998336490384"/>
  </r>
  <r>
    <s v="SP187"/>
    <s v="YouTube"/>
    <d v="2025-05-18T00:00:00"/>
    <s v="Reel"/>
    <s v="Wrapped is here! Relive your top tracks ðŸŽ§"/>
    <n v="4210"/>
    <n v="319"/>
    <n v="350"/>
    <n v="37762"/>
    <n v="55162"/>
    <n v="204"/>
    <s v="#DiscoverWeekly"/>
    <s v="#SoundtrackOfLife"/>
    <x v="2"/>
    <n v="8.8283323127168813"/>
    <n v="3460"/>
    <n v="160000"/>
    <n v="2.1624999999999998E-2"/>
    <d v="2025-03-01T00:00:00"/>
    <d v="2025-03-31T00:00:00"/>
    <s v="Before"/>
    <n v="9.1193423810335812"/>
    <n v="8.6459388598127731"/>
    <n v="-5.1912024073730718"/>
  </r>
  <r>
    <s v="SP221"/>
    <s v="Twitter"/>
    <d v="2025-05-09T00:00:00"/>
    <s v="Story"/>
    <s v="Music that moves youâ€”only on Spotify."/>
    <n v="2778"/>
    <n v="241"/>
    <n v="317"/>
    <n v="26247"/>
    <n v="20677"/>
    <n v="282"/>
    <s v="#MusicForEveryone"/>
    <s v="#NowPlaying"/>
    <x v="0"/>
    <n v="2.5027528414923199"/>
    <n v="1341"/>
    <n v="160000"/>
    <n v="8.3812499999999998E-3"/>
    <d v="2025-03-01T00:00:00"/>
    <d v="2025-03-31T00:00:00"/>
    <s v="Before"/>
    <n v="8.9538176283865116"/>
    <n v="10.853825884160292"/>
    <n v="21.220091078805726"/>
  </r>
  <r>
    <s v="SP214"/>
    <s v="Twitter"/>
    <d v="2024-10-09T00:00:00"/>
    <s v="Text"/>
    <s v="Wrapped is here! Relive your top tracks ðŸŽ§"/>
    <n v="2659"/>
    <n v="167"/>
    <n v="73"/>
    <n v="23090"/>
    <n v="25872"/>
    <n v="293"/>
    <s v="#SoundtrackOfLife"/>
    <s v="NA"/>
    <x v="1"/>
    <n v="11.124541239039184"/>
    <n v="5062"/>
    <n v="160000"/>
    <n v="3.1637499999999999E-2"/>
    <d v="2025-03-01T00:00:00"/>
    <d v="2025-03-31T00:00:00"/>
    <s v="Before"/>
    <n v="9.109004911579472"/>
    <n v="9.1884796107291571"/>
    <n v="0.87248497416722126"/>
  </r>
  <r>
    <s v="SP218"/>
    <s v="Twitter"/>
    <d v="2024-10-14T00:00:00"/>
    <s v="Story"/>
    <s v="Explore the latest podcasts now."/>
    <n v="4303"/>
    <n v="306"/>
    <n v="302"/>
    <n v="39575"/>
    <n v="33762"/>
    <n v="265"/>
    <s v="#DiscoverWeekly"/>
    <s v="#MusicForEveryone"/>
    <x v="0"/>
    <n v="8.8087436599488314"/>
    <n v="3925"/>
    <n v="175000"/>
    <n v="2.242857142857143E-2"/>
    <d v="2024-06-15T00:00:00"/>
    <d v="2024-07-15T00:00:00"/>
    <s v="Before"/>
    <n v="9.0056673801933851"/>
    <n v="10.425463914943149"/>
    <n v="15.765589320702583"/>
  </r>
  <r>
    <s v="SP227"/>
    <s v="YouTube"/>
    <d v="2025-03-22T00:00:00"/>
    <s v="Text"/>
    <s v="Music that moves youâ€”only on Spotify."/>
    <n v="4308"/>
    <n v="171"/>
    <n v="106"/>
    <n v="36955"/>
    <n v="23949"/>
    <n v="294"/>
    <s v="#DiscoverWeekly"/>
    <s v="#SpotifyWrapped"/>
    <x v="1"/>
    <n v="4.3619068768968834"/>
    <n v="2357"/>
    <n v="200000"/>
    <n v="1.1785E-2"/>
    <d v="2025-01-10T00:00:00"/>
    <d v="2025-02-10T00:00:00"/>
    <s v="Before"/>
    <n v="9.1669114540917285"/>
    <n v="8.3313897569909212"/>
    <n v="-9.1145387547936352"/>
  </r>
  <r>
    <s v="SP262"/>
    <s v="Twitter"/>
    <d v="2024-11-30T00:00:00"/>
    <s v="Story"/>
    <s v="Explore the latest podcasts now."/>
    <n v="4963"/>
    <n v="255"/>
    <n v="193"/>
    <n v="44386"/>
    <n v="28415"/>
    <n v="174"/>
    <s v="#MusicForEveryone"/>
    <s v="#NowPlaying"/>
    <x v="0"/>
    <n v="3.6351938233874859"/>
    <n v="1356"/>
    <n v="160000"/>
    <n v="8.4749999999999999E-3"/>
    <d v="2025-03-01T00:00:00"/>
    <d v="2025-03-31T00:00:00"/>
    <s v="Before"/>
    <n v="9.1580580549697697"/>
    <n v="8.7291312736466651"/>
    <n v="-4.6835997189419487"/>
  </r>
  <r>
    <s v="SP004"/>
    <s v="Instagram"/>
    <d v="2024-12-03T00:00:00"/>
    <s v="Text"/>
    <s v="Wrapped is here! Relive your top tracks ðŸŽ§"/>
    <n v="3173"/>
    <n v="229"/>
    <n v="197"/>
    <n v="29604"/>
    <n v="21809"/>
    <n v="272"/>
    <s v="#SoundtrackOfLife"/>
    <s v="#NowPlaying"/>
    <x v="0"/>
    <n v="9.2093661212893121"/>
    <n v="4700"/>
    <n v="200000"/>
    <n v="2.35E-2"/>
    <d v="2025-01-10T00:00:00"/>
    <d v="2025-02-10T00:00:00"/>
    <s v="Before"/>
    <n v="9.2049574301382737"/>
    <n v="8.4470725497944166"/>
    <n v="-8.2334425345894573"/>
  </r>
  <r>
    <s v="SP296"/>
    <s v="Twitter"/>
    <d v="2025-03-20T00:00:00"/>
    <s v="Story"/>
    <s v="Your weekend playlist is waiting."/>
    <n v="3393"/>
    <n v="104"/>
    <n v="79"/>
    <n v="30025"/>
    <n v="21593"/>
    <n v="165"/>
    <s v="#MusicForEveryone"/>
    <s v="#NowPlaying"/>
    <x v="0"/>
    <n v="3.5777344113000655"/>
    <n v="1925"/>
    <n v="160000"/>
    <n v="1.203125E-2"/>
    <d v="2025-03-01T00:00:00"/>
    <d v="2025-03-31T00:00:00"/>
    <s v="Before"/>
    <n v="9.0454095768117959"/>
    <n v="10.502164972579543"/>
    <n v="16.104913585142537"/>
  </r>
  <r>
    <s v="SP043"/>
    <s v="Instagram"/>
    <d v="2025-02-14T00:00:00"/>
    <s v="Text"/>
    <s v="Top trending tracks updated daily!"/>
    <n v="4891"/>
    <n v="450"/>
    <n v="387"/>
    <n v="48746"/>
    <n v="37312"/>
    <n v="154"/>
    <s v="#SoundtrackOfLife"/>
    <s v="#NowPlaying"/>
    <x v="0"/>
    <n v="9.0267383317458165"/>
    <n v="5307"/>
    <n v="200000"/>
    <n v="2.6535E-2"/>
    <d v="2025-01-10T00:00:00"/>
    <d v="2025-02-10T00:00:00"/>
    <s v="Before"/>
    <n v="9.148276328663858"/>
    <n v="9.5046781056243912"/>
    <n v="3.8958352825858187"/>
  </r>
  <r>
    <s v="SP142"/>
    <s v="Instagram"/>
    <d v="2024-12-21T00:00:00"/>
    <s v="Story"/>
    <s v="New music just dropped. Hit play!"/>
    <n v="4563"/>
    <n v="398"/>
    <n v="163"/>
    <n v="43679"/>
    <n v="48760"/>
    <n v="92"/>
    <s v="#NowPlaying"/>
    <s v="NA"/>
    <x v="3"/>
    <n v="17.658969920637514"/>
    <n v="5407"/>
    <n v="175000"/>
    <n v="3.0897142857142856E-2"/>
    <d v="2024-06-15T00:00:00"/>
    <d v="2024-07-15T00:00:00"/>
    <s v="Before"/>
    <n v="9.1154638066425271"/>
    <n v="9.9306695924212853"/>
    <n v="8.9431081409671105"/>
  </r>
  <r>
    <s v="SP266"/>
    <s v="Instagram"/>
    <d v="2024-05-30T00:00:00"/>
    <s v="Story"/>
    <s v="Get into the groove with our new drop!"/>
    <n v="2448"/>
    <n v="464"/>
    <n v="98"/>
    <n v="25737"/>
    <n v="48545"/>
    <n v="246"/>
    <s v="#NowPlaying"/>
    <s v="NA"/>
    <x v="3"/>
    <n v="18.517978620019438"/>
    <n v="3811"/>
    <n v="160000"/>
    <n v="2.381875E-2"/>
    <d v="2025-03-01T00:00:00"/>
    <d v="2025-03-31T00:00:00"/>
    <s v="Before"/>
    <n v="9.2389373664978809"/>
    <n v="7.8592698840241422"/>
    <n v="-14.933183630800137"/>
  </r>
  <r>
    <s v="SP139"/>
    <s v="Twitter"/>
    <d v="2025-03-09T00:00:00"/>
    <s v="Text"/>
    <s v="Your weekend playlist is waiting."/>
    <n v="2754"/>
    <n v="215"/>
    <n v="264"/>
    <n v="27762"/>
    <n v="70203"/>
    <n v="289"/>
    <s v="#NowPlaying"/>
    <s v="NA"/>
    <x v="0"/>
    <n v="4.6406515707509168"/>
    <n v="2074"/>
    <n v="200000"/>
    <n v="1.0370000000000001E-2"/>
    <d v="2025-01-10T00:00:00"/>
    <d v="2025-02-10T00:00:00"/>
    <s v="Before"/>
    <n v="9.0232176057602516"/>
    <n v="10.041664431381134"/>
    <n v="11.286958489959563"/>
  </r>
  <r>
    <s v="SP045"/>
    <s v="YouTube"/>
    <d v="2024-07-14T00:00:00"/>
    <s v="Text"/>
    <s v="Your weekend playlist is waiting."/>
    <n v="3806"/>
    <n v="114"/>
    <n v="278"/>
    <n v="36148"/>
    <n v="24209"/>
    <n v="201"/>
    <s v="#DiscoverWeekly"/>
    <s v="#SpotifyWrapped"/>
    <x v="1"/>
    <n v="10.657378184897237"/>
    <n v="5538"/>
    <n v="200000"/>
    <n v="2.7689999999999999E-2"/>
    <d v="2025-01-10T00:00:00"/>
    <d v="2025-02-10T00:00:00"/>
    <s v="Before"/>
    <n v="9.0607321557631444"/>
    <n v="9.8272204510511507"/>
    <n v="8.4594520852321615"/>
  </r>
  <r>
    <s v="SP145"/>
    <s v="Twitter"/>
    <d v="2025-05-28T00:00:00"/>
    <s v="Story"/>
    <s v="Top trending tracks updated daily!"/>
    <n v="4287"/>
    <n v="273"/>
    <n v="122"/>
    <n v="40792"/>
    <n v="23878"/>
    <n v="277"/>
    <s v="#MusicForEveryone"/>
    <s v="#NowPlaying"/>
    <x v="0"/>
    <n v="16.07525766064882"/>
    <n v="4648"/>
    <n v="160000"/>
    <n v="2.9049999999999999E-2"/>
    <d v="2025-03-01T00:00:00"/>
    <d v="2025-03-31T00:00:00"/>
    <s v="Before"/>
    <n v="9.1874764851874549"/>
    <n v="8.1452682041975404"/>
    <n v="-11.34379263631552"/>
  </r>
  <r>
    <s v="SP286"/>
    <s v="Instagram"/>
    <d v="2024-05-01T00:00:00"/>
    <s v="Text"/>
    <s v="Get into the groove with our new drop!"/>
    <n v="3359"/>
    <n v="137"/>
    <n v="387"/>
    <n v="33861"/>
    <n v="47257"/>
    <n v="198"/>
    <s v="#DiscoverWeekly"/>
    <s v="NA"/>
    <x v="1"/>
    <n v="8.1549489395129608"/>
    <n v="1661"/>
    <n v="160000"/>
    <n v="1.038125E-2"/>
    <d v="2025-03-01T00:00:00"/>
    <d v="2025-03-31T00:00:00"/>
    <s v="Before"/>
    <n v="9.1075614800150024"/>
    <n v="8.7366917289679904"/>
    <n v="-4.0721081253288567"/>
  </r>
  <r>
    <s v="SP027"/>
    <s v="Instagram"/>
    <d v="2024-11-29T00:00:00"/>
    <s v="Text"/>
    <s v="Whatâ€™s your vibe today? #SpotifyHits"/>
    <n v="2824"/>
    <n v="425"/>
    <n v="274"/>
    <n v="31004"/>
    <n v="53488"/>
    <n v="268"/>
    <s v="#SoundtrackOfLife"/>
    <s v="#NowPlaying"/>
    <x v="0"/>
    <n v="5.2042268944371441"/>
    <n v="1901"/>
    <n v="175000"/>
    <n v="1.0862857142857143E-2"/>
    <d v="2024-06-15T00:00:00"/>
    <d v="2024-07-15T00:00:00"/>
    <s v="Before"/>
    <n v="9.0907875717161133"/>
    <n v="9.0009215637660809"/>
    <n v="-0.98853930136515067"/>
  </r>
  <r>
    <s v="SP189"/>
    <s v="YouTube"/>
    <d v="2025-02-20T00:00:00"/>
    <s v="Reel"/>
    <s v="Get into the groove with our new drop!"/>
    <n v="4957"/>
    <n v="262"/>
    <n v="365"/>
    <n v="49199"/>
    <n v="40314"/>
    <n v="216"/>
    <s v="#DiscoverWeekly"/>
    <s v="#SoundtrackOfLife"/>
    <x v="2"/>
    <n v="4.0418432004799225"/>
    <n v="2156"/>
    <n v="200000"/>
    <n v="1.078E-2"/>
    <d v="2025-01-10T00:00:00"/>
    <d v="2025-02-10T00:00:00"/>
    <s v="Before"/>
    <n v="9.1066696188800478"/>
    <n v="9.0333527856986091"/>
    <n v="-0.80508941522856381"/>
  </r>
  <r>
    <s v="SP015"/>
    <s v="Twitter"/>
    <d v="2024-05-06T00:00:00"/>
    <s v="Text"/>
    <s v="Your weekend playlist is waiting."/>
    <n v="3476"/>
    <n v="355"/>
    <n v="396"/>
    <n v="37492"/>
    <n v="27285"/>
    <n v="179"/>
    <s v="#NowPlaying"/>
    <s v="NA"/>
    <x v="0"/>
    <n v="5.1660428636136073"/>
    <n v="2167"/>
    <n v="200000"/>
    <n v="1.0834999999999999E-2"/>
    <d v="2025-01-10T00:00:00"/>
    <d v="2025-02-10T00:00:00"/>
    <s v="Before"/>
    <n v="9.1239475875622436"/>
    <n v="9.1188663718057708"/>
    <n v="-5.5690979235780681E-2"/>
  </r>
  <r>
    <s v="SP162"/>
    <s v="Instagram"/>
    <d v="2024-11-14T00:00:00"/>
    <s v="Text"/>
    <s v="Music that moves youâ€”only on Spotify."/>
    <n v="2422"/>
    <n v="318"/>
    <n v="118"/>
    <n v="25386"/>
    <n v="20873"/>
    <n v="100"/>
    <s v="#SoundtrackOfLife"/>
    <s v="#NowPlaying"/>
    <x v="0"/>
    <n v="7.6115349799560317"/>
    <n v="2943"/>
    <n v="160000"/>
    <n v="1.839375E-2"/>
    <d v="2025-03-01T00:00:00"/>
    <d v="2025-03-31T00:00:00"/>
    <s v="Before"/>
    <n v="9.1128846942616839"/>
    <n v="9.4870420500683821"/>
    <n v="4.1058058821078065"/>
  </r>
  <r>
    <s v="SP280"/>
    <s v="Twitter"/>
    <d v="2024-09-28T00:00:00"/>
    <s v="Story"/>
    <s v="Wrapped is here! Relive your top tracks ðŸŽ§"/>
    <n v="4471"/>
    <n v="317"/>
    <n v="249"/>
    <n v="44862"/>
    <n v="33365"/>
    <n v="184"/>
    <s v="#DiscoverWeekly"/>
    <s v="#MusicForEveryone"/>
    <x v="0"/>
    <n v="9.6080290300434807"/>
    <n v="2939"/>
    <n v="200000"/>
    <n v="1.4695E-2"/>
    <d v="2025-01-10T00:00:00"/>
    <d v="2025-02-10T00:00:00"/>
    <s v="Before"/>
    <n v="9.0931337622204005"/>
    <n v="9.8158533822360798"/>
    <n v="7.9479708416738664"/>
  </r>
  <r>
    <s v="SP224"/>
    <s v="Twitter"/>
    <d v="2024-12-10T00:00:00"/>
    <s v="Text"/>
    <s v="From pop to podcasts, itâ€™s all here."/>
    <n v="4673"/>
    <n v="270"/>
    <n v="93"/>
    <n v="45260"/>
    <n v="57513"/>
    <n v="103"/>
    <s v="#NowPlaying"/>
    <s v="NA"/>
    <x v="0"/>
    <n v="13.476527900797167"/>
    <n v="3043"/>
    <n v="200000"/>
    <n v="1.5214999999999999E-2"/>
    <d v="2025-01-10T00:00:00"/>
    <d v="2025-02-10T00:00:00"/>
    <s v="Before"/>
    <n v="9.209348215070321"/>
    <n v="8.3773197025357433"/>
    <n v="-9.034608021152172"/>
  </r>
  <r>
    <s v="SP060"/>
    <s v="YouTube"/>
    <d v="2024-04-16T00:00:00"/>
    <s v="Text"/>
    <s v="Discover fresh beats on Spotify!"/>
    <n v="4674"/>
    <n v="326"/>
    <n v="62"/>
    <n v="45503"/>
    <n v="46814"/>
    <n v="116"/>
    <s v="#DiscoverWeekly"/>
    <s v="#SpotifyWrapped"/>
    <x v="1"/>
    <n v="14.335162515829463"/>
    <n v="5094"/>
    <n v="175000"/>
    <n v="2.9108571428571428E-2"/>
    <d v="2024-06-15T00:00:00"/>
    <d v="2024-07-15T00:00:00"/>
    <s v="Before"/>
    <n v="9.0643551335200421"/>
    <n v="9.8747551161874796"/>
    <n v="8.9405144737828426"/>
  </r>
  <r>
    <s v="SP295"/>
    <s v="Instagram"/>
    <d v="2025-03-08T00:00:00"/>
    <s v="Story"/>
    <s v="Top trending tracks updated daily!"/>
    <n v="2244"/>
    <n v="392"/>
    <n v="231"/>
    <n v="25834"/>
    <n v="50906"/>
    <n v="165"/>
    <s v="#NowPlaying"/>
    <s v="NA"/>
    <x v="3"/>
    <n v="7.3021390374331556"/>
    <n v="2731"/>
    <n v="200000"/>
    <n v="1.3655E-2"/>
    <d v="2025-01-10T00:00:00"/>
    <d v="2025-02-10T00:00:00"/>
    <s v="Before"/>
    <n v="9.1867364929842683"/>
    <n v="8.0961313095397252"/>
    <n v="-11.871519165455732"/>
  </r>
  <r>
    <s v="SP163"/>
    <s v="YouTube"/>
    <d v="2024-08-09T00:00:00"/>
    <s v="Reel"/>
    <s v="From pop to podcasts, itâ€™s all here."/>
    <n v="3414"/>
    <n v="154"/>
    <n v="204"/>
    <n v="34146"/>
    <n v="44633"/>
    <n v="256"/>
    <s v="#DiscoverWeekly"/>
    <s v="#SoundtrackOfLife"/>
    <x v="2"/>
    <n v="8.8232696960599046"/>
    <n v="4996"/>
    <n v="160000"/>
    <n v="3.1224999999999999E-2"/>
    <d v="2025-03-01T00:00:00"/>
    <d v="2025-03-31T00:00:00"/>
    <s v="Before"/>
    <n v="9.0649583686764021"/>
    <n v="9.6611640560132095"/>
    <n v="6.5770372360117175"/>
  </r>
  <r>
    <s v="SP125"/>
    <s v="Twitter"/>
    <d v="2024-11-06T00:00:00"/>
    <s v="Text"/>
    <s v="From pop to podcasts, itâ€™s all here."/>
    <n v="2956"/>
    <n v="381"/>
    <n v="345"/>
    <n v="33347"/>
    <n v="22558"/>
    <n v="173"/>
    <s v="#NowPlaying"/>
    <s v="NA"/>
    <x v="0"/>
    <n v="5.9312714776632305"/>
    <n v="2589"/>
    <n v="160000"/>
    <n v="1.6181250000000001E-2"/>
    <d v="2025-03-01T00:00:00"/>
    <d v="2025-03-31T00:00:00"/>
    <s v="Before"/>
    <n v="9.1088592562068627"/>
    <n v="9.1537351966875153"/>
    <n v="0.49266257407670228"/>
  </r>
  <r>
    <s v="SP024"/>
    <s v="Twitter"/>
    <d v="2024-10-18T00:00:00"/>
    <s v="Text"/>
    <s v="New music just dropped. Hit play!"/>
    <n v="2607"/>
    <n v="379"/>
    <n v="180"/>
    <n v="28712"/>
    <n v="61620"/>
    <n v="174"/>
    <s v="#SoundtrackOfLife"/>
    <s v="NA"/>
    <x v="1"/>
    <n v="14.711666377465441"/>
    <n v="5087"/>
    <n v="200000"/>
    <n v="2.5434999999999999E-2"/>
    <d v="2025-01-10T00:00:00"/>
    <d v="2025-02-10T00:00:00"/>
    <s v="Before"/>
    <n v="9.1949676748887725"/>
    <n v="8.3225467039510228"/>
    <n v="-9.4880265138974842"/>
  </r>
  <r>
    <s v="SP232"/>
    <s v="YouTube"/>
    <d v="2025-03-07T00:00:00"/>
    <s v="Text"/>
    <s v="Top trending tracks updated daily!"/>
    <n v="4310"/>
    <n v="284"/>
    <n v="306"/>
    <n v="44606"/>
    <n v="42604"/>
    <n v="290"/>
    <s v="#DiscoverWeekly"/>
    <s v="#SpotifyWrapped"/>
    <x v="1"/>
    <n v="16.283364109451064"/>
    <n v="4850"/>
    <n v="200000"/>
    <n v="2.4250000000000001E-2"/>
    <d v="2025-01-10T00:00:00"/>
    <d v="2025-02-10T00:00:00"/>
    <s v="Before"/>
    <n v="9.2001614026027845"/>
    <n v="7.9369323365757545"/>
    <n v="-13.730509832899829"/>
  </r>
  <r>
    <s v="SP108"/>
    <s v="YouTube"/>
    <d v="2024-09-07T00:00:00"/>
    <s v="Reel"/>
    <s v="Music that moves youâ€”only on Spotify."/>
    <n v="3882"/>
    <n v="342"/>
    <n v="374"/>
    <n v="41991"/>
    <n v="48554"/>
    <n v="118"/>
    <s v="#DiscoverWeekly"/>
    <s v="#SoundtrackOfLife"/>
    <x v="2"/>
    <n v="6.005027303458438"/>
    <n v="3464"/>
    <n v="200000"/>
    <n v="1.7319999999999999E-2"/>
    <d v="2025-01-10T00:00:00"/>
    <d v="2025-02-10T00:00:00"/>
    <s v="Before"/>
    <n v="9.0370516203934272"/>
    <n v="9.4296172749765859"/>
    <n v="4.3439572005683456"/>
  </r>
  <r>
    <s v="SP049"/>
    <s v="Twitter"/>
    <d v="2024-08-29T00:00:00"/>
    <s v="Story"/>
    <s v="Get into the groove with our new drop!"/>
    <n v="4276"/>
    <n v="227"/>
    <n v="223"/>
    <n v="43443"/>
    <n v="41005"/>
    <n v="191"/>
    <s v="#DiscoverWeekly"/>
    <s v="#MusicForEveryone"/>
    <x v="0"/>
    <n v="4.4438295517432209"/>
    <n v="1606"/>
    <n v="200000"/>
    <n v="8.0300000000000007E-3"/>
    <d v="2025-01-10T00:00:00"/>
    <d v="2025-02-10T00:00:00"/>
    <s v="Before"/>
    <n v="8.9393872799523262"/>
    <n v="10.745473964639709"/>
    <n v="20.203696608354289"/>
  </r>
  <r>
    <s v="SP041"/>
    <s v="Instagram"/>
    <d v="2024-04-19T00:00:00"/>
    <s v="Text"/>
    <s v="New music just dropped. Hit play!"/>
    <n v="4001"/>
    <n v="353"/>
    <n v="129"/>
    <n v="41265"/>
    <n v="37279"/>
    <n v="275"/>
    <s v="#SoundtrackOfLife"/>
    <s v="#NowPlaying"/>
    <x v="0"/>
    <n v="6.1158416768035933"/>
    <n v="3268"/>
    <n v="200000"/>
    <n v="1.634E-2"/>
    <d v="2025-01-10T00:00:00"/>
    <d v="2025-02-10T00:00:00"/>
    <s v="Before"/>
    <n v="9.0991398633681051"/>
    <n v="9.1586680114221046"/>
    <n v="0.6542173100740184"/>
  </r>
  <r>
    <s v="SP202"/>
    <s v="Twitter"/>
    <d v="2024-01-11T00:00:00"/>
    <s v="Story"/>
    <s v="Wrapped is here! Relive your top tracks ðŸŽ§"/>
    <n v="2340"/>
    <n v="141"/>
    <n v="206"/>
    <n v="24916"/>
    <n v="30582"/>
    <n v="157"/>
    <s v="#SoundtrackOfLife"/>
    <s v="#NowPlaying"/>
    <x v="0"/>
    <n v="18.086628511966701"/>
    <n v="5562"/>
    <n v="200000"/>
    <n v="2.7810000000000001E-2"/>
    <d v="2025-01-10T00:00:00"/>
    <d v="2025-02-10T00:00:00"/>
    <s v="Before"/>
    <n v="9.2082544718206183"/>
    <n v="8.0761288896498318"/>
    <n v="-12.294681751415014"/>
  </r>
  <r>
    <s v="SP037"/>
    <s v="Twitter"/>
    <d v="2025-05-27T00:00:00"/>
    <s v="Story"/>
    <s v="Explore the latest podcasts now."/>
    <n v="4095"/>
    <n v="385"/>
    <n v="400"/>
    <n v="45300"/>
    <n v="31795"/>
    <n v="80"/>
    <s v="#MusicForEveryone"/>
    <s v="#NowPlaying"/>
    <x v="0"/>
    <n v="9.8770390509144832"/>
    <n v="3197"/>
    <n v="200000"/>
    <n v="1.5984999999999999E-2"/>
    <d v="2025-01-10T00:00:00"/>
    <d v="2025-02-10T00:00:00"/>
    <s v="Before"/>
    <n v="9.1102725061046765"/>
    <n v="8.6777823763829698"/>
    <n v="-4.747279836381411"/>
  </r>
  <r>
    <s v="SP252"/>
    <s v="YouTube"/>
    <d v="2024-10-26T00:00:00"/>
    <s v="Text"/>
    <s v="New music just dropped. Hit play!"/>
    <n v="4676"/>
    <n v="211"/>
    <n v="55"/>
    <n v="45917"/>
    <n v="73503"/>
    <n v="248"/>
    <s v="#DiscoverWeekly"/>
    <s v="#SpotifyWrapped"/>
    <x v="1"/>
    <n v="17.642537414658406"/>
    <n v="3902"/>
    <n v="200000"/>
    <n v="1.951E-2"/>
    <d v="2025-01-10T00:00:00"/>
    <d v="2025-02-10T00:00:00"/>
    <s v="Before"/>
    <n v="9.0550188933552178"/>
    <n v="9.2632196898291195"/>
    <n v="2.2992861630215287"/>
  </r>
  <r>
    <s v="SP195"/>
    <s v="YouTube"/>
    <d v="2024-01-14T00:00:00"/>
    <s v="Text"/>
    <s v="New music just dropped. Hit play!"/>
    <n v="3634"/>
    <n v="280"/>
    <n v="399"/>
    <n v="40256"/>
    <n v="52605"/>
    <n v="213"/>
    <s v="#DiscoverWeekly"/>
    <s v="#SpotifyWrapped"/>
    <x v="1"/>
    <n v="7.8512996756861426"/>
    <n v="1622"/>
    <n v="160000"/>
    <n v="1.0137500000000001E-2"/>
    <d v="2025-03-01T00:00:00"/>
    <d v="2025-03-31T00:00:00"/>
    <s v="Before"/>
    <n v="9.1148215772885059"/>
    <n v="8.0791351886275162"/>
    <n v="-11.362662229632887"/>
  </r>
  <r>
    <s v="SP148"/>
    <s v="Twitter"/>
    <d v="2025-02-08T00:00:00"/>
    <s v="Story"/>
    <s v="Your weekend playlist is waiting."/>
    <n v="4752"/>
    <n v="334"/>
    <n v="56"/>
    <n v="48017"/>
    <n v="55534"/>
    <n v="270"/>
    <s v="#DiscoverWeekly"/>
    <s v="#MusicForEveryone"/>
    <x v="0"/>
    <n v="7.974671020085089"/>
    <n v="2418"/>
    <n v="175000"/>
    <n v="1.3817142857142858E-2"/>
    <d v="2024-06-15T00:00:00"/>
    <d v="2024-07-15T00:00:00"/>
    <s v="During"/>
    <n v="8.9696811275534021"/>
    <n v="9.7926933210241032"/>
    <n v="9.1754899841705786"/>
  </r>
  <r>
    <s v="SP070"/>
    <s v="Twitter"/>
    <d v="2025-01-05T00:00:00"/>
    <s v="Text"/>
    <s v="Wrapped is here! Relive your top tracks ðŸŽ§"/>
    <n v="4811"/>
    <n v="473"/>
    <n v="254"/>
    <n v="51964"/>
    <n v="68795"/>
    <n v="107"/>
    <s v="#NowPlaying"/>
    <s v="NA"/>
    <x v="0"/>
    <n v="6.3999063999063992"/>
    <n v="1641"/>
    <n v="160000"/>
    <n v="1.025625E-2"/>
    <d v="2025-03-01T00:00:00"/>
    <d v="2025-03-31T00:00:00"/>
    <s v="Before"/>
    <n v="9.1395605170418222"/>
    <n v="7.9425784219170152"/>
    <n v="-13.096713927249438"/>
  </r>
  <r>
    <s v="SP165"/>
    <s v="Instagram"/>
    <d v="2024-05-08T00:00:00"/>
    <s v="Story"/>
    <s v="Music that moves youâ€”only on Spotify."/>
    <n v="2414"/>
    <n v="220"/>
    <n v="280"/>
    <n v="27355"/>
    <n v="50562"/>
    <n v="258"/>
    <s v="#NowPlaying"/>
    <s v="NA"/>
    <x v="3"/>
    <n v="14.397862944992641"/>
    <n v="5282"/>
    <n v="200000"/>
    <n v="2.6409999999999999E-2"/>
    <d v="2025-01-10T00:00:00"/>
    <d v="2025-02-10T00:00:00"/>
    <s v="Before"/>
    <n v="9.1021971448740793"/>
    <n v="8.5213251765644742"/>
    <n v="-6.3816676244671804"/>
  </r>
  <r>
    <s v="SP057"/>
    <s v="Instagram"/>
    <d v="2024-01-08T00:00:00"/>
    <s v="Text"/>
    <s v="Top trending tracks updated daily!"/>
    <n v="2683"/>
    <n v="405"/>
    <n v="223"/>
    <n v="31233"/>
    <n v="58106"/>
    <n v="291"/>
    <s v="#DiscoverWeekly"/>
    <s v="NA"/>
    <x v="1"/>
    <n v="14.130742382794075"/>
    <n v="2996"/>
    <n v="225000"/>
    <n v="1.3315555555555556E-2"/>
    <d v="2024-12-01T00:00:00"/>
    <d v="2024-12-31T00:00:00"/>
    <s v="Before"/>
    <n v="8.9489985192853645"/>
    <n v="9.9130236728085173"/>
    <n v="10.772436171999015"/>
  </r>
  <r>
    <s v="SP097"/>
    <s v="Instagram"/>
    <d v="2024-01-26T00:00:00"/>
    <s v="Text"/>
    <s v="Whatâ€™s your vibe today? #SpotifyHits"/>
    <n v="3878"/>
    <n v="431"/>
    <n v="97"/>
    <n v="41763"/>
    <n v="29729"/>
    <n v="191"/>
    <s v="#DiscoverWeekly"/>
    <s v="NA"/>
    <x v="1"/>
    <n v="13.528464682326714"/>
    <n v="3277"/>
    <n v="200000"/>
    <n v="1.6385E-2"/>
    <d v="2025-01-10T00:00:00"/>
    <d v="2025-02-10T00:00:00"/>
    <s v="Before"/>
    <n v="9.1146961698998368"/>
    <n v="7.7757941328655917"/>
    <n v="-14.689486210805406"/>
  </r>
  <r>
    <s v="SP240"/>
    <s v="YouTube"/>
    <d v="2024-08-29T00:00:00"/>
    <s v="Text"/>
    <s v="Wrapped is here! Relive your top tracks ðŸŽ§"/>
    <n v="4774"/>
    <n v="389"/>
    <n v="358"/>
    <n v="52346"/>
    <n v="30518"/>
    <n v="277"/>
    <s v="#DiscoverWeekly"/>
    <s v="#SpotifyWrapped"/>
    <x v="1"/>
    <n v="10.550008380623996"/>
    <n v="4406"/>
    <n v="160000"/>
    <n v="2.7537499999999999E-2"/>
    <d v="2025-03-01T00:00:00"/>
    <d v="2025-03-31T00:00:00"/>
    <s v="Before"/>
    <n v="9.1163645953086903"/>
    <n v="7.4978080114607204"/>
    <n v="-17.754408206544131"/>
  </r>
  <r>
    <s v="SP288"/>
    <s v="Twitter"/>
    <d v="2024-08-09T00:00:00"/>
    <s v="Story"/>
    <s v="From pop to podcasts, itâ€™s all here."/>
    <n v="4877"/>
    <n v="442"/>
    <n v="236"/>
    <n v="52673"/>
    <n v="48241"/>
    <n v="114"/>
    <s v="#DiscoverWeekly"/>
    <s v="#MusicForEveryone"/>
    <x v="0"/>
    <n v="9.4690354648038682"/>
    <n v="5639"/>
    <n v="200000"/>
    <n v="2.8195000000000001E-2"/>
    <d v="2025-01-10T00:00:00"/>
    <d v="2025-02-10T00:00:00"/>
    <s v="Before"/>
    <n v="9.0165313257381055"/>
    <n v="8.5057694440967992"/>
    <n v="-5.6647269685994743"/>
  </r>
  <r>
    <s v="SP128"/>
    <s v="Instagram"/>
    <d v="2024-02-22T00:00:00"/>
    <s v="Text"/>
    <s v="New music just dropped. Hit play!"/>
    <n v="1902"/>
    <n v="394"/>
    <n v="279"/>
    <n v="24615"/>
    <n v="51330"/>
    <n v="176"/>
    <s v="#SoundtrackOfLife"/>
    <s v="#NowPlaying"/>
    <x v="0"/>
    <n v="6.9344411395983379"/>
    <n v="2821"/>
    <n v="200000"/>
    <n v="1.4104999999999999E-2"/>
    <d v="2025-01-10T00:00:00"/>
    <d v="2025-02-10T00:00:00"/>
    <s v="Before"/>
    <n v="8.9957749379519338"/>
    <n v="8.7050298912365971"/>
    <n v="-3.2320177941393737"/>
  </r>
  <r>
    <s v="SP155"/>
    <s v="Instagram"/>
    <d v="2024-04-25T00:00:00"/>
    <s v="Text"/>
    <s v="Music that moves youâ€”only on Spotify."/>
    <n v="3563"/>
    <n v="483"/>
    <n v="227"/>
    <n v="41085"/>
    <n v="26393"/>
    <n v="236"/>
    <s v="#SoundtrackOfLife"/>
    <s v="#NowPlaying"/>
    <x v="0"/>
    <n v="10.077583818232197"/>
    <n v="3637"/>
    <n v="160000"/>
    <n v="2.2731250000000001E-2"/>
    <d v="2025-03-01T00:00:00"/>
    <d v="2025-03-31T00:00:00"/>
    <s v="Before"/>
    <n v="8.8909020229106801"/>
    <n v="9.9613799009979882"/>
    <n v="12.040149304635547"/>
  </r>
  <r>
    <s v="SP030"/>
    <s v="Twitter"/>
    <d v="2025-04-26T00:00:00"/>
    <s v="Text"/>
    <s v="Discover fresh beats on Spotify!"/>
    <n v="2411"/>
    <n v="194"/>
    <n v="168"/>
    <n v="26665"/>
    <n v="71699"/>
    <n v="197"/>
    <s v="#NowPlaying"/>
    <s v="NA"/>
    <x v="0"/>
    <n v="8.2866791077934785"/>
    <n v="3730"/>
    <n v="200000"/>
    <n v="1.865E-2"/>
    <d v="2025-01-10T00:00:00"/>
    <d v="2025-02-10T00:00:00"/>
    <s v="Before"/>
    <n v="8.9475880574623279"/>
    <n v="9.2813665999231123"/>
    <n v="3.7303744910608803"/>
  </r>
  <r>
    <s v="SP289"/>
    <s v="Instagram"/>
    <d v="2025-01-21T00:00:00"/>
    <s v="Story"/>
    <s v="New music just dropped. Hit play!"/>
    <n v="4918"/>
    <n v="440"/>
    <n v="149"/>
    <n v="53269"/>
    <n v="64370"/>
    <n v="269"/>
    <s v="#NowPlaying"/>
    <s v="NA"/>
    <x v="3"/>
    <n v="14.485195154777927"/>
    <n v="3444"/>
    <n v="200000"/>
    <n v="1.7219999999999999E-2"/>
    <d v="2025-01-10T00:00:00"/>
    <d v="2025-02-10T00:00:00"/>
    <s v="During"/>
    <n v="9.027888350336438"/>
    <n v="8.4605581085455217"/>
    <n v="-6.2841964784574893"/>
  </r>
  <r>
    <s v="SP174"/>
    <s v="YouTube"/>
    <d v="2025-04-02T00:00:00"/>
    <s v="Text"/>
    <s v="Wrapped is here! Relive your top tracks ðŸŽ§"/>
    <n v="4598"/>
    <n v="455"/>
    <n v="378"/>
    <n v="52952"/>
    <n v="58504"/>
    <n v="269"/>
    <s v="#DiscoverWeekly"/>
    <s v="#SpotifyWrapped"/>
    <x v="1"/>
    <n v="6.6614370881706932"/>
    <n v="2123"/>
    <n v="200000"/>
    <n v="1.0614999999999999E-2"/>
    <d v="2025-01-10T00:00:00"/>
    <d v="2025-02-10T00:00:00"/>
    <s v="Before"/>
    <n v="8.8581619636433047"/>
    <n v="9.9466268842523196"/>
    <n v="12.287706242857364"/>
  </r>
  <r>
    <s v="SP051"/>
    <s v="YouTube"/>
    <d v="2024-05-13T00:00:00"/>
    <s v="Reel"/>
    <s v="Explore the latest podcasts now."/>
    <n v="4161"/>
    <n v="481"/>
    <n v="61"/>
    <n v="45884"/>
    <n v="48955"/>
    <n v="215"/>
    <s v="#DiscoverWeekly"/>
    <s v="#SoundtrackOfLife"/>
    <x v="2"/>
    <n v="8.8705674736667941"/>
    <n v="3217"/>
    <n v="200000"/>
    <n v="1.6084999999999999E-2"/>
    <d v="2025-01-10T00:00:00"/>
    <d v="2025-02-10T00:00:00"/>
    <s v="Before"/>
    <n v="8.962904159435082"/>
    <n v="8.9668109803083897"/>
    <n v="4.358878332080679E-2"/>
  </r>
  <r>
    <s v="SP191"/>
    <s v="YouTube"/>
    <d v="2024-02-24T00:00:00"/>
    <s v="Reel"/>
    <s v="Discover fresh beats on Spotify!"/>
    <n v="4221"/>
    <n v="307"/>
    <n v="58"/>
    <n v="45080"/>
    <n v="37214"/>
    <n v="240"/>
    <s v="#DiscoverWeekly"/>
    <s v="#SoundtrackOfLife"/>
    <x v="2"/>
    <n v="6.2084853138798231"/>
    <n v="3234"/>
    <n v="200000"/>
    <n v="1.617E-2"/>
    <d v="2025-01-10T00:00:00"/>
    <d v="2025-02-10T00:00:00"/>
    <s v="Before"/>
    <n v="8.953566975606007"/>
    <n v="9.0705576033185036"/>
    <n v="1.3066370981669935"/>
  </r>
  <r>
    <s v="SP168"/>
    <s v="Instagram"/>
    <d v="2024-04-03T00:00:00"/>
    <s v="Text"/>
    <s v="Top trending tracks updated daily!"/>
    <n v="2762"/>
    <n v="339"/>
    <n v="323"/>
    <n v="33757"/>
    <n v="68511"/>
    <n v="121"/>
    <s v="#SoundtrackOfLife"/>
    <s v="#NowPlaying"/>
    <x v="0"/>
    <n v="23.193025217961939"/>
    <n v="4948"/>
    <n v="200000"/>
    <n v="2.4740000000000002E-2"/>
    <d v="2025-01-10T00:00:00"/>
    <d v="2025-02-10T00:00:00"/>
    <s v="Before"/>
    <n v="8.8932123535815872"/>
    <n v="9.8639813904992781"/>
    <n v="10.915842311206372"/>
  </r>
  <r>
    <s v="SP100"/>
    <s v="Instagram"/>
    <d v="2024-07-21T00:00:00"/>
    <s v="Text"/>
    <s v="Discover fresh beats on Spotify!"/>
    <n v="3004"/>
    <n v="415"/>
    <n v="218"/>
    <n v="36090"/>
    <n v="37073"/>
    <n v="181"/>
    <s v="#DiscoverWeekly"/>
    <s v="NA"/>
    <x v="1"/>
    <n v="8.659867935594951"/>
    <n v="4577"/>
    <n v="160000"/>
    <n v="2.860625E-2"/>
    <d v="2025-03-01T00:00:00"/>
    <d v="2025-03-31T00:00:00"/>
    <s v="Before"/>
    <n v="8.9065233656361205"/>
    <n v="8.8842248023797339"/>
    <n v="-0.25036214851712757"/>
  </r>
  <r>
    <s v="SP173"/>
    <s v="Instagram"/>
    <d v="2024-06-04T00:00:00"/>
    <s v="Text"/>
    <s v="Get into the groove with our new drop!"/>
    <n v="3948"/>
    <n v="151"/>
    <n v="249"/>
    <n v="43147"/>
    <n v="63136"/>
    <n v="230"/>
    <s v="#DiscoverWeekly"/>
    <s v="NA"/>
    <x v="1"/>
    <n v="10.949965468790932"/>
    <n v="4598"/>
    <n v="175000"/>
    <n v="2.6274285714285715E-2"/>
    <d v="2024-06-15T00:00:00"/>
    <d v="2024-07-15T00:00:00"/>
    <s v="Before"/>
    <n v="8.7979648848987537"/>
    <n v="10.02263351060431"/>
    <n v="13.919908089285919"/>
  </r>
  <r>
    <s v="SP089"/>
    <s v="Instagram"/>
    <d v="2024-12-04T00:00:00"/>
    <s v="Text"/>
    <s v="Wrapped is here! Relive your top tracks ðŸŽ§"/>
    <n v="2601"/>
    <n v="336"/>
    <n v="260"/>
    <n v="32368"/>
    <n v="49028"/>
    <n v="120"/>
    <s v="#SoundtrackOfLife"/>
    <s v="#NowPlaying"/>
    <x v="0"/>
    <n v="13.838335084182733"/>
    <n v="4874"/>
    <n v="200000"/>
    <n v="2.4369999999999999E-2"/>
    <d v="2025-01-10T00:00:00"/>
    <d v="2025-02-10T00:00:00"/>
    <s v="Before"/>
    <n v="8.9577799624766588"/>
    <n v="8.2508900306027808"/>
    <n v="-7.8913518174701407"/>
  </r>
  <r>
    <s v="SP281"/>
    <s v="Instagram"/>
    <d v="2024-01-07T00:00:00"/>
    <s v="Text"/>
    <s v="Top trending tracks updated daily!"/>
    <n v="4931"/>
    <n v="469"/>
    <n v="193"/>
    <n v="56701"/>
    <n v="69437"/>
    <n v="291"/>
    <s v="#SoundtrackOfLife"/>
    <s v="#NowPlaying"/>
    <x v="0"/>
    <n v="16.033389770445329"/>
    <n v="4072"/>
    <n v="160000"/>
    <n v="2.545E-2"/>
    <d v="2025-03-01T00:00:00"/>
    <d v="2025-03-31T00:00:00"/>
    <s v="Before"/>
    <n v="8.9244375543829708"/>
    <n v="8.3050679062848651"/>
    <n v="-6.9401533074083837"/>
  </r>
  <r>
    <s v="SP188"/>
    <s v="Instagram"/>
    <d v="2025-06-06T00:00:00"/>
    <s v="Text"/>
    <s v="Wrapped is here! Relive your top tracks ðŸŽ§"/>
    <n v="3987"/>
    <n v="171"/>
    <n v="274"/>
    <n v="45122"/>
    <n v="65431"/>
    <n v="168"/>
    <s v="#DiscoverWeekly"/>
    <s v="NA"/>
    <x v="1"/>
    <n v="16.641897515158721"/>
    <n v="5599"/>
    <n v="175000"/>
    <n v="3.1994285714285711E-2"/>
    <d v="2024-06-15T00:00:00"/>
    <d v="2024-07-15T00:00:00"/>
    <s v="Before"/>
    <n v="8.8164821289000574"/>
    <n v="8.9854994587838153"/>
    <n v="1.9170608799821205"/>
  </r>
  <r>
    <s v="SP243"/>
    <s v="Twitter"/>
    <d v="2024-12-10T00:00:00"/>
    <s v="Story"/>
    <s v="Wrapped is here! Relive your top tracks ðŸŽ§"/>
    <n v="2267"/>
    <n v="230"/>
    <n v="243"/>
    <n v="27904"/>
    <n v="69771"/>
    <n v="255"/>
    <s v="#DiscoverWeekly"/>
    <s v="#MusicForEveryone"/>
    <x v="0"/>
    <n v="5.2993862995521646"/>
    <n v="1917"/>
    <n v="200000"/>
    <n v="9.5849999999999998E-3"/>
    <d v="2025-01-10T00:00:00"/>
    <d v="2025-02-10T00:00:00"/>
    <s v="Before"/>
    <n v="8.6776209485663003"/>
    <n v="9.9301293194395583"/>
    <n v="14.433776011847982"/>
  </r>
  <r>
    <s v="SP047"/>
    <s v="YouTube"/>
    <d v="2024-03-14T00:00:00"/>
    <s v="Reel"/>
    <s v="From pop to podcasts, itâ€™s all here."/>
    <n v="3361"/>
    <n v="188"/>
    <n v="358"/>
    <n v="39838"/>
    <n v="24536"/>
    <n v="120"/>
    <s v="#DiscoverWeekly"/>
    <s v="#SoundtrackOfLife"/>
    <x v="2"/>
    <n v="3.967465312281476"/>
    <n v="2156"/>
    <n v="200000"/>
    <n v="1.078E-2"/>
    <d v="2025-01-10T00:00:00"/>
    <d v="2025-02-10T00:00:00"/>
    <s v="Before"/>
    <n v="8.8763350626908633"/>
    <n v="8.1300187978933014"/>
    <n v="-8.4079325479103293"/>
  </r>
  <r>
    <s v="SP171"/>
    <s v="Instagram"/>
    <d v="2024-09-01T00:00:00"/>
    <s v="Story"/>
    <s v="Wrapped is here! Relive your top tracks ðŸŽ§"/>
    <n v="2335"/>
    <n v="150"/>
    <n v="75"/>
    <n v="26114"/>
    <n v="57549"/>
    <n v="135"/>
    <s v="#NowPlaying"/>
    <s v="NA"/>
    <x v="3"/>
    <n v="5.1173769923769923"/>
    <n v="2363"/>
    <n v="200000"/>
    <n v="1.1815000000000001E-2"/>
    <d v="2025-01-10T00:00:00"/>
    <d v="2025-02-10T00:00:00"/>
    <s v="Before"/>
    <n v="8.7958988327987822"/>
    <n v="9.2498405977156661"/>
    <n v="5.1608343109199168"/>
  </r>
  <r>
    <s v="SP204"/>
    <s v="Twitter"/>
    <d v="2024-12-30T00:00:00"/>
    <s v="Text"/>
    <s v="Get into the groove with our new drop!"/>
    <n v="4214"/>
    <n v="286"/>
    <n v="127"/>
    <n v="47293"/>
    <n v="27184"/>
    <n v="232"/>
    <s v="#NowPlaying"/>
    <s v="NA"/>
    <x v="0"/>
    <n v="8.6978468608031196"/>
    <n v="4997"/>
    <n v="160000"/>
    <n v="3.1231249999999999E-2"/>
    <d v="2025-03-01T00:00:00"/>
    <d v="2025-03-31T00:00:00"/>
    <s v="Before"/>
    <n v="8.9098060674949178"/>
    <n v="8.2694838440955571"/>
    <n v="-7.1867133644514176"/>
  </r>
  <r>
    <s v="SP035"/>
    <s v="Twitter"/>
    <d v="2025-05-08T00:00:00"/>
    <s v="Story"/>
    <s v="Your weekend playlist is waiting."/>
    <n v="3316"/>
    <n v="332"/>
    <n v="268"/>
    <n v="40095"/>
    <n v="36913"/>
    <n v="265"/>
    <s v="#MusicForEveryone"/>
    <s v="#NowPlaying"/>
    <x v="0"/>
    <n v="4.9881554861634543"/>
    <n v="1853"/>
    <n v="225000"/>
    <n v="8.235555555555555E-3"/>
    <d v="2024-12-01T00:00:00"/>
    <d v="2024-12-31T00:00:00"/>
    <s v="Before"/>
    <n v="8.8351092297019651"/>
    <n v="9.0717166437018903"/>
    <n v="2.6780360926891076"/>
  </r>
  <r>
    <s v="SP135"/>
    <s v="Twitter"/>
    <d v="2024-10-04T00:00:00"/>
    <s v="Story"/>
    <s v="Explore the latest podcasts now."/>
    <n v="2870"/>
    <n v="380"/>
    <n v="393"/>
    <n v="37621"/>
    <n v="71794"/>
    <n v="127"/>
    <s v="#MusicForEveryone"/>
    <s v="#NowPlaying"/>
    <x v="0"/>
    <n v="3.4977365592309386"/>
    <n v="2063"/>
    <n v="225000"/>
    <n v="9.1688888888888896E-3"/>
    <d v="2024-12-01T00:00:00"/>
    <d v="2024-12-31T00:00:00"/>
    <s v="Before"/>
    <n v="8.9343600088163218"/>
    <n v="8.2700180719722969"/>
    <n v="-7.4358089016836129"/>
  </r>
  <r>
    <s v="SP077"/>
    <s v="Twitter"/>
    <d v="2025-05-28T00:00:00"/>
    <s v="Text"/>
    <s v="From pop to podcasts, itâ€™s all here."/>
    <n v="2418"/>
    <n v="161"/>
    <n v="360"/>
    <n v="30589"/>
    <n v="41383"/>
    <n v="88"/>
    <s v="#NowPlaying"/>
    <s v="NA"/>
    <x v="0"/>
    <n v="4.119286919521679"/>
    <n v="2246"/>
    <n v="200000"/>
    <n v="1.123E-2"/>
    <d v="2025-01-10T00:00:00"/>
    <d v="2025-02-10T00:00:00"/>
    <s v="Before"/>
    <n v="8.9750576975237326"/>
    <n v="8.1850249116878082"/>
    <n v="-8.8025371252365172"/>
  </r>
  <r>
    <s v="SP054"/>
    <s v="Instagram"/>
    <d v="2025-03-06T00:00:00"/>
    <s v="Text"/>
    <s v="Get into the groove with our new drop!"/>
    <n v="4851"/>
    <n v="460"/>
    <n v="212"/>
    <n v="58075"/>
    <n v="59574"/>
    <n v="239"/>
    <s v="#DiscoverWeekly"/>
    <s v="NA"/>
    <x v="1"/>
    <n v="5.7963823356939868"/>
    <n v="2570"/>
    <n v="200000"/>
    <n v="1.285E-2"/>
    <d v="2025-01-10T00:00:00"/>
    <d v="2025-02-10T00:00:00"/>
    <s v="Before"/>
    <n v="8.9504278224003571"/>
    <n v="8.7440455397179484"/>
    <n v="-2.3058370703341455"/>
  </r>
  <r>
    <s v="SP150"/>
    <s v="Twitter"/>
    <d v="2024-05-30T00:00:00"/>
    <s v="Story"/>
    <s v="Your weekend playlist is waiting."/>
    <n v="2311"/>
    <n v="207"/>
    <n v="363"/>
    <n v="30349"/>
    <n v="32925"/>
    <n v="88"/>
    <s v="#MusicForEveryone"/>
    <s v="#NowPlaying"/>
    <x v="0"/>
    <n v="4.7099090384865789"/>
    <n v="2532"/>
    <n v="160000"/>
    <n v="1.5824999999999999E-2"/>
    <d v="2025-03-01T00:00:00"/>
    <d v="2025-03-31T00:00:00"/>
    <s v="Before"/>
    <n v="8.97948055099301"/>
    <n v="8.6415671190253658"/>
    <n v="-3.7631734937081136"/>
  </r>
  <r>
    <s v="SP098"/>
    <s v="Twitter"/>
    <d v="2024-03-15T00:00:00"/>
    <s v="Story"/>
    <s v="Get into the groove with our new drop!"/>
    <n v="4969"/>
    <n v="433"/>
    <n v="237"/>
    <n v="59552"/>
    <n v="23885"/>
    <n v="157"/>
    <s v="#DiscoverWeekly"/>
    <s v="#MusicForEveryone"/>
    <x v="0"/>
    <n v="9.3980281287635989"/>
    <n v="4604"/>
    <n v="225000"/>
    <n v="2.0462222222222222E-2"/>
    <d v="2024-12-01T00:00:00"/>
    <d v="2024-12-31T00:00:00"/>
    <s v="Before"/>
    <n v="8.9281008776901913"/>
    <n v="9.4350569899109065"/>
    <n v="5.6782077080637876"/>
  </r>
  <r>
    <s v="SP217"/>
    <s v="Instagram"/>
    <d v="2025-05-31T00:00:00"/>
    <s v="Text"/>
    <s v="Whatâ€™s your vibe today? #SpotifyHits"/>
    <n v="2169"/>
    <n v="240"/>
    <n v="57"/>
    <n v="26109"/>
    <n v="46667"/>
    <n v="133"/>
    <s v="#SoundtrackOfLife"/>
    <s v="#NowPlaying"/>
    <x v="0"/>
    <n v="3.5847516903707159"/>
    <n v="1845"/>
    <n v="200000"/>
    <n v="9.2250000000000006E-3"/>
    <d v="2025-01-10T00:00:00"/>
    <d v="2025-02-10T00:00:00"/>
    <s v="Before"/>
    <n v="8.9121463576154554"/>
    <n v="9.5682232099801858"/>
    <n v="7.3616032102537323"/>
  </r>
  <r>
    <s v="SP300"/>
    <s v="Instagram"/>
    <d v="2024-02-07T00:00:00"/>
    <s v="Text"/>
    <s v="Music that moves youâ€”only on Spotify."/>
    <n v="1883"/>
    <n v="432"/>
    <n v="397"/>
    <n v="28759"/>
    <n v="18691"/>
    <n v="270"/>
    <s v="#SoundtrackOfLife"/>
    <s v="#NowPlaying"/>
    <x v="0"/>
    <n v="5.8764788517847775"/>
    <n v="3472"/>
    <n v="160000"/>
    <n v="2.1700000000000001E-2"/>
    <d v="2025-03-01T00:00:00"/>
    <d v="2025-03-31T00:00:00"/>
    <s v="Before"/>
    <n v="8.8746058161975689"/>
    <n v="10.281283358539072"/>
    <n v="15.850591806275979"/>
  </r>
  <r>
    <s v="SP190"/>
    <s v="Instagram"/>
    <d v="2025-01-16T00:00:00"/>
    <s v="Text"/>
    <s v="Music that moves youâ€”only on Spotify."/>
    <n v="2605"/>
    <n v="282"/>
    <n v="148"/>
    <n v="32201"/>
    <n v="49583"/>
    <n v="241"/>
    <s v="#SoundtrackOfLife"/>
    <s v="#NowPlaying"/>
    <x v="0"/>
    <n v="8.545587981350371"/>
    <n v="3959"/>
    <n v="200000"/>
    <n v="1.9795E-2"/>
    <d v="2025-01-10T00:00:00"/>
    <d v="2025-02-10T00:00:00"/>
    <s v="During"/>
    <n v="9.1369939239850009"/>
    <n v="7.8283859592038354"/>
    <n v="-14.322084217939704"/>
  </r>
  <r>
    <s v="SP275"/>
    <s v="Instagram"/>
    <d v="2024-02-19T00:00:00"/>
    <s v="Text"/>
    <s v="Wrapped is here! Relive your top tracks ðŸŽ§"/>
    <n v="4752"/>
    <n v="449"/>
    <n v="309"/>
    <n v="58530"/>
    <n v="26630"/>
    <n v="234"/>
    <s v="#DiscoverWeekly"/>
    <s v="NA"/>
    <x v="1"/>
    <n v="11.041472996071612"/>
    <n v="3682"/>
    <n v="200000"/>
    <n v="1.8409999999999999E-2"/>
    <d v="2025-01-10T00:00:00"/>
    <d v="2025-02-10T00:00:00"/>
    <s v="Before"/>
    <n v="8.9654614687085008"/>
    <n v="9.5806733833835018"/>
    <n v="6.8620217355484767"/>
  </r>
  <r>
    <s v="SP121"/>
    <s v="Instagram"/>
    <d v="2025-04-30T00:00:00"/>
    <s v="Story"/>
    <s v="New music just dropped. Hit play!"/>
    <n v="3916"/>
    <n v="459"/>
    <n v="229"/>
    <n v="48989"/>
    <n v="39768"/>
    <n v="200"/>
    <s v="#NowPlaying"/>
    <s v="NA"/>
    <x v="3"/>
    <n v="7.064131830503638"/>
    <n v="3961"/>
    <n v="200000"/>
    <n v="1.9805E-2"/>
    <d v="2025-01-10T00:00:00"/>
    <d v="2025-02-10T00:00:00"/>
    <s v="Before"/>
    <n v="9.0813922658408401"/>
    <n v="8.2988603664206853"/>
    <n v="-8.6168714720495636"/>
  </r>
  <r>
    <s v="SP016"/>
    <s v="Twitter"/>
    <d v="2024-12-29T00:00:00"/>
    <s v="Story"/>
    <s v="New music just dropped. Hit play!"/>
    <n v="4049"/>
    <n v="377"/>
    <n v="94"/>
    <n v="48182"/>
    <n v="42875"/>
    <n v="172"/>
    <s v="#MusicForEveryone"/>
    <s v="#NowPlaying"/>
    <x v="0"/>
    <n v="3.4738711788351875"/>
    <n v="1858"/>
    <n v="160000"/>
    <n v="1.16125E-2"/>
    <d v="2025-03-01T00:00:00"/>
    <d v="2025-03-31T00:00:00"/>
    <s v="Before"/>
    <n v="8.9148590660742801"/>
    <n v="10.069454491324001"/>
    <n v="12.951359260894682"/>
  </r>
  <r>
    <s v="SP042"/>
    <s v="Instagram"/>
    <d v="2025-01-26T00:00:00"/>
    <s v="Story"/>
    <s v="Whatâ€™s your vibe today? #SpotifyHits"/>
    <n v="3451"/>
    <n v="363"/>
    <n v="393"/>
    <n v="44853"/>
    <n v="69032"/>
    <n v="211"/>
    <s v="#NowPlaying"/>
    <s v="NA"/>
    <x v="3"/>
    <n v="10.461100954702417"/>
    <n v="2575"/>
    <n v="200000"/>
    <n v="1.2874999999999999E-2"/>
    <d v="2025-01-10T00:00:00"/>
    <d v="2025-02-10T00:00:00"/>
    <s v="During"/>
    <n v="9.1496735600970123"/>
    <n v="8.105399011678454"/>
    <n v="-11.413243779240208"/>
  </r>
  <r>
    <s v="SP269"/>
    <s v="YouTube"/>
    <d v="2024-06-21T00:00:00"/>
    <s v="Reel"/>
    <s v="Music that moves youâ€”only on Spotify."/>
    <n v="4621"/>
    <n v="374"/>
    <n v="298"/>
    <n v="56979"/>
    <n v="24098"/>
    <n v="205"/>
    <s v="#DiscoverWeekly"/>
    <s v="#SoundtrackOfLife"/>
    <x v="2"/>
    <n v="7.9993453221219744"/>
    <n v="3910"/>
    <n v="200000"/>
    <n v="1.9550000000000001E-2"/>
    <d v="2025-01-10T00:00:00"/>
    <d v="2025-02-10T00:00:00"/>
    <s v="Before"/>
    <n v="9.1639324711423988"/>
    <n v="7.8844104168230835"/>
    <n v="-13.962587113649985"/>
  </r>
  <r>
    <s v="SP245"/>
    <s v="Twitter"/>
    <d v="2025-01-09T00:00:00"/>
    <s v="Story"/>
    <s v="Your weekend playlist is waiting."/>
    <n v="3817"/>
    <n v="284"/>
    <n v="204"/>
    <n v="46434"/>
    <n v="53396"/>
    <n v="104"/>
    <s v="#MusicForEveryone"/>
    <s v="#NowPlaying"/>
    <x v="0"/>
    <n v="2.8119155757413838"/>
    <n v="1684"/>
    <n v="160000"/>
    <n v="1.0525E-2"/>
    <d v="2025-03-01T00:00:00"/>
    <d v="2025-03-31T00:00:00"/>
    <s v="Before"/>
    <n v="9.1186031056301307"/>
    <n v="8.3963253420369632"/>
    <n v="-7.9209255543451498"/>
  </r>
  <r>
    <s v="SP143"/>
    <s v="Instagram"/>
    <d v="2024-06-17T00:00:00"/>
    <s v="Text"/>
    <s v="Discover fresh beats on Spotify!"/>
    <n v="4283"/>
    <n v="471"/>
    <n v="156"/>
    <n v="53004"/>
    <n v="25678"/>
    <n v="105"/>
    <s v="#DiscoverWeekly"/>
    <s v="NA"/>
    <x v="1"/>
    <n v="5.4592988710635764"/>
    <n v="2297"/>
    <n v="160000"/>
    <n v="1.4356249999999999E-2"/>
    <d v="2025-03-01T00:00:00"/>
    <d v="2025-03-31T00:00:00"/>
    <s v="Before"/>
    <n v="9.0922422279715711"/>
    <n v="9.044216760118637"/>
    <n v="-0.52820268805848092"/>
  </r>
  <r>
    <s v="SP132"/>
    <s v="Twitter"/>
    <d v="2024-09-28T00:00:00"/>
    <s v="Text"/>
    <s v="Whatâ€™s your vibe today? #SpotifyHits"/>
    <n v="4006"/>
    <n v="420"/>
    <n v="194"/>
    <n v="49964"/>
    <n v="20685"/>
    <n v="148"/>
    <s v="#NowPlaying"/>
    <s v="NA"/>
    <x v="0"/>
    <n v="9.2466575934672957"/>
    <n v="4620"/>
    <n v="200000"/>
    <n v="2.3099999999999999E-2"/>
    <d v="2025-01-10T00:00:00"/>
    <d v="2025-02-10T00:00:00"/>
    <s v="Before"/>
    <n v="9.0860963212344252"/>
    <n v="9.3300459530993294"/>
    <n v="2.6848673318021956"/>
  </r>
  <r>
    <s v="SP152"/>
    <s v="Instagram"/>
    <d v="2024-09-27T00:00:00"/>
    <s v="Text"/>
    <s v="Discover fresh beats on Spotify!"/>
    <n v="3118"/>
    <n v="116"/>
    <n v="195"/>
    <n v="37100"/>
    <n v="62629"/>
    <n v="272"/>
    <s v="#DiscoverWeekly"/>
    <s v="NA"/>
    <x v="1"/>
    <n v="4.7508511296812133"/>
    <n v="2456"/>
    <n v="160000"/>
    <n v="1.5350000000000001E-2"/>
    <d v="2025-03-01T00:00:00"/>
    <d v="2025-03-31T00:00:00"/>
    <s v="Before"/>
    <n v="8.9849639999806072"/>
    <n v="10.280767925496036"/>
    <n v="14.421915608323257"/>
  </r>
  <r>
    <s v="SP166"/>
    <s v="Instagram"/>
    <d v="2024-04-05T00:00:00"/>
    <s v="Text"/>
    <s v="New music just dropped. Hit play!"/>
    <n v="4383"/>
    <n v="352"/>
    <n v="176"/>
    <n v="53239"/>
    <n v="34168"/>
    <n v="288"/>
    <s v="#DiscoverWeekly"/>
    <s v="NA"/>
    <x v="1"/>
    <n v="7.4861184558434681"/>
    <n v="2265"/>
    <n v="200000"/>
    <n v="1.1325E-2"/>
    <d v="2025-01-10T00:00:00"/>
    <d v="2025-02-10T00:00:00"/>
    <s v="Before"/>
    <n v="9.182584948776519"/>
    <n v="8.6803522756283602"/>
    <n v="-5.4694040507087918"/>
  </r>
  <r>
    <s v="SP064"/>
    <s v="Twitter"/>
    <d v="2025-01-22T00:00:00"/>
    <s v="Story"/>
    <s v="New music just dropped. Hit play!"/>
    <n v="4478"/>
    <n v="101"/>
    <n v="121"/>
    <n v="51035"/>
    <n v="58207"/>
    <n v="205"/>
    <s v="#MusicForEveryone"/>
    <s v="#NowPlaying"/>
    <x v="0"/>
    <n v="9.6834214933149045"/>
    <n v="3643"/>
    <n v="200000"/>
    <n v="1.8214999999999999E-2"/>
    <d v="2025-01-10T00:00:00"/>
    <d v="2025-02-10T00:00:00"/>
    <s v="During"/>
    <n v="9.1433459015270095"/>
    <n v="9.1542474994008316"/>
    <n v="0.11922985295789153"/>
  </r>
  <r>
    <s v="SP229"/>
    <s v="YouTube"/>
    <d v="2024-02-24T00:00:00"/>
    <s v="Text"/>
    <s v="Music that moves youâ€”only on Spotify."/>
    <n v="4653"/>
    <n v="226"/>
    <n v="349"/>
    <n v="56876"/>
    <n v="28452"/>
    <n v="257"/>
    <s v="#DiscoverWeekly"/>
    <s v="#SpotifyWrapped"/>
    <x v="1"/>
    <n v="18.723441538528935"/>
    <n v="4274"/>
    <n v="200000"/>
    <n v="2.137E-2"/>
    <d v="2025-01-10T00:00:00"/>
    <d v="2025-02-10T00:00:00"/>
    <s v="Before"/>
    <n v="8.8842677625310031"/>
    <n v="11.709750623099918"/>
    <n v="31.803215932834227"/>
  </r>
  <r>
    <s v="SP265"/>
    <s v="Twitter"/>
    <d v="2025-06-17T00:00:00"/>
    <s v="Story"/>
    <s v="Explore the latest podcasts now."/>
    <n v="4341"/>
    <n v="141"/>
    <n v="63"/>
    <n v="50081"/>
    <n v="27507"/>
    <n v="221"/>
    <s v="#DiscoverWeekly"/>
    <s v="#MusicForEveryone"/>
    <x v="0"/>
    <n v="16.610252187966946"/>
    <n v="5447"/>
    <n v="200000"/>
    <n v="2.7234999999999999E-2"/>
    <d v="2025-01-10T00:00:00"/>
    <d v="2025-02-10T00:00:00"/>
    <s v="Before"/>
    <n v="9.1453452529650434"/>
    <n v="8.4604359663885909"/>
    <n v="-7.4891572448223949"/>
  </r>
  <r>
    <s v="SP066"/>
    <s v="Instagram"/>
    <d v="2025-04-16T00:00:00"/>
    <s v="Text"/>
    <s v="Wrapped is here! Relive your top tracks ðŸŽ§"/>
    <n v="4836"/>
    <n v="331"/>
    <n v="140"/>
    <n v="58792"/>
    <n v="47711"/>
    <n v="227"/>
    <s v="#SoundtrackOfLife"/>
    <s v="#NowPlaying"/>
    <x v="0"/>
    <n v="2.7809319322005903"/>
    <n v="1347"/>
    <n v="200000"/>
    <n v="6.7349999999999997E-3"/>
    <d v="2025-01-10T00:00:00"/>
    <d v="2025-02-10T00:00:00"/>
    <s v="Before"/>
    <n v="8.9646801754281409"/>
    <n v="9.7453376024192426"/>
    <n v="8.7081458759773174"/>
  </r>
  <r>
    <s v="SP192"/>
    <s v="Twitter"/>
    <d v="2024-09-16T00:00:00"/>
    <s v="Story"/>
    <s v="Whatâ€™s your vibe today? #SpotifyHits"/>
    <n v="4422"/>
    <n v="434"/>
    <n v="156"/>
    <n v="56165"/>
    <n v="52431"/>
    <n v="173"/>
    <s v="#DiscoverWeekly"/>
    <s v="#MusicForEveryone"/>
    <x v="0"/>
    <n v="11.645414595490239"/>
    <n v="3233"/>
    <n v="200000"/>
    <n v="1.6164999999999999E-2"/>
    <d v="2025-01-10T00:00:00"/>
    <d v="2025-02-10T00:00:00"/>
    <s v="Before"/>
    <n v="9.0739520001055194"/>
    <n v="9.0867236034627972"/>
    <n v="0.14075017541562118"/>
  </r>
  <r>
    <s v="SP104"/>
    <s v="Twitter"/>
    <d v="2024-05-01T00:00:00"/>
    <s v="Story"/>
    <s v="Whatâ€™s your vibe today? #SpotifyHits"/>
    <n v="2587"/>
    <n v="447"/>
    <n v="183"/>
    <n v="36266"/>
    <n v="32877"/>
    <n v="132"/>
    <s v="#DiscoverWeekly"/>
    <s v="#MusicForEveryone"/>
    <x v="0"/>
    <n v="8.7025961669158622"/>
    <n v="2561"/>
    <n v="200000"/>
    <n v="1.2805E-2"/>
    <d v="2025-01-10T00:00:00"/>
    <d v="2025-02-10T00:00:00"/>
    <s v="Before"/>
    <n v="9.1655091536911382"/>
    <n v="8.0241364688704451"/>
    <n v="-12.452910860506194"/>
  </r>
  <r>
    <s v="SP058"/>
    <s v="YouTube"/>
    <d v="2024-07-17T00:00:00"/>
    <s v="Text"/>
    <s v="Top trending tracks updated daily!"/>
    <n v="3135"/>
    <n v="110"/>
    <n v="215"/>
    <n v="39192"/>
    <n v="24744"/>
    <n v="177"/>
    <s v="#DiscoverWeekly"/>
    <s v="#SpotifyWrapped"/>
    <x v="1"/>
    <n v="7.059492819832089"/>
    <n v="4095"/>
    <n v="175000"/>
    <n v="2.3400000000000001E-2"/>
    <d v="2024-06-15T00:00:00"/>
    <d v="2024-07-15T00:00:00"/>
    <s v="Before"/>
    <n v="8.9673180210600218"/>
    <n v="10.042525445020246"/>
    <n v="11.990289866324206"/>
  </r>
  <r>
    <s v="SP081"/>
    <s v="Twitter"/>
    <d v="2025-03-07T00:00:00"/>
    <s v="Text"/>
    <s v="Get into the groove with our new drop!"/>
    <n v="4234"/>
    <n v="486"/>
    <n v="276"/>
    <n v="56623"/>
    <n v="41343"/>
    <n v="184"/>
    <s v="#SoundtrackOfLife"/>
    <s v="NA"/>
    <x v="1"/>
    <n v="11.731037798484397"/>
    <n v="5124"/>
    <n v="225000"/>
    <n v="2.2773333333333333E-2"/>
    <d v="2024-12-01T00:00:00"/>
    <d v="2024-12-31T00:00:00"/>
    <s v="Before"/>
    <n v="8.9995343593981687"/>
    <n v="9.8451294551771547"/>
    <n v="9.3959871923366265"/>
  </r>
  <r>
    <s v="SP061"/>
    <s v="YouTube"/>
    <d v="2024-01-01T00:00:00"/>
    <s v="Reel"/>
    <s v="Explore the latest podcasts now."/>
    <n v="3437"/>
    <n v="129"/>
    <n v="359"/>
    <n v="44558"/>
    <n v="30854"/>
    <n v="171"/>
    <s v="#DiscoverWeekly"/>
    <s v="#SoundtrackOfLife"/>
    <x v="2"/>
    <n v="9.2634518149573619"/>
    <n v="4910"/>
    <n v="160000"/>
    <n v="3.06875E-2"/>
    <d v="2025-03-01T00:00:00"/>
    <d v="2025-03-31T00:00:00"/>
    <s v="Before"/>
    <n v="9.0630947168391121"/>
    <n v="8.9962583901355622"/>
    <n v="-0.73745589990766469"/>
  </r>
  <r>
    <s v="SP008"/>
    <s v="Twitter"/>
    <d v="2024-05-09T00:00:00"/>
    <s v="Story"/>
    <s v="Wrapped is here! Relive your top tracks ðŸŽ§"/>
    <n v="1428"/>
    <n v="347"/>
    <n v="67"/>
    <n v="21148"/>
    <n v="19712"/>
    <n v="120"/>
    <s v="#DiscoverWeekly"/>
    <s v="#MusicForEveryone"/>
    <x v="0"/>
    <n v="6.0370736430199488"/>
    <n v="2993"/>
    <n v="200000"/>
    <n v="1.4964999999999999E-2"/>
    <d v="2025-01-10T00:00:00"/>
    <d v="2025-02-10T00:00:00"/>
    <s v="Before"/>
    <n v="9.0000470242866033"/>
    <n v="9.6259343141991565"/>
    <n v="6.9542668857573515"/>
  </r>
  <r>
    <s v="SP002"/>
    <s v="Instagram"/>
    <d v="2025-02-01T00:00:00"/>
    <s v="Text"/>
    <s v="Explore the latest podcasts now."/>
    <n v="1934"/>
    <n v="210"/>
    <n v="393"/>
    <n v="29129"/>
    <n v="73287"/>
    <n v="273"/>
    <s v="#DiscoverWeekly"/>
    <s v="NA"/>
    <x v="1"/>
    <n v="11.477740733477154"/>
    <n v="4682"/>
    <n v="200000"/>
    <n v="2.341E-2"/>
    <d v="2025-01-10T00:00:00"/>
    <d v="2025-02-10T00:00:00"/>
    <s v="During"/>
    <n v="8.9878017213714436"/>
    <n v="9.9617776281434001"/>
    <n v="10.836642117460265"/>
  </r>
  <r>
    <s v="SP140"/>
    <s v="Twitter"/>
    <d v="2024-08-27T00:00:00"/>
    <s v="Story"/>
    <s v="New music just dropped. Hit play!"/>
    <n v="1856"/>
    <n v="357"/>
    <n v="348"/>
    <n v="29428"/>
    <n v="70206"/>
    <n v="236"/>
    <s v="#MusicForEveryone"/>
    <s v="#NowPlaying"/>
    <x v="0"/>
    <n v="8.1504318676747669"/>
    <n v="3331"/>
    <n v="160000"/>
    <n v="2.081875E-2"/>
    <d v="2025-03-01T00:00:00"/>
    <d v="2025-03-31T00:00:00"/>
    <s v="Before"/>
    <n v="9.132644295744015"/>
    <n v="8.3251531996692574"/>
    <n v="-8.8418104321774997"/>
  </r>
  <r>
    <s v="SP115"/>
    <s v="Instagram"/>
    <d v="2025-04-15T00:00:00"/>
    <s v="Text"/>
    <s v="Explore the latest podcasts now."/>
    <n v="4177"/>
    <n v="489"/>
    <n v="331"/>
    <n v="57451"/>
    <n v="73793"/>
    <n v="251"/>
    <s v="#DiscoverWeekly"/>
    <s v="NA"/>
    <x v="1"/>
    <n v="7.1988159338556148"/>
    <n v="2821"/>
    <n v="200000"/>
    <n v="1.4104999999999999E-2"/>
    <d v="2025-01-10T00:00:00"/>
    <d v="2025-02-10T00:00:00"/>
    <s v="Before"/>
    <n v="9.0198003195635668"/>
    <n v="9.5237509920501076"/>
    <n v="5.587159966207822"/>
  </r>
  <r>
    <s v="SP222"/>
    <s v="Twitter"/>
    <d v="2025-06-21T00:00:00"/>
    <s v="Text"/>
    <s v="Explore the latest podcasts now."/>
    <n v="3611"/>
    <n v="127"/>
    <n v="139"/>
    <n v="44768"/>
    <n v="29435"/>
    <n v="178"/>
    <s v="#NowPlaying"/>
    <s v="NA"/>
    <x v="0"/>
    <n v="10.708707332819627"/>
    <n v="5142"/>
    <n v="200000"/>
    <n v="2.571E-2"/>
    <d v="2025-01-10T00:00:00"/>
    <d v="2025-02-10T00:00:00"/>
    <s v="Before"/>
    <n v="8.9642976790717537"/>
    <n v="10.204883235912247"/>
    <n v="13.839182959494881"/>
  </r>
  <r>
    <s v="SP107"/>
    <s v="Twitter"/>
    <d v="2025-01-13T00:00:00"/>
    <s v="Text"/>
    <s v="Music that moves youâ€”only on Spotify."/>
    <n v="4090"/>
    <n v="209"/>
    <n v="278"/>
    <n v="52853"/>
    <n v="57084"/>
    <n v="102"/>
    <s v="#SoundtrackOfLife"/>
    <s v="NA"/>
    <x v="1"/>
    <n v="8.1341895638137345"/>
    <n v="4636"/>
    <n v="160000"/>
    <n v="2.8975000000000001E-2"/>
    <d v="2025-03-01T00:00:00"/>
    <d v="2025-03-31T00:00:00"/>
    <s v="During"/>
    <n v="9.0843779594569725"/>
    <n v="8.8966340682759739"/>
    <n v="-2.0666675475072496"/>
  </r>
  <r>
    <s v="SP244"/>
    <s v="YouTube"/>
    <d v="2025-06-08T00:00:00"/>
    <s v="Text"/>
    <s v="Music that moves youâ€”only on Spotify."/>
    <n v="4375"/>
    <n v="303"/>
    <n v="294"/>
    <n v="57468"/>
    <n v="53397"/>
    <n v="159"/>
    <s v="#DiscoverWeekly"/>
    <s v="#SpotifyWrapped"/>
    <x v="1"/>
    <n v="9.4928992718046725"/>
    <n v="2881"/>
    <n v="200000"/>
    <n v="1.4404999999999999E-2"/>
    <d v="2025-01-10T00:00:00"/>
    <d v="2025-02-10T00:00:00"/>
    <s v="Before"/>
    <n v="9.1668847104777722"/>
    <n v="8.1571171758326688"/>
    <n v="-11.015383813990118"/>
  </r>
  <r>
    <s v="SP283"/>
    <s v="Instagram"/>
    <d v="2024-08-27T00:00:00"/>
    <s v="Text"/>
    <s v="Music that moves youâ€”only on Spotify."/>
    <n v="4197"/>
    <n v="359"/>
    <n v="280"/>
    <n v="56048"/>
    <n v="70930"/>
    <n v="295"/>
    <s v="#DiscoverWeekly"/>
    <s v="NA"/>
    <x v="1"/>
    <n v="6.9360859297630837"/>
    <n v="3642"/>
    <n v="225000"/>
    <n v="1.6186666666666665E-2"/>
    <d v="2024-12-01T00:00:00"/>
    <d v="2024-12-31T00:00:00"/>
    <s v="Before"/>
    <n v="9.1716194198131387"/>
    <n v="8.0878361021943199"/>
    <n v="-11.816706167261568"/>
  </r>
  <r>
    <s v="SP185"/>
    <s v="YouTube"/>
    <d v="2025-04-22T00:00:00"/>
    <s v="Reel"/>
    <s v="New music just dropped. Hit play!"/>
    <n v="2733"/>
    <n v="297"/>
    <n v="235"/>
    <n v="37980"/>
    <n v="33058"/>
    <n v="219"/>
    <s v="#DiscoverWeekly"/>
    <s v="#SoundtrackOfLife"/>
    <x v="2"/>
    <n v="9.2425876010781671"/>
    <n v="3429"/>
    <n v="160000"/>
    <n v="2.1431249999999999E-2"/>
    <d v="2025-03-01T00:00:00"/>
    <d v="2025-03-31T00:00:00"/>
    <s v="Before"/>
    <n v="8.9384916419308826"/>
    <n v="10.49553492391964"/>
    <n v="17.419530546793769"/>
  </r>
  <r>
    <s v="SP257"/>
    <s v="Twitter"/>
    <d v="2024-06-08T00:00:00"/>
    <s v="Story"/>
    <s v="Top trending tracks updated daily!"/>
    <n v="3413"/>
    <n v="326"/>
    <n v="86"/>
    <n v="44680"/>
    <n v="52719"/>
    <n v="272"/>
    <s v="#DiscoverWeekly"/>
    <s v="#MusicForEveryone"/>
    <x v="0"/>
    <n v="8.2469701307376653"/>
    <n v="4321"/>
    <n v="200000"/>
    <n v="2.1604999999999999E-2"/>
    <d v="2025-01-10T00:00:00"/>
    <d v="2025-02-10T00:00:00"/>
    <s v="Before"/>
    <n v="9.0505213062619401"/>
    <n v="9.4285305114695745"/>
    <n v="4.1766567075655052"/>
  </r>
  <r>
    <s v="SP124"/>
    <s v="Twitter"/>
    <d v="2024-05-09T00:00:00"/>
    <s v="Story"/>
    <s v="New music just dropped. Hit play!"/>
    <n v="3277"/>
    <n v="423"/>
    <n v="259"/>
    <n v="46328"/>
    <n v="44293"/>
    <n v="299"/>
    <s v="#SoundtrackOfLife"/>
    <s v="#NowPlaying"/>
    <x v="0"/>
    <n v="5.9585542168674701"/>
    <n v="3091"/>
    <n v="160000"/>
    <n v="1.9318749999999999E-2"/>
    <d v="2025-03-01T00:00:00"/>
    <d v="2025-03-31T00:00:00"/>
    <s v="Before"/>
    <n v="8.9586167945509416"/>
    <n v="10.437665568761723"/>
    <n v="16.50978949239585"/>
  </r>
  <r>
    <s v="SP014"/>
    <s v="Twitter"/>
    <d v="2024-10-08T00:00:00"/>
    <s v="Text"/>
    <s v="From pop to podcasts, itâ€™s all here."/>
    <n v="2460"/>
    <n v="409"/>
    <n v="253"/>
    <n v="36702"/>
    <n v="46122"/>
    <n v="264"/>
    <s v="#NowPlaying"/>
    <s v="NA"/>
    <x v="0"/>
    <n v="10.400389436534015"/>
    <n v="4273"/>
    <n v="200000"/>
    <n v="2.1364999999999999E-2"/>
    <d v="2025-01-10T00:00:00"/>
    <d v="2025-02-10T00:00:00"/>
    <s v="Before"/>
    <n v="9.1632099581248667"/>
    <n v="8.5752941704810812"/>
    <n v="-6.4160462363136217"/>
  </r>
  <r>
    <s v="SP287"/>
    <s v="YouTube"/>
    <d v="2024-06-25T00:00:00"/>
    <s v="Text"/>
    <s v="Your weekend playlist is waiting."/>
    <n v="2172"/>
    <n v="338"/>
    <n v="70"/>
    <n v="30515"/>
    <n v="57853"/>
    <n v="156"/>
    <s v="#DiscoverWeekly"/>
    <s v="#SpotifyWrapped"/>
    <x v="1"/>
    <n v="3.8832755240536874"/>
    <n v="2060"/>
    <n v="175000"/>
    <n v="1.1771428571428572E-2"/>
    <d v="2024-06-15T00:00:00"/>
    <d v="2024-07-15T00:00:00"/>
    <s v="Before"/>
    <n v="8.9475634120748566"/>
    <n v="10.669768370495843"/>
    <n v="19.247753596211993"/>
  </r>
  <r>
    <s v="SP169"/>
    <s v="YouTube"/>
    <d v="2025-01-03T00:00:00"/>
    <s v="Text"/>
    <s v="New music just dropped. Hit play!"/>
    <n v="3782"/>
    <n v="484"/>
    <n v="144"/>
    <n v="52172"/>
    <n v="59386"/>
    <n v="175"/>
    <s v="#DiscoverWeekly"/>
    <s v="#SpotifyWrapped"/>
    <x v="1"/>
    <n v="19.390491670052825"/>
    <n v="4772"/>
    <n v="160000"/>
    <n v="2.9825000000000001E-2"/>
    <d v="2025-03-01T00:00:00"/>
    <d v="2025-03-31T00:00:00"/>
    <s v="Before"/>
    <n v="9.041663287378622"/>
    <n v="10.200210812691283"/>
    <n v="12.813433640355676"/>
  </r>
  <r>
    <s v="SP011"/>
    <s v="Twitter"/>
    <d v="2024-03-06T00:00:00"/>
    <s v="Text"/>
    <s v="Discover fresh beats on Spotify!"/>
    <n v="1971"/>
    <n v="370"/>
    <n v="306"/>
    <n v="31316"/>
    <n v="27897"/>
    <n v="88"/>
    <s v="#SoundtrackOfLife"/>
    <s v="NA"/>
    <x v="1"/>
    <n v="16.116683482699269"/>
    <n v="5431"/>
    <n v="200000"/>
    <n v="2.7154999999999999E-2"/>
    <d v="2025-01-10T00:00:00"/>
    <d v="2025-02-10T00:00:00"/>
    <s v="Before"/>
    <n v="8.9680300171153586"/>
    <n v="10.141638314509043"/>
    <n v="13.08657860370527"/>
  </r>
  <r>
    <s v="SP176"/>
    <s v="Instagram"/>
    <d v="2024-07-02T00:00:00"/>
    <s v="Text"/>
    <s v="Top trending tracks updated daily!"/>
    <n v="3469"/>
    <n v="371"/>
    <n v="76"/>
    <n v="46493"/>
    <n v="26906"/>
    <n v="150"/>
    <s v="#SoundtrackOfLife"/>
    <s v="#NowPlaying"/>
    <x v="0"/>
    <n v="8.3133241487896079"/>
    <n v="2112"/>
    <n v="225000"/>
    <n v="9.3866666666666664E-3"/>
    <d v="2024-12-01T00:00:00"/>
    <d v="2024-12-31T00:00:00"/>
    <s v="Before"/>
    <n v="9.0240906637492575"/>
    <n v="8.9385935205098388"/>
    <n v="-0.94743222807889027"/>
  </r>
  <r>
    <s v="SP284"/>
    <s v="Instagram"/>
    <d v="2024-10-24T00:00:00"/>
    <s v="Story"/>
    <s v="Top trending tracks updated daily!"/>
    <n v="1914"/>
    <n v="255"/>
    <n v="156"/>
    <n v="27660"/>
    <n v="47776"/>
    <n v="111"/>
    <s v="#NowPlaying"/>
    <s v="NA"/>
    <x v="3"/>
    <n v="4.9951325040562464"/>
    <n v="2309"/>
    <n v="175000"/>
    <n v="1.3194285714285714E-2"/>
    <d v="2024-06-15T00:00:00"/>
    <d v="2024-07-15T00:00:00"/>
    <s v="Before"/>
    <n v="9.1386590347986054"/>
    <n v="7.766214074642666"/>
    <n v="-15.018012543523952"/>
  </r>
  <r>
    <s v="SP277"/>
    <s v="Instagram"/>
    <d v="2025-02-03T00:00:00"/>
    <s v="Story"/>
    <s v="New music just dropped. Hit play!"/>
    <n v="1205"/>
    <n v="486"/>
    <n v="269"/>
    <n v="23341"/>
    <n v="42411"/>
    <n v="184"/>
    <s v="#NowPlaying"/>
    <s v="NA"/>
    <x v="3"/>
    <n v="15.527514896600071"/>
    <n v="3544"/>
    <n v="160000"/>
    <n v="2.215E-2"/>
    <d v="2025-03-01T00:00:00"/>
    <d v="2025-03-31T00:00:00"/>
    <s v="During"/>
    <n v="9.0194663413402001"/>
    <n v="9.3828966824275017"/>
    <n v="4.0293996045147349"/>
  </r>
  <r>
    <s v="SP009"/>
    <s v="Twitter"/>
    <d v="2025-06-15T00:00:00"/>
    <s v="Text"/>
    <s v="Top trending tracks updated daily!"/>
    <n v="4432"/>
    <n v="223"/>
    <n v="299"/>
    <n v="59016"/>
    <n v="21742"/>
    <n v="171"/>
    <s v="#NowPlaying"/>
    <s v="NA"/>
    <x v="0"/>
    <n v="11.258173796580792"/>
    <n v="2858"/>
    <n v="200000"/>
    <n v="1.4290000000000001E-2"/>
    <d v="2025-01-10T00:00:00"/>
    <d v="2025-02-10T00:00:00"/>
    <s v="Before"/>
    <n v="9.0740397030075677"/>
    <n v="8.262991225176199"/>
    <n v="-8.9381191219887288"/>
  </r>
  <r>
    <s v="SP260"/>
    <s v="Twitter"/>
    <d v="2025-01-05T00:00:00"/>
    <s v="Story"/>
    <s v="Explore the latest podcasts now."/>
    <n v="3341"/>
    <n v="154"/>
    <n v="123"/>
    <n v="43369"/>
    <n v="49035"/>
    <n v="128"/>
    <s v="#MusicForEveryone"/>
    <s v="#NowPlaying"/>
    <x v="0"/>
    <n v="11.046681895390382"/>
    <n v="3772"/>
    <n v="175000"/>
    <n v="2.1554285714285713E-2"/>
    <d v="2024-06-15T00:00:00"/>
    <d v="2024-07-15T00:00:00"/>
    <s v="Before"/>
    <n v="8.8699555596773969"/>
    <n v="10.223863555678559"/>
    <n v="15.263977219412405"/>
  </r>
  <r>
    <s v="SP159"/>
    <s v="Instagram"/>
    <d v="2024-04-12T00:00:00"/>
    <s v="Story"/>
    <s v="Get into the groove with our new drop!"/>
    <n v="1558"/>
    <n v="352"/>
    <n v="202"/>
    <n v="25405"/>
    <n v="69941"/>
    <n v="219"/>
    <s v="#NowPlaying"/>
    <s v="NA"/>
    <x v="3"/>
    <n v="3.5523669554455446"/>
    <n v="1837"/>
    <n v="225000"/>
    <n v="8.1644444444444447E-3"/>
    <d v="2024-12-01T00:00:00"/>
    <d v="2024-12-31T00:00:00"/>
    <s v="Before"/>
    <n v="9.0301600997495619"/>
    <n v="8.3736724019507722"/>
    <n v="-7.2699452783455785"/>
  </r>
  <r>
    <s v="SP101"/>
    <s v="Twitter"/>
    <d v="2024-10-12T00:00:00"/>
    <s v="Text"/>
    <s v="Get into the groove with our new drop!"/>
    <n v="3169"/>
    <n v="386"/>
    <n v="175"/>
    <n v="45012"/>
    <n v="38508"/>
    <n v="218"/>
    <s v="#NowPlaying"/>
    <s v="NA"/>
    <x v="0"/>
    <n v="10.652531529884847"/>
    <n v="2914"/>
    <n v="225000"/>
    <n v="1.2951111111111111E-2"/>
    <d v="2024-12-01T00:00:00"/>
    <d v="2024-12-31T00:00:00"/>
    <s v="Before"/>
    <n v="9.0900068367052906"/>
    <n v="8.2117388821002386"/>
    <n v="-9.6619064251813445"/>
  </r>
  <r>
    <s v="SP215"/>
    <s v="YouTube"/>
    <d v="2025-01-15T00:00:00"/>
    <s v="Text"/>
    <s v="Your weekend playlist is waiting."/>
    <n v="2599"/>
    <n v="324"/>
    <n v="182"/>
    <n v="37525"/>
    <n v="37216"/>
    <n v="186"/>
    <s v="#DiscoverWeekly"/>
    <s v="#SpotifyWrapped"/>
    <x v="1"/>
    <n v="9.2244407295403743"/>
    <n v="4911"/>
    <n v="160000"/>
    <n v="3.0693749999999999E-2"/>
    <d v="2025-03-01T00:00:00"/>
    <d v="2025-03-31T00:00:00"/>
    <s v="During"/>
    <n v="8.948715739378569"/>
    <n v="9.5297622386008367"/>
    <n v="6.493071365150076"/>
  </r>
  <r>
    <s v="SP203"/>
    <s v="Instagram"/>
    <d v="2024-10-06T00:00:00"/>
    <s v="Text"/>
    <s v="Top trending tracks updated daily!"/>
    <n v="2080"/>
    <n v="389"/>
    <n v="92"/>
    <n v="30971"/>
    <n v="25347"/>
    <n v="111"/>
    <s v="#DiscoverWeekly"/>
    <s v="NA"/>
    <x v="1"/>
    <n v="16.125787850341961"/>
    <n v="4810"/>
    <n v="160000"/>
    <n v="3.0062499999999999E-2"/>
    <d v="2025-03-01T00:00:00"/>
    <d v="2025-03-31T00:00:00"/>
    <s v="Before"/>
    <n v="9.0589623308400409"/>
    <n v="8.3247613985371913"/>
    <n v="-8.1046913044704851"/>
  </r>
  <r>
    <s v="SP153"/>
    <s v="Twitter"/>
    <d v="2025-06-11T00:00:00"/>
    <s v="Story"/>
    <s v="Explore the latest podcasts now."/>
    <n v="3805"/>
    <n v="453"/>
    <n v="63"/>
    <n v="52395"/>
    <n v="72934"/>
    <n v="87"/>
    <s v="#DiscoverWeekly"/>
    <s v="#MusicForEveryone"/>
    <x v="0"/>
    <n v="10.143081434961637"/>
    <n v="3424"/>
    <n v="200000"/>
    <n v="1.712E-2"/>
    <d v="2025-01-10T00:00:00"/>
    <d v="2025-02-10T00:00:00"/>
    <s v="Before"/>
    <n v="9.009578402993613"/>
    <n v="8.230035369242815"/>
    <n v="-8.6523808205251775"/>
  </r>
  <r>
    <s v="SP028"/>
    <s v="YouTube"/>
    <d v="2024-03-05T00:00:00"/>
    <s v="Reel"/>
    <s v="Explore the latest podcasts now."/>
    <n v="3558"/>
    <n v="314"/>
    <n v="199"/>
    <n v="49612"/>
    <n v="53929"/>
    <n v="206"/>
    <s v="#DiscoverWeekly"/>
    <s v="#SoundtrackOfLife"/>
    <x v="2"/>
    <n v="8.4528099363643339"/>
    <n v="4410"/>
    <n v="160000"/>
    <n v="2.75625E-2"/>
    <d v="2025-03-01T00:00:00"/>
    <d v="2025-03-31T00:00:00"/>
    <s v="Before"/>
    <n v="8.915462724071908"/>
    <n v="9.1622621072026487"/>
    <n v="2.7682173182596337"/>
  </r>
  <r>
    <s v="SP236"/>
    <s v="Instagram"/>
    <d v="2024-12-20T00:00:00"/>
    <s v="Text"/>
    <s v="Discover fresh beats on Spotify!"/>
    <n v="2519"/>
    <n v="202"/>
    <n v="239"/>
    <n v="36245"/>
    <n v="48606"/>
    <n v="145"/>
    <s v="#DiscoverWeekly"/>
    <s v="NA"/>
    <x v="1"/>
    <n v="15.513030574705535"/>
    <n v="5018"/>
    <n v="160000"/>
    <n v="3.1362500000000001E-2"/>
    <d v="2025-03-01T00:00:00"/>
    <d v="2025-03-31T00:00:00"/>
    <s v="Before"/>
    <n v="8.9175785024064282"/>
    <n v="9.1812402333449015"/>
    <n v="2.956651638865007"/>
  </r>
  <r>
    <s v="SP072"/>
    <s v="Instagram"/>
    <d v="2024-10-11T00:00:00"/>
    <s v="Text"/>
    <s v="From pop to podcasts, itâ€™s all here."/>
    <n v="1360"/>
    <n v="249"/>
    <n v="52"/>
    <n v="20368"/>
    <n v="42152"/>
    <n v="193"/>
    <s v="#DiscoverWeekly"/>
    <s v="NA"/>
    <x v="1"/>
    <n v="9.8031707130274945"/>
    <n v="2560"/>
    <n v="225000"/>
    <n v="1.1377777777777778E-2"/>
    <d v="2024-12-01T00:00:00"/>
    <d v="2024-12-31T00:00:00"/>
    <s v="Before"/>
    <n v="8.9317466886146288"/>
    <n v="8.4283796668835649"/>
    <n v="-5.6357064220451978"/>
  </r>
  <r>
    <s v="SP146"/>
    <s v="Instagram"/>
    <d v="2025-05-22T00:00:00"/>
    <s v="Text"/>
    <s v="Discover fresh beats on Spotify!"/>
    <n v="2633"/>
    <n v="318"/>
    <n v="380"/>
    <n v="40869"/>
    <n v="64474"/>
    <n v="245"/>
    <s v="#DiscoverWeekly"/>
    <s v="NA"/>
    <x v="1"/>
    <n v="16.447098339242398"/>
    <n v="4407"/>
    <n v="160000"/>
    <n v="2.7543749999999999E-2"/>
    <d v="2025-03-01T00:00:00"/>
    <d v="2025-03-31T00:00:00"/>
    <s v="Before"/>
    <n v="9.0767461642971039"/>
    <n v="6.7937103800704142"/>
    <n v="-25.152579381440553"/>
  </r>
  <r>
    <s v="SP149"/>
    <s v="Twitter"/>
    <d v="2025-04-13T00:00:00"/>
    <s v="Text"/>
    <s v="From pop to podcasts, itâ€™s all here."/>
    <n v="3890"/>
    <n v="408"/>
    <n v="338"/>
    <n v="56994"/>
    <n v="32621"/>
    <n v="286"/>
    <s v="#SoundtrackOfLife"/>
    <s v="NA"/>
    <x v="1"/>
    <n v="10.077178019329269"/>
    <n v="4348"/>
    <n v="160000"/>
    <n v="2.7175000000000001E-2"/>
    <d v="2025-03-01T00:00:00"/>
    <d v="2025-03-31T00:00:00"/>
    <s v="Before"/>
    <n v="8.9354939561061659"/>
    <n v="7.6260882149244313"/>
    <n v="-14.653982730153805"/>
  </r>
  <r>
    <s v="SP025"/>
    <s v="YouTube"/>
    <d v="2024-10-10T00:00:00"/>
    <s v="Reel"/>
    <s v="From pop to podcasts, itâ€™s all here."/>
    <n v="4013"/>
    <n v="320"/>
    <n v="92"/>
    <n v="54605"/>
    <n v="60169"/>
    <n v="232"/>
    <s v="#DiscoverWeekly"/>
    <s v="#SoundtrackOfLife"/>
    <x v="2"/>
    <n v="10.256458679558845"/>
    <n v="5431"/>
    <n v="160000"/>
    <n v="3.3943750000000002E-2"/>
    <d v="2025-03-01T00:00:00"/>
    <d v="2025-03-31T00:00:00"/>
    <s v="Before"/>
    <n v="8.7859190104578957"/>
    <n v="9.1310060985687169"/>
    <n v="3.9277289911284567"/>
  </r>
  <r>
    <s v="SP233"/>
    <s v="Twitter"/>
    <d v="2024-10-20T00:00:00"/>
    <s v="Text"/>
    <s v="From pop to podcasts, itâ€™s all here."/>
    <n v="2752"/>
    <n v="309"/>
    <n v="91"/>
    <n v="39038"/>
    <n v="28095"/>
    <n v="277"/>
    <s v="#NowPlaying"/>
    <s v="NA"/>
    <x v="0"/>
    <n v="5.6980732739746021"/>
    <n v="3123"/>
    <n v="200000"/>
    <n v="1.5615E-2"/>
    <d v="2025-01-10T00:00:00"/>
    <d v="2025-02-10T00:00:00"/>
    <s v="Before"/>
    <n v="8.9910695115387842"/>
    <n v="6.604206319120304"/>
    <n v="-26.54704414591917"/>
  </r>
  <r>
    <s v="SP031"/>
    <s v="Instagram"/>
    <d v="2025-01-01T00:00:00"/>
    <s v="Text"/>
    <s v="New music just dropped. Hit play!"/>
    <n v="4036"/>
    <n v="112"/>
    <n v="382"/>
    <n v="56284"/>
    <n v="29440"/>
    <n v="279"/>
    <s v="#SoundtrackOfLife"/>
    <s v="#NowPlaying"/>
    <x v="0"/>
    <n v="8.4227733207149456"/>
    <n v="3916"/>
    <n v="200000"/>
    <n v="1.958E-2"/>
    <d v="2025-01-10T00:00:00"/>
    <d v="2025-02-10T00:00:00"/>
    <s v="Before"/>
    <n v="8.9373728478312344"/>
    <n v="7.5510175755135522"/>
    <n v="-15.511888067354141"/>
  </r>
  <r>
    <s v="SP220"/>
    <s v="YouTube"/>
    <d v="2024-12-10T00:00:00"/>
    <s v="Text"/>
    <s v="Whatâ€™s your vibe today? #SpotifyHits"/>
    <n v="2569"/>
    <n v="140"/>
    <n v="375"/>
    <n v="38372"/>
    <n v="22102"/>
    <n v="255"/>
    <s v="#DiscoverWeekly"/>
    <s v="#SpotifyWrapped"/>
    <x v="1"/>
    <n v="17.289805974745921"/>
    <n v="5614"/>
    <n v="160000"/>
    <n v="3.5087500000000001E-2"/>
    <d v="2025-03-01T00:00:00"/>
    <d v="2025-03-31T00:00:00"/>
    <s v="Before"/>
    <n v="8.8050598870414518"/>
    <n v="9.1108452812286824"/>
    <n v="3.4728371880497924"/>
  </r>
  <r>
    <s v="SP023"/>
    <s v="YouTube"/>
    <d v="2024-06-09T00:00:00"/>
    <s v="Reel"/>
    <s v="From pop to podcasts, itâ€™s all here."/>
    <n v="2786"/>
    <n v="368"/>
    <n v="208"/>
    <n v="42000"/>
    <n v="39967"/>
    <n v="103"/>
    <s v="#DiscoverWeekly"/>
    <s v="#SoundtrackOfLife"/>
    <x v="2"/>
    <n v="7.3899528727564414"/>
    <n v="4422"/>
    <n v="225000"/>
    <n v="1.9653333333333332E-2"/>
    <d v="2024-12-01T00:00:00"/>
    <d v="2024-12-31T00:00:00"/>
    <s v="Before"/>
    <n v="8.7912198668171193"/>
    <n v="8.3773787936794601"/>
    <n v="-4.7074362762751747"/>
  </r>
  <r>
    <s v="SP129"/>
    <s v="Twitter"/>
    <d v="2025-07-01T00:00:00"/>
    <s v="Story"/>
    <s v="Explore the latest podcasts now."/>
    <n v="3219"/>
    <n v="424"/>
    <n v="267"/>
    <n v="48879"/>
    <n v="37691"/>
    <n v="224"/>
    <s v="#DiscoverWeekly"/>
    <s v="#MusicForEveryone"/>
    <x v="0"/>
    <n v="7.0902000251603976"/>
    <n v="2818"/>
    <n v="160000"/>
    <n v="1.76125E-2"/>
    <d v="2025-03-01T00:00:00"/>
    <d v="2025-03-31T00:00:00"/>
    <s v="Before"/>
    <n v="8.8975717844713813"/>
    <n v="7.1977677158049183"/>
    <n v="-19.104134362063494"/>
  </r>
  <r>
    <s v="SP206"/>
    <s v="Twitter"/>
    <d v="2024-08-21T00:00:00"/>
    <s v="Story"/>
    <s v="Explore the latest podcasts now."/>
    <n v="3989"/>
    <n v="476"/>
    <n v="128"/>
    <n v="57569"/>
    <n v="40193"/>
    <n v="222"/>
    <s v="#DiscoverWeekly"/>
    <s v="#MusicForEveryone"/>
    <x v="0"/>
    <n v="7.773148862486928"/>
    <n v="4534"/>
    <n v="200000"/>
    <n v="2.2669999999999999E-2"/>
    <d v="2025-01-10T00:00:00"/>
    <d v="2025-02-10T00:00:00"/>
    <s v="Before"/>
    <n v="8.6941063949278874"/>
    <n v="9.9306005367140546"/>
    <n v="14.222210835923676"/>
  </r>
  <r>
    <s v="SP092"/>
    <s v="YouTube"/>
    <d v="2024-03-25T00:00:00"/>
    <s v="Reel"/>
    <s v="Explore the latest podcasts now."/>
    <n v="1948"/>
    <n v="155"/>
    <n v="315"/>
    <n v="30321"/>
    <n v="57121"/>
    <n v="82"/>
    <s v="#DiscoverWeekly"/>
    <s v="#SoundtrackOfLife"/>
    <x v="2"/>
    <n v="4.2982250109049422"/>
    <n v="2562"/>
    <n v="160000"/>
    <n v="1.6012499999999999E-2"/>
    <d v="2025-03-01T00:00:00"/>
    <d v="2025-03-31T00:00:00"/>
    <s v="Before"/>
    <n v="8.9284215686914106"/>
    <n v="7.1430420083462582"/>
    <n v="-19.996586704707152"/>
  </r>
  <r>
    <s v="SP091"/>
    <s v="Twitter"/>
    <d v="2025-04-27T00:00:00"/>
    <s v="Text"/>
    <s v="Explore the latest podcasts now."/>
    <n v="1165"/>
    <n v="294"/>
    <n v="163"/>
    <n v="20659"/>
    <n v="45926"/>
    <n v="111"/>
    <s v="#SoundtrackOfLife"/>
    <s v="NA"/>
    <x v="1"/>
    <n v="7.2213401079707848"/>
    <n v="3411"/>
    <n v="200000"/>
    <n v="1.7055000000000001E-2"/>
    <d v="2025-01-10T00:00:00"/>
    <d v="2025-02-10T00:00:00"/>
    <s v="Before"/>
    <n v="8.8047777793831496"/>
    <n v="9.1687101618679545"/>
    <n v="4.1333511373446781"/>
  </r>
  <r>
    <s v="SP180"/>
    <s v="Twitter"/>
    <d v="2025-04-30T00:00:00"/>
    <s v="Story"/>
    <s v="Wrapped is here! Relive your top tracks ðŸŽ§"/>
    <n v="3929"/>
    <n v="275"/>
    <n v="330"/>
    <n v="58329"/>
    <n v="33196"/>
    <n v="85"/>
    <s v="#MusicForEveryone"/>
    <s v="#NowPlaying"/>
    <x v="0"/>
    <n v="16.743869209809265"/>
    <n v="3687"/>
    <n v="160000"/>
    <n v="2.3043750000000002E-2"/>
    <d v="2025-03-01T00:00:00"/>
    <d v="2025-03-31T00:00:00"/>
    <s v="Before"/>
    <n v="8.944349919500052"/>
    <n v="7.654273983942379"/>
    <n v="-14.423361643590329"/>
  </r>
  <r>
    <s v="SP205"/>
    <s v="Twitter"/>
    <d v="2025-04-16T00:00:00"/>
    <s v="Text"/>
    <s v="Wrapped is here! Relive your top tracks ðŸŽ§"/>
    <n v="3792"/>
    <n v="315"/>
    <n v="120"/>
    <n v="54592"/>
    <n v="67886"/>
    <n v="117"/>
    <s v="#SoundtrackOfLife"/>
    <s v="NA"/>
    <x v="1"/>
    <n v="6.2648374965860638"/>
    <n v="2982"/>
    <n v="200000"/>
    <n v="1.491E-2"/>
    <d v="2025-01-10T00:00:00"/>
    <d v="2025-02-10T00:00:00"/>
    <s v="Before"/>
    <n v="8.6364624846943592"/>
    <n v="10.482309947131903"/>
    <n v="21.372725994106684"/>
  </r>
  <r>
    <s v="SP209"/>
    <s v="Twitter"/>
    <d v="2024-07-19T00:00:00"/>
    <s v="Story"/>
    <s v="Whatâ€™s your vibe today? #SpotifyHits"/>
    <n v="3071"/>
    <n v="126"/>
    <n v="200"/>
    <n v="44013"/>
    <n v="44679"/>
    <n v="118"/>
    <s v="#DiscoverWeekly"/>
    <s v="#MusicForEveryone"/>
    <x v="0"/>
    <n v="8.5966298051606103"/>
    <n v="3265"/>
    <n v="175000"/>
    <n v="1.8657142857142858E-2"/>
    <d v="2024-06-15T00:00:00"/>
    <d v="2024-07-15T00:00:00"/>
    <s v="Before"/>
    <n v="8.6283855398468141"/>
    <n v="10.841849734553621"/>
    <n v="25.653283392180278"/>
  </r>
  <r>
    <s v="SP076"/>
    <s v="Instagram"/>
    <d v="2024-07-14T00:00:00"/>
    <s v="Text"/>
    <s v="Wrapped is here! Relive your top tracks ðŸŽ§"/>
    <n v="2464"/>
    <n v="401"/>
    <n v="78"/>
    <n v="38665"/>
    <n v="73593"/>
    <n v="207"/>
    <s v="#DiscoverWeekly"/>
    <s v="NA"/>
    <x v="1"/>
    <n v="22.967524699836073"/>
    <n v="5184"/>
    <n v="200000"/>
    <n v="2.5919999999999999E-2"/>
    <d v="2025-01-10T00:00:00"/>
    <d v="2025-02-10T00:00:00"/>
    <s v="Before"/>
    <n v="8.8516058394525565"/>
    <n v="8.2163390652733383"/>
    <n v="-7.1768533947565309"/>
  </r>
  <r>
    <s v="SP032"/>
    <s v="Twitter"/>
    <d v="2024-05-07T00:00:00"/>
    <s v="Story"/>
    <s v="Explore the latest podcasts now."/>
    <n v="2776"/>
    <n v="307"/>
    <n v="178"/>
    <n v="43365"/>
    <n v="48408"/>
    <n v="138"/>
    <s v="#SoundtrackOfLife"/>
    <s v="#NowPlaying"/>
    <x v="0"/>
    <n v="12.920396165457337"/>
    <n v="4879"/>
    <n v="175000"/>
    <n v="2.7879999999999999E-2"/>
    <d v="2024-06-15T00:00:00"/>
    <d v="2024-07-15T00:00:00"/>
    <s v="Before"/>
    <n v="8.7578091436068934"/>
    <n v="7.7421984212079167"/>
    <n v="-11.596629998957694"/>
  </r>
  <r>
    <s v="SP259"/>
    <s v="Twitter"/>
    <d v="2025-01-19T00:00:00"/>
    <s v="Story"/>
    <s v="Music that moves youâ€”only on Spotify."/>
    <n v="1651"/>
    <n v="480"/>
    <n v="282"/>
    <n v="32140"/>
    <n v="70560"/>
    <n v="138"/>
    <s v="#SoundtrackOfLife"/>
    <s v="#NowPlaying"/>
    <x v="0"/>
    <n v="9.8222596516111871"/>
    <n v="4432"/>
    <n v="160000"/>
    <n v="2.7699999999999999E-2"/>
    <d v="2025-03-01T00:00:00"/>
    <d v="2025-03-31T00:00:00"/>
    <s v="During"/>
    <n v="8.3407252433340435"/>
    <n v="12.099324933044123"/>
    <n v="45.063223881088447"/>
  </r>
  <r>
    <s v="SP134"/>
    <s v="Twitter"/>
    <d v="2025-05-15T00:00:00"/>
    <s v="Text"/>
    <s v="New music just dropped. Hit play!"/>
    <n v="1583"/>
    <n v="433"/>
    <n v="249"/>
    <n v="30256"/>
    <n v="47066"/>
    <n v="196"/>
    <s v="#NowPlaying"/>
    <s v="NA"/>
    <x v="0"/>
    <n v="11.349824183418363"/>
    <n v="5584"/>
    <n v="175000"/>
    <n v="3.1908571428571432E-2"/>
    <d v="2024-06-15T00:00:00"/>
    <d v="2024-07-15T00:00:00"/>
    <s v="Before"/>
    <n v="8.4010183694969705"/>
    <n v="11.244688666037607"/>
    <n v="33.849114136753258"/>
  </r>
  <r>
    <s v="SP006"/>
    <s v="YouTube"/>
    <d v="2024-06-13T00:00:00"/>
    <s v="Text"/>
    <s v="Whatâ€™s your vibe today? #SpotifyHits"/>
    <n v="3882"/>
    <n v="239"/>
    <n v="275"/>
    <n v="58748"/>
    <n v="44646"/>
    <n v="149"/>
    <s v="#DiscoverWeekly"/>
    <s v="#SpotifyWrapped"/>
    <x v="1"/>
    <n v="9.4251731312692151"/>
    <n v="3035"/>
    <n v="200000"/>
    <n v="1.5174999999999999E-2"/>
    <d v="2025-01-10T00:00:00"/>
    <d v="2025-02-10T00:00:00"/>
    <s v="Before"/>
    <n v="8.7377024695440468"/>
    <n v="7.101290441735042"/>
    <n v="-18.728172920889083"/>
  </r>
  <r>
    <s v="SP013"/>
    <s v="Twitter"/>
    <d v="2025-06-18T00:00:00"/>
    <s v="Story"/>
    <s v="Discover fresh beats on Spotify!"/>
    <n v="3956"/>
    <n v="319"/>
    <n v="61"/>
    <n v="58162"/>
    <n v="28720"/>
    <n v="213"/>
    <s v="#MusicForEveryone"/>
    <s v="#NowPlaying"/>
    <x v="0"/>
    <n v="10.173025732031943"/>
    <n v="4586"/>
    <n v="175000"/>
    <n v="2.6205714285714287E-2"/>
    <d v="2024-06-15T00:00:00"/>
    <d v="2024-07-15T00:00:00"/>
    <s v="Before"/>
    <n v="8.6251040064838822"/>
    <n v="8.2885097869963058"/>
    <n v="-3.9024946161175937"/>
  </r>
  <r>
    <s v="SP178"/>
    <s v="Instagram"/>
    <d v="2024-12-14T00:00:00"/>
    <s v="Story"/>
    <s v="From pop to podcasts, itâ€™s all here."/>
    <n v="3812"/>
    <n v="321"/>
    <n v="289"/>
    <n v="59838"/>
    <n v="36337"/>
    <n v="161"/>
    <s v="#NowPlaying"/>
    <s v="NA"/>
    <x v="3"/>
    <n v="8.9237069349238851"/>
    <n v="5012"/>
    <n v="200000"/>
    <n v="2.5059999999999999E-2"/>
    <d v="2025-01-10T00:00:00"/>
    <d v="2025-02-10T00:00:00"/>
    <s v="Before"/>
    <n v="8.6121557005258254"/>
    <n v="8.260388550358261"/>
    <n v="-4.0845423886854109"/>
  </r>
  <r>
    <s v="SP268"/>
    <s v="YouTube"/>
    <d v="2024-03-17T00:00:00"/>
    <s v="Reel"/>
    <s v="Explore the latest podcasts now."/>
    <n v="2692"/>
    <n v="446"/>
    <n v="216"/>
    <n v="45818"/>
    <n v="62723"/>
    <n v="85"/>
    <s v="#DiscoverWeekly"/>
    <s v="#SoundtrackOfLife"/>
    <x v="2"/>
    <n v="6.5015829941203069"/>
    <n v="1725"/>
    <n v="175000"/>
    <n v="9.8571428571428577E-3"/>
    <d v="2024-06-15T00:00:00"/>
    <d v="2024-07-15T00:00:00"/>
    <s v="Before"/>
    <n v="8.6752449645078435"/>
    <n v="7.5317898427340459"/>
    <n v="-13.18066667225998"/>
  </r>
  <r>
    <s v="SP080"/>
    <s v="Instagram"/>
    <d v="2025-06-17T00:00:00"/>
    <s v="Text"/>
    <s v="Music that moves youâ€”only on Spotify."/>
    <n v="2284"/>
    <n v="187"/>
    <n v="260"/>
    <n v="37400"/>
    <n v="65014"/>
    <n v="157"/>
    <s v="#SoundtrackOfLife"/>
    <s v="#NowPlaying"/>
    <x v="0"/>
    <n v="5.6436966727204192"/>
    <n v="3294"/>
    <n v="200000"/>
    <n v="1.6469999999999999E-2"/>
    <d v="2025-01-10T00:00:00"/>
    <d v="2025-02-10T00:00:00"/>
    <s v="Before"/>
    <n v="8.7530493146790622"/>
    <n v="6.9261049153571879"/>
    <n v="-20.872090783928833"/>
  </r>
  <r>
    <s v="SP182"/>
    <s v="Instagram"/>
    <d v="2024-03-19T00:00:00"/>
    <s v="Text"/>
    <s v="From pop to podcasts, itâ€™s all here."/>
    <n v="2878"/>
    <n v="278"/>
    <n v="255"/>
    <n v="47235"/>
    <n v="57922"/>
    <n v="112"/>
    <s v="#SoundtrackOfLife"/>
    <s v="#NowPlaying"/>
    <x v="0"/>
    <n v="10.713930842607313"/>
    <n v="4313"/>
    <n v="160000"/>
    <n v="2.6956250000000001E-2"/>
    <d v="2025-03-01T00:00:00"/>
    <d v="2025-03-31T00:00:00"/>
    <s v="Before"/>
    <n v="8.7014315659357866"/>
    <n v="7.8279131675856677"/>
    <n v="-10.038789499531935"/>
  </r>
  <r>
    <s v="SP147"/>
    <s v="Twitter"/>
    <d v="2024-01-21T00:00:00"/>
    <s v="Story"/>
    <s v="Discover fresh beats on Spotify!"/>
    <n v="2383"/>
    <n v="136"/>
    <n v="302"/>
    <n v="39187"/>
    <n v="22133"/>
    <n v="208"/>
    <s v="#MusicForEveryone"/>
    <s v="#NowPlaying"/>
    <x v="0"/>
    <n v="5.1833640647408314"/>
    <n v="2530"/>
    <n v="200000"/>
    <n v="1.265E-2"/>
    <d v="2025-01-10T00:00:00"/>
    <d v="2025-02-10T00:00:00"/>
    <s v="Before"/>
    <n v="8.5124415595430083"/>
    <n v="9.6201955383673781"/>
    <n v="13.013351939932022"/>
  </r>
  <r>
    <s v="SP247"/>
    <s v="Twitter"/>
    <d v="2024-09-16T00:00:00"/>
    <s v="Story"/>
    <s v="Your weekend playlist is waiting."/>
    <n v="3300"/>
    <n v="354"/>
    <n v="397"/>
    <n v="56773"/>
    <n v="72110"/>
    <n v="163"/>
    <s v="#DiscoverWeekly"/>
    <s v="#MusicForEveryone"/>
    <x v="0"/>
    <n v="3.5821698002251456"/>
    <n v="2132"/>
    <n v="160000"/>
    <n v="1.3325E-2"/>
    <d v="2025-03-01T00:00:00"/>
    <d v="2025-03-31T00:00:00"/>
    <s v="Before"/>
    <n v="8.8402751477828438"/>
    <n v="6.5296273841471137"/>
    <n v="-26.137735817139635"/>
  </r>
  <r>
    <s v="SP207"/>
    <s v="Twitter"/>
    <d v="2024-04-05T00:00:00"/>
    <s v="Story"/>
    <s v="Wrapped is here! Relive your top tracks ðŸŽ§"/>
    <n v="2857"/>
    <n v="443"/>
    <n v="359"/>
    <n v="51519"/>
    <n v="28256"/>
    <n v="155"/>
    <s v="#SoundtrackOfLife"/>
    <s v="#NowPlaying"/>
    <x v="0"/>
    <n v="3.5034029141734799"/>
    <n v="1534"/>
    <n v="200000"/>
    <n v="7.6699999999999997E-3"/>
    <d v="2025-01-10T00:00:00"/>
    <d v="2025-02-10T00:00:00"/>
    <s v="Before"/>
    <n v="8.5179646035921071"/>
    <n v="10.480215884312367"/>
    <n v="23.036621681813042"/>
  </r>
  <r>
    <s v="SP179"/>
    <s v="Twitter"/>
    <d v="2024-11-19T00:00:00"/>
    <s v="Text"/>
    <s v="Explore the latest podcasts now."/>
    <n v="2387"/>
    <n v="353"/>
    <n v="78"/>
    <n v="39745"/>
    <n v="69226"/>
    <n v="208"/>
    <s v="#SoundtrackOfLife"/>
    <s v="NA"/>
    <x v="1"/>
    <n v="13.946227759085811"/>
    <n v="4601"/>
    <n v="200000"/>
    <n v="2.3005000000000001E-2"/>
    <d v="2025-01-10T00:00:00"/>
    <d v="2025-02-10T00:00:00"/>
    <s v="Before"/>
    <n v="8.6524344744818045"/>
    <n v="9.6478674061653251"/>
    <n v="11.504657268648513"/>
  </r>
  <r>
    <s v="SP126"/>
    <s v="Twitter"/>
    <d v="2024-01-04T00:00:00"/>
    <s v="Story"/>
    <s v="Whatâ€™s your vibe today? #SpotifyHits"/>
    <n v="3208"/>
    <n v="476"/>
    <n v="277"/>
    <n v="56072"/>
    <n v="21061"/>
    <n v="113"/>
    <s v="#MusicForEveryone"/>
    <s v="#NowPlaying"/>
    <x v="0"/>
    <n v="4.5247823769763729"/>
    <n v="2547"/>
    <n v="200000"/>
    <n v="1.2735E-2"/>
    <d v="2025-01-10T00:00:00"/>
    <d v="2025-02-10T00:00:00"/>
    <s v="Before"/>
    <n v="8.6957028700049204"/>
    <n v="8.6075772640940507"/>
    <n v="-1.0134385595769539"/>
  </r>
  <r>
    <s v="SP141"/>
    <s v="YouTube"/>
    <d v="2024-10-01T00:00:00"/>
    <s v="Reel"/>
    <s v="Explore the latest podcasts now."/>
    <n v="3543"/>
    <n v="334"/>
    <n v="218"/>
    <n v="58007"/>
    <n v="24792"/>
    <n v="273"/>
    <s v="#DiscoverWeekly"/>
    <s v="#SoundtrackOfLife"/>
    <x v="2"/>
    <n v="6.2974139146620036"/>
    <n v="2233"/>
    <n v="200000"/>
    <n v="1.1165E-2"/>
    <d v="2025-01-10T00:00:00"/>
    <d v="2025-02-10T00:00:00"/>
    <s v="Before"/>
    <n v="8.6411061661453026"/>
    <n v="9.7568044201081996"/>
    <n v="12.911521193132119"/>
  </r>
  <r>
    <s v="SP003"/>
    <s v="Twitter"/>
    <d v="2024-12-03T00:00:00"/>
    <s v="Story"/>
    <s v="New music just dropped. Hit play!"/>
    <n v="3092"/>
    <n v="177"/>
    <n v="81"/>
    <n v="47533"/>
    <n v="29220"/>
    <n v="121"/>
    <s v="#MusicForEveryone"/>
    <s v="#NowPlaying"/>
    <x v="0"/>
    <n v="10.784235029699792"/>
    <n v="2687"/>
    <n v="200000"/>
    <n v="1.3435000000000001E-2"/>
    <d v="2025-01-10T00:00:00"/>
    <d v="2025-02-10T00:00:00"/>
    <s v="Before"/>
    <n v="8.8408165929392393"/>
    <n v="7.7780598467625675"/>
    <n v="-12.021024698390956"/>
  </r>
  <r>
    <s v="SP029"/>
    <s v="Twitter"/>
    <d v="2025-03-18T00:00:00"/>
    <s v="Story"/>
    <s v="Explore the latest podcasts now."/>
    <n v="3418"/>
    <n v="188"/>
    <n v="387"/>
    <n v="57431"/>
    <n v="36933"/>
    <n v="202"/>
    <s v="#MusicForEveryone"/>
    <s v="#NowPlaying"/>
    <x v="0"/>
    <n v="8.269025862904007"/>
    <n v="2561"/>
    <n v="160000"/>
    <n v="1.600625E-2"/>
    <d v="2025-03-01T00:00:00"/>
    <d v="2025-03-31T00:00:00"/>
    <s v="Before"/>
    <n v="8.7837284284372767"/>
    <n v="8.1773743928145812"/>
    <n v="-6.9031509860849907"/>
  </r>
  <r>
    <s v="SP151"/>
    <s v="Instagram"/>
    <d v="2024-08-12T00:00:00"/>
    <s v="Story"/>
    <s v="Discover fresh beats on Spotify!"/>
    <n v="2962"/>
    <n v="400"/>
    <n v="280"/>
    <n v="52508"/>
    <n v="58329"/>
    <n v="219"/>
    <s v="#NowPlaying"/>
    <s v="NA"/>
    <x v="3"/>
    <n v="9.7836889180216957"/>
    <n v="4627"/>
    <n v="200000"/>
    <n v="2.3134999999999999E-2"/>
    <d v="2025-01-10T00:00:00"/>
    <d v="2025-02-10T00:00:00"/>
    <s v="Before"/>
    <n v="8.6000111646974275"/>
    <n v="10.285566772612038"/>
    <n v="19.59945836853937"/>
  </r>
  <r>
    <s v="SP099"/>
    <s v="Twitter"/>
    <d v="2024-10-15T00:00:00"/>
    <s v="Text"/>
    <s v="Wrapped is here! Relive your top tracks ðŸŽ§"/>
    <n v="1984"/>
    <n v="481"/>
    <n v="356"/>
    <n v="40681"/>
    <n v="63111"/>
    <n v="258"/>
    <s v="#NowPlaying"/>
    <s v="NA"/>
    <x v="0"/>
    <n v="7.7428927315357567"/>
    <n v="4227"/>
    <n v="160000"/>
    <n v="2.6418750000000001E-2"/>
    <d v="2025-03-01T00:00:00"/>
    <d v="2025-03-31T00:00:00"/>
    <s v="Before"/>
    <n v="8.8232596025071199"/>
    <n v="7.6818742375398994"/>
    <n v="-12.93609636786497"/>
  </r>
  <r>
    <s v="SP261"/>
    <s v="Twitter"/>
    <d v="2024-11-16T00:00:00"/>
    <s v="Text"/>
    <s v="From pop to podcasts, itâ€™s all here."/>
    <n v="2972"/>
    <n v="263"/>
    <n v="308"/>
    <n v="51740"/>
    <n v="28214"/>
    <n v="190"/>
    <s v="#SoundtrackOfLife"/>
    <s v="NA"/>
    <x v="1"/>
    <n v="7.9782521843353189"/>
    <n v="4593"/>
    <n v="200000"/>
    <n v="2.2964999999999999E-2"/>
    <d v="2025-01-10T00:00:00"/>
    <d v="2025-02-10T00:00:00"/>
    <s v="Before"/>
    <n v="8.7402767319344665"/>
    <n v="8.7193588138889293"/>
    <n v="-0.23932786898049971"/>
  </r>
  <r>
    <s v="SP231"/>
    <s v="Instagram"/>
    <d v="2024-03-28T00:00:00"/>
    <s v="Text"/>
    <s v="Whatâ€™s your vibe today? #SpotifyHits"/>
    <n v="1673"/>
    <n v="280"/>
    <n v="67"/>
    <n v="29847"/>
    <n v="48016"/>
    <n v="213"/>
    <s v="#SoundtrackOfLife"/>
    <s v="#NowPlaying"/>
    <x v="0"/>
    <n v="7.102234127215203"/>
    <n v="3659"/>
    <n v="200000"/>
    <n v="1.8294999999999999E-2"/>
    <d v="2025-01-10T00:00:00"/>
    <d v="2025-02-10T00:00:00"/>
    <s v="Before"/>
    <n v="8.8447931093718886"/>
    <n v="7.6910608248865469"/>
    <n v="-13.044197532024281"/>
  </r>
  <r>
    <s v="SP103"/>
    <s v="Instagram"/>
    <d v="2024-02-14T00:00:00"/>
    <s v="Text"/>
    <s v="Music that moves youâ€”only on Spotify."/>
    <n v="1830"/>
    <n v="112"/>
    <n v="181"/>
    <n v="31870"/>
    <n v="55742"/>
    <n v="263"/>
    <s v="#SoundtrackOfLife"/>
    <s v="#NowPlaying"/>
    <x v="0"/>
    <n v="3.9319108127547353"/>
    <n v="2132"/>
    <n v="160000"/>
    <n v="1.3325E-2"/>
    <d v="2025-03-01T00:00:00"/>
    <d v="2025-03-31T00:00:00"/>
    <s v="Before"/>
    <n v="8.9484983922451296"/>
    <n v="6.8070120671279462"/>
    <n v="-23.931236630416336"/>
  </r>
  <r>
    <s v="SP278"/>
    <s v="Instagram"/>
    <d v="2024-12-02T00:00:00"/>
    <s v="Text"/>
    <s v="Top trending tracks updated daily!"/>
    <n v="3194"/>
    <n v="292"/>
    <n v="245"/>
    <n v="56371"/>
    <n v="65597"/>
    <n v="163"/>
    <s v="#SoundtrackOfLife"/>
    <s v="#NowPlaying"/>
    <x v="0"/>
    <n v="7.7181741758116917"/>
    <n v="3397"/>
    <n v="200000"/>
    <n v="1.6985E-2"/>
    <d v="2025-01-10T00:00:00"/>
    <d v="2025-02-10T00:00:00"/>
    <s v="Before"/>
    <n v="8.8334146087756586"/>
    <n v="8.6424652409936744"/>
    <n v="-2.1616710665010941"/>
  </r>
  <r>
    <s v="SP273"/>
    <s v="Twitter"/>
    <d v="2024-02-12T00:00:00"/>
    <s v="Text"/>
    <s v="Explore the latest podcasts now."/>
    <n v="2691"/>
    <n v="486"/>
    <n v="206"/>
    <n v="51133"/>
    <n v="44583"/>
    <n v="276"/>
    <s v="#NowPlaying"/>
    <s v="NA"/>
    <x v="0"/>
    <n v="3.4110398272247981"/>
    <n v="1611"/>
    <n v="200000"/>
    <n v="8.0549999999999997E-3"/>
    <d v="2025-01-10T00:00:00"/>
    <d v="2025-02-10T00:00:00"/>
    <s v="Before"/>
    <n v="8.6199707305914686"/>
    <n v="11.335833359944241"/>
    <n v="31.506634004155377"/>
  </r>
  <r>
    <s v="SP193"/>
    <s v="YouTube"/>
    <d v="2024-06-04T00:00:00"/>
    <s v="Reel"/>
    <s v="Wrapped is here! Relive your top tracks ðŸŽ§"/>
    <n v="1211"/>
    <n v="431"/>
    <n v="83"/>
    <n v="26532"/>
    <n v="47305"/>
    <n v="232"/>
    <s v="#DiscoverWeekly"/>
    <s v="#SoundtrackOfLife"/>
    <x v="2"/>
    <n v="3.1623578076525334"/>
    <n v="1529"/>
    <n v="200000"/>
    <n v="7.6449999999999999E-3"/>
    <d v="2025-01-10T00:00:00"/>
    <d v="2025-02-10T00:00:00"/>
    <s v="Before"/>
    <n v="8.9409410901485682"/>
    <n v="8.2741749399624318"/>
    <n v="-7.4574493161665272"/>
  </r>
  <r>
    <s v="SP235"/>
    <s v="YouTube"/>
    <d v="2024-09-07T00:00:00"/>
    <s v="Text"/>
    <s v="Your weekend playlist is waiting."/>
    <n v="2101"/>
    <n v="411"/>
    <n v="190"/>
    <n v="41791"/>
    <n v="57090"/>
    <n v="172"/>
    <s v="#DiscoverWeekly"/>
    <s v="#SpotifyWrapped"/>
    <x v="1"/>
    <n v="4.0153279184466735"/>
    <n v="2190"/>
    <n v="200000"/>
    <n v="1.095E-2"/>
    <d v="2025-01-10T00:00:00"/>
    <d v="2025-02-10T00:00:00"/>
    <s v="Before"/>
    <n v="8.6824945326835312"/>
    <n v="12.127203653480864"/>
    <n v="39.674187041873822"/>
  </r>
  <r>
    <s v="SP019"/>
    <s v="YouTube"/>
    <d v="2024-06-15T00:00:00"/>
    <s v="Reel"/>
    <s v="Get into the groove with our new drop!"/>
    <n v="1751"/>
    <n v="143"/>
    <n v="151"/>
    <n v="31826"/>
    <n v="47729"/>
    <n v="95"/>
    <s v="#DiscoverWeekly"/>
    <s v="#SoundtrackOfLife"/>
    <x v="2"/>
    <n v="17.995832544042432"/>
    <n v="5700"/>
    <n v="225000"/>
    <n v="2.5333333333333333E-2"/>
    <d v="2024-12-01T00:00:00"/>
    <d v="2024-12-31T00:00:00"/>
    <s v="Before"/>
    <n v="8.8860204002432841"/>
    <n v="10.438856702323291"/>
    <n v="17.475047683184393"/>
  </r>
  <r>
    <s v="SP093"/>
    <s v="Instagram"/>
    <d v="2024-02-29T00:00:00"/>
    <s v="Text"/>
    <s v="From pop to podcasts, itâ€™s all here."/>
    <n v="1100"/>
    <n v="229"/>
    <n v="312"/>
    <n v="25641"/>
    <n v="34601"/>
    <n v="169"/>
    <s v="#DiscoverWeekly"/>
    <s v="NA"/>
    <x v="1"/>
    <n v="12.555218709398009"/>
    <n v="2899"/>
    <n v="160000"/>
    <n v="1.8118749999999999E-2"/>
    <d v="2025-03-01T00:00:00"/>
    <d v="2025-03-31T00:00:00"/>
    <s v="Before"/>
    <n v="8.7474484952141047"/>
    <n v="10.721133882114028"/>
    <n v="22.562983800130564"/>
  </r>
  <r>
    <s v="SP036"/>
    <s v="Instagram"/>
    <d v="2024-05-04T00:00:00"/>
    <s v="Text"/>
    <s v="Wrapped is here! Relive your top tracks ðŸŽ§"/>
    <n v="2274"/>
    <n v="243"/>
    <n v="222"/>
    <n v="43066"/>
    <n v="59174"/>
    <n v="80"/>
    <s v="#DiscoverWeekly"/>
    <s v="NA"/>
    <x v="1"/>
    <n v="8.2744836775483019"/>
    <n v="3105"/>
    <n v="160000"/>
    <n v="1.940625E-2"/>
    <d v="2025-03-01T00:00:00"/>
    <d v="2025-03-31T00:00:00"/>
    <s v="Before"/>
    <n v="8.7685287800944813"/>
    <n v="9.939260636437794"/>
    <n v="13.351519801143857"/>
  </r>
  <r>
    <s v="SP201"/>
    <s v="Twitter"/>
    <d v="2024-09-12T00:00:00"/>
    <s v="Story"/>
    <s v="Wrapped is here! Relive your top tracks ðŸŽ§"/>
    <n v="1839"/>
    <n v="223"/>
    <n v="171"/>
    <n v="35459"/>
    <n v="69988"/>
    <n v="114"/>
    <s v="#MusicForEveryone"/>
    <s v="#NowPlaying"/>
    <x v="0"/>
    <n v="5.2041730205988426"/>
    <n v="2150"/>
    <n v="160000"/>
    <n v="1.34375E-2"/>
    <d v="2025-03-01T00:00:00"/>
    <d v="2025-03-31T00:00:00"/>
    <s v="Before"/>
    <n v="8.8305714982335246"/>
    <n v="9.3185053632521715"/>
    <n v="5.5255072122597459"/>
  </r>
  <r>
    <s v="SP184"/>
    <s v="Twitter"/>
    <d v="2024-07-13T00:00:00"/>
    <s v="Story"/>
    <s v="Get into the groove with our new drop!"/>
    <n v="2408"/>
    <n v="323"/>
    <n v="251"/>
    <n v="47599"/>
    <n v="35543"/>
    <n v="287"/>
    <s v="#MusicForEveryone"/>
    <s v="#NowPlaying"/>
    <x v="0"/>
    <n v="9.4450189589796612"/>
    <n v="2466"/>
    <n v="200000"/>
    <n v="1.2330000000000001E-2"/>
    <d v="2025-01-10T00:00:00"/>
    <d v="2025-02-10T00:00:00"/>
    <s v="Before"/>
    <n v="8.6953572248784088"/>
    <n v="11.323919295534861"/>
    <n v="30.229489170793766"/>
  </r>
  <r>
    <s v="SP105"/>
    <s v="Twitter"/>
    <d v="2024-09-18T00:00:00"/>
    <s v="Text"/>
    <s v="Discover fresh beats on Spotify!"/>
    <n v="2878"/>
    <n v="265"/>
    <n v="91"/>
    <n v="52090"/>
    <n v="28924"/>
    <n v="133"/>
    <s v="#NowPlaying"/>
    <s v="NA"/>
    <x v="0"/>
    <n v="12.409349336702464"/>
    <n v="4911"/>
    <n v="200000"/>
    <n v="2.4555E-2"/>
    <d v="2025-01-10T00:00:00"/>
    <d v="2025-02-10T00:00:00"/>
    <s v="Before"/>
    <n v="8.9202855296545369"/>
    <n v="8.7747460245224023"/>
    <n v="-1.6315565757206325"/>
  </r>
  <r>
    <s v="SP267"/>
    <s v="YouTube"/>
    <d v="2024-11-08T00:00:00"/>
    <s v="Text"/>
    <s v="Top trending tracks updated daily!"/>
    <n v="2471"/>
    <n v="166"/>
    <n v="320"/>
    <n v="48254"/>
    <n v="46900"/>
    <n v="111"/>
    <s v="#DiscoverWeekly"/>
    <s v="#SpotifyWrapped"/>
    <x v="1"/>
    <n v="4.5610431884675746"/>
    <n v="2354"/>
    <n v="160000"/>
    <n v="1.47125E-2"/>
    <d v="2025-03-01T00:00:00"/>
    <d v="2025-03-31T00:00:00"/>
    <s v="Before"/>
    <n v="8.753902125917886"/>
    <n v="10.058987663551095"/>
    <n v="14.908614682464993"/>
  </r>
  <r>
    <s v="SP087"/>
    <s v="Twitter"/>
    <d v="2024-04-23T00:00:00"/>
    <s v="Story"/>
    <s v="Discover fresh beats on Spotify!"/>
    <n v="2683"/>
    <n v="496"/>
    <n v="89"/>
    <n v="53435"/>
    <n v="30334"/>
    <n v="160"/>
    <s v="#SoundtrackOfLife"/>
    <s v="#NowPlaying"/>
    <x v="0"/>
    <n v="8.0371103929948919"/>
    <n v="3084"/>
    <n v="160000"/>
    <n v="1.9275E-2"/>
    <d v="2025-03-01T00:00:00"/>
    <d v="2025-03-31T00:00:00"/>
    <s v="Before"/>
    <n v="9.0432627045338609"/>
    <n v="7.5990128235322825"/>
    <n v="-15.970451464132523"/>
  </r>
  <r>
    <s v="SP298"/>
    <s v="Twitter"/>
    <d v="2025-06-30T00:00:00"/>
    <s v="Text"/>
    <s v="Whatâ€™s your vibe today? #SpotifyHits"/>
    <n v="2275"/>
    <n v="285"/>
    <n v="125"/>
    <n v="43970"/>
    <n v="74761"/>
    <n v="83"/>
    <s v="#NowPlaying"/>
    <s v="NA"/>
    <x v="0"/>
    <n v="12.71002400274317"/>
    <n v="3336"/>
    <n v="200000"/>
    <n v="1.668E-2"/>
    <d v="2025-01-10T00:00:00"/>
    <d v="2025-02-10T00:00:00"/>
    <s v="Before"/>
    <n v="8.5128494393901715"/>
    <n v="13.27420149025059"/>
    <n v="55.931355120988769"/>
  </r>
  <r>
    <s v="SP144"/>
    <s v="Instagram"/>
    <d v="2025-02-14T00:00:00"/>
    <s v="Text"/>
    <s v="Discover fresh beats on Spotify!"/>
    <n v="2329"/>
    <n v="373"/>
    <n v="291"/>
    <n v="49577"/>
    <n v="28002"/>
    <n v="82"/>
    <s v="#SoundtrackOfLife"/>
    <s v="#NowPlaying"/>
    <x v="0"/>
    <n v="8.6602037169406714"/>
    <n v="3877"/>
    <n v="200000"/>
    <n v="1.9384999999999999E-2"/>
    <d v="2025-01-10T00:00:00"/>
    <d v="2025-02-10T00:00:00"/>
    <s v="Before"/>
    <n v="9.2720316848334203"/>
    <n v="4.8658734566410482"/>
    <n v="-47.520957412167562"/>
  </r>
  <r>
    <s v="SP085"/>
    <s v="Instagram"/>
    <d v="2024-08-18T00:00:00"/>
    <s v="Text"/>
    <s v="Explore the latest podcasts now."/>
    <n v="2965"/>
    <n v="328"/>
    <n v="171"/>
    <n v="57685"/>
    <n v="67536"/>
    <n v="264"/>
    <s v="#SoundtrackOfLife"/>
    <s v="#NowPlaying"/>
    <x v="0"/>
    <n v="2.9336922849977873"/>
    <n v="1591"/>
    <n v="160000"/>
    <n v="9.9437499999999995E-3"/>
    <d v="2025-03-01T00:00:00"/>
    <d v="2025-03-31T00:00:00"/>
    <s v="Before"/>
    <n v="8.8342218187472437"/>
    <n v="9.3939203794998036"/>
    <n v="6.3355728691893916"/>
  </r>
  <r>
    <s v="SP297"/>
    <s v="Twitter"/>
    <d v="2024-11-16T00:00:00"/>
    <s v="Text"/>
    <s v="Explore the latest podcasts now."/>
    <n v="2901"/>
    <n v="108"/>
    <n v="86"/>
    <n v="51777"/>
    <n v="23773"/>
    <n v="160"/>
    <s v="#SoundtrackOfLife"/>
    <s v="NA"/>
    <x v="1"/>
    <n v="11.126822801590809"/>
    <n v="5036"/>
    <n v="200000"/>
    <n v="2.5180000000000001E-2"/>
    <d v="2025-01-10T00:00:00"/>
    <d v="2025-02-10T00:00:00"/>
    <s v="Before"/>
    <n v="9.0048029139744585"/>
    <n v="8.5310422177632805"/>
    <n v="-5.2612000588702923"/>
  </r>
  <r>
    <s v="SP154"/>
    <s v="Instagram"/>
    <d v="2024-11-19T00:00:00"/>
    <s v="Text"/>
    <s v="Whatâ€™s your vibe today? #SpotifyHits"/>
    <n v="2525"/>
    <n v="272"/>
    <n v="294"/>
    <n v="51875"/>
    <n v="24732"/>
    <n v="92"/>
    <s v="#DiscoverWeekly"/>
    <s v="NA"/>
    <x v="1"/>
    <n v="5.2566815966924256"/>
    <n v="2136"/>
    <n v="160000"/>
    <n v="1.3350000000000001E-2"/>
    <d v="2025-03-01T00:00:00"/>
    <d v="2025-03-31T00:00:00"/>
    <s v="Before"/>
    <n v="8.9508127531267458"/>
    <n v="8.7600852478884264"/>
    <n v="-2.1308400756310486"/>
  </r>
  <r>
    <s v="SP082"/>
    <s v="Instagram"/>
    <d v="2024-08-26T00:00:00"/>
    <s v="Text"/>
    <s v="Your weekend playlist is waiting."/>
    <n v="2102"/>
    <n v="181"/>
    <n v="306"/>
    <n v="43650"/>
    <n v="50079"/>
    <n v="182"/>
    <s v="#DiscoverWeekly"/>
    <s v="NA"/>
    <x v="1"/>
    <n v="5.2513742764570974"/>
    <n v="2885"/>
    <n v="200000"/>
    <n v="1.4425E-2"/>
    <d v="2025-01-10T00:00:00"/>
    <d v="2025-02-10T00:00:00"/>
    <s v="Before"/>
    <n v="9.0651187261417849"/>
    <n v="8.177417389518661"/>
    <n v="-9.7924954260465533"/>
  </r>
  <r>
    <s v="SP123"/>
    <s v="YouTube"/>
    <d v="2024-05-12T00:00:00"/>
    <s v="Text"/>
    <s v="From pop to podcasts, itâ€™s all here."/>
    <n v="2911"/>
    <n v="467"/>
    <n v="94"/>
    <n v="59083"/>
    <n v="49762"/>
    <n v="236"/>
    <s v="#DiscoverWeekly"/>
    <s v="#SpotifyWrapped"/>
    <x v="1"/>
    <n v="12.406981463942634"/>
    <n v="4585"/>
    <n v="160000"/>
    <n v="2.8656250000000001E-2"/>
    <d v="2025-03-01T00:00:00"/>
    <d v="2025-03-31T00:00:00"/>
    <s v="Before"/>
    <n v="9.2849099184818336"/>
    <n v="6.6185223270759854"/>
    <n v="-28.717430915493757"/>
  </r>
  <r>
    <s v="SP053"/>
    <s v="Twitter"/>
    <d v="2024-08-12T00:00:00"/>
    <s v="Story"/>
    <s v="Whatâ€™s your vibe today? #SpotifyHits"/>
    <n v="2842"/>
    <n v="213"/>
    <n v="331"/>
    <n v="57660"/>
    <n v="68606"/>
    <n v="87"/>
    <s v="#MusicForEveryone"/>
    <s v="#NowPlaying"/>
    <x v="0"/>
    <n v="3.1839004091338254"/>
    <n v="1821"/>
    <n v="175000"/>
    <n v="1.0405714285714285E-2"/>
    <d v="2024-06-15T00:00:00"/>
    <d v="2024-07-15T00:00:00"/>
    <s v="Before"/>
    <n v="9.2049473175377141"/>
    <n v="6.9264452009118873"/>
    <n v="-24.753016372888016"/>
  </r>
  <r>
    <s v="SP291"/>
    <s v="Instagram"/>
    <d v="2024-06-29T00:00:00"/>
    <s v="Text"/>
    <s v="Your weekend playlist is waiting."/>
    <n v="2088"/>
    <n v="490"/>
    <n v="124"/>
    <n v="46544"/>
    <n v="69346"/>
    <n v="178"/>
    <s v="#SoundtrackOfLife"/>
    <s v="#NowPlaying"/>
    <x v="0"/>
    <n v="9.1919262958013928"/>
    <n v="5228"/>
    <n v="160000"/>
    <n v="3.2675000000000003E-2"/>
    <d v="2025-03-01T00:00:00"/>
    <d v="2025-03-31T00:00:00"/>
    <s v="Before"/>
    <n v="8.8667990637321168"/>
    <n v="10.926542830307239"/>
    <n v="23.229845988053299"/>
  </r>
  <r>
    <s v="SP119"/>
    <s v="Twitter"/>
    <d v="2025-05-29T00:00:00"/>
    <s v="Story"/>
    <s v="Music that moves youâ€”only on Spotify."/>
    <n v="2134"/>
    <n v="322"/>
    <n v="114"/>
    <n v="44338"/>
    <n v="52165"/>
    <n v="176"/>
    <s v="#MusicForEveryone"/>
    <s v="#NowPlaying"/>
    <x v="0"/>
    <n v="4.9646286003031834"/>
    <n v="2358"/>
    <n v="160000"/>
    <n v="1.4737500000000001E-2"/>
    <d v="2025-03-01T00:00:00"/>
    <d v="2025-03-31T00:00:00"/>
    <s v="Before"/>
    <n v="9.1744583392958781"/>
    <n v="8.0672112777143976"/>
    <n v="-12.068800365455248"/>
  </r>
  <r>
    <s v="SP276"/>
    <s v="Twitter"/>
    <d v="2025-03-04T00:00:00"/>
    <s v="Text"/>
    <s v="Discover fresh beats on Spotify!"/>
    <n v="2177"/>
    <n v="258"/>
    <n v="292"/>
    <n v="47276"/>
    <n v="51324"/>
    <n v="143"/>
    <s v="#NowPlaying"/>
    <s v="NA"/>
    <x v="0"/>
    <n v="6.7678493650953202"/>
    <n v="2020"/>
    <n v="200000"/>
    <n v="1.01E-2"/>
    <d v="2025-01-10T00:00:00"/>
    <d v="2025-02-10T00:00:00"/>
    <s v="Before"/>
    <n v="9.1403774207451001"/>
    <n v="8.9753437930989346"/>
    <n v="-1.8055450015838883"/>
  </r>
  <r>
    <s v="SP255"/>
    <s v="Twitter"/>
    <d v="2024-04-03T00:00:00"/>
    <s v="Story"/>
    <s v="Top trending tracks updated daily!"/>
    <n v="2291"/>
    <n v="146"/>
    <n v="399"/>
    <n v="49319"/>
    <n v="28056"/>
    <n v="90"/>
    <s v="#DiscoverWeekly"/>
    <s v="#MusicForEveryone"/>
    <x v="0"/>
    <n v="10.985069273191947"/>
    <n v="4900"/>
    <n v="160000"/>
    <n v="3.0624999999999999E-2"/>
    <d v="2025-03-01T00:00:00"/>
    <d v="2025-03-31T00:00:00"/>
    <s v="Before"/>
    <n v="9.3564808843929974"/>
    <n v="7.4002171230246665"/>
    <n v="-20.908114766006321"/>
  </r>
  <r>
    <s v="SP175"/>
    <s v="Twitter"/>
    <d v="2025-04-01T00:00:00"/>
    <s v="Story"/>
    <s v="Music that moves youâ€”only on Spotify."/>
    <n v="2665"/>
    <n v="143"/>
    <n v="315"/>
    <n v="54808"/>
    <n v="29818"/>
    <n v="98"/>
    <s v="#DiscoverWeekly"/>
    <s v="#MusicForEveryone"/>
    <x v="0"/>
    <n v="8.0741841282852604"/>
    <n v="3152"/>
    <n v="200000"/>
    <n v="1.576E-2"/>
    <d v="2025-01-10T00:00:00"/>
    <d v="2025-02-10T00:00:00"/>
    <s v="Before"/>
    <n v="9.0292497710261461"/>
    <n v="10.019147055393073"/>
    <n v="10.963228501479682"/>
  </r>
  <r>
    <s v="SP194"/>
    <s v="Twitter"/>
    <d v="2024-05-10T00:00:00"/>
    <s v="Story"/>
    <s v="Explore the latest podcasts now."/>
    <n v="2784"/>
    <n v="111"/>
    <n v="399"/>
    <n v="58366"/>
    <n v="69512"/>
    <n v="269"/>
    <s v="#MusicForEveryone"/>
    <s v="#NowPlaying"/>
    <x v="0"/>
    <n v="16.790703227603775"/>
    <n v="4219"/>
    <n v="200000"/>
    <n v="2.1094999999999999E-2"/>
    <d v="2025-01-10T00:00:00"/>
    <d v="2025-02-10T00:00:00"/>
    <s v="Before"/>
    <n v="9.3742048893680252"/>
    <n v="7.198826847139939"/>
    <n v="-23.206000593131286"/>
  </r>
  <r>
    <s v="SP299"/>
    <s v="Twitter"/>
    <d v="2024-01-12T00:00:00"/>
    <s v="Story"/>
    <s v="Wrapped is here! Relive your top tracks ðŸŽ§"/>
    <n v="2227"/>
    <n v="494"/>
    <n v="161"/>
    <n v="51651"/>
    <n v="68074"/>
    <n v="240"/>
    <s v="#DiscoverWeekly"/>
    <s v="#MusicForEveryone"/>
    <x v="0"/>
    <n v="6.4655069273288515"/>
    <n v="2702"/>
    <n v="160000"/>
    <n v="1.68875E-2"/>
    <d v="2025-03-01T00:00:00"/>
    <d v="2025-03-31T00:00:00"/>
    <s v="Before"/>
    <n v="9.2061382492979025"/>
    <n v="7.5558887651258448"/>
    <n v="-17.92553445846756"/>
  </r>
  <r>
    <s v="SP264"/>
    <s v="YouTube"/>
    <d v="2025-05-31T00:00:00"/>
    <s v="Reel"/>
    <s v="Get into the groove with our new drop!"/>
    <n v="2162"/>
    <n v="318"/>
    <n v="83"/>
    <n v="46719"/>
    <n v="20482"/>
    <n v="185"/>
    <s v="#DiscoverWeekly"/>
    <s v="#SoundtrackOfLife"/>
    <x v="2"/>
    <n v="8.166643674989654"/>
    <n v="2960"/>
    <n v="160000"/>
    <n v="1.8499999999999999E-2"/>
    <d v="2025-03-01T00:00:00"/>
    <d v="2025-03-31T00:00:00"/>
    <s v="Before"/>
    <n v="8.9233885677547882"/>
    <n v="10.290190601050112"/>
    <n v="15.317074034345502"/>
  </r>
  <r>
    <s v="SP274"/>
    <s v="Instagram"/>
    <d v="2024-10-08T00:00:00"/>
    <s v="Text"/>
    <s v="Explore the latest podcasts now."/>
    <n v="2110"/>
    <n v="384"/>
    <n v="236"/>
    <n v="49965"/>
    <n v="61555"/>
    <n v="195"/>
    <s v="#DiscoverWeekly"/>
    <s v="NA"/>
    <x v="1"/>
    <n v="13.077197816215113"/>
    <n v="5126"/>
    <n v="160000"/>
    <n v="3.2037499999999997E-2"/>
    <d v="2025-03-01T00:00:00"/>
    <d v="2025-03-31T00:00:00"/>
    <s v="Before"/>
    <n v="9.1797792370532392"/>
    <n v="8.3105444214434616"/>
    <n v="-9.4690165543545994"/>
  </r>
  <r>
    <s v="SP131"/>
    <s v="Twitter"/>
    <d v="2025-03-20T00:00:00"/>
    <s v="Text"/>
    <s v="Your weekend playlist is waiting."/>
    <n v="1564"/>
    <n v="362"/>
    <n v="371"/>
    <n v="42075"/>
    <n v="66659"/>
    <n v="205"/>
    <s v="#SoundtrackOfLife"/>
    <s v="NA"/>
    <x v="1"/>
    <n v="5.3094209744904841"/>
    <n v="3147"/>
    <n v="200000"/>
    <n v="1.5734999999999999E-2"/>
    <d v="2025-01-10T00:00:00"/>
    <d v="2025-02-10T00:00:00"/>
    <s v="Before"/>
    <n v="9.0001293221660266"/>
    <n v="9.1909696578037536"/>
    <n v="2.1204177051957989"/>
  </r>
  <r>
    <s v="SP282"/>
    <s v="Twitter"/>
    <d v="2024-02-21T00:00:00"/>
    <s v="Story"/>
    <s v="Get into the groove with our new drop!"/>
    <n v="2604"/>
    <n v="439"/>
    <n v="148"/>
    <n v="58468"/>
    <n v="39629"/>
    <n v="163"/>
    <s v="#MusicForEveryone"/>
    <s v="#NowPlaying"/>
    <x v="0"/>
    <n v="17.088145896656535"/>
    <n v="5622"/>
    <n v="200000"/>
    <n v="2.811E-2"/>
    <d v="2025-01-10T00:00:00"/>
    <d v="2025-02-10T00:00:00"/>
    <s v="Before"/>
    <n v="9.1152523540253529"/>
    <n v="8.8136756000055563"/>
    <n v="-3.3084849690049283"/>
  </r>
  <r>
    <s v="SP263"/>
    <s v="YouTube"/>
    <d v="2024-03-27T00:00:00"/>
    <s v="Text"/>
    <s v="Music that moves youâ€”only on Spotify."/>
    <n v="2399"/>
    <n v="191"/>
    <n v="221"/>
    <n v="51603"/>
    <n v="40033"/>
    <n v="173"/>
    <s v="#DiscoverWeekly"/>
    <s v="#SpotifyWrapped"/>
    <x v="1"/>
    <n v="10.547128720437092"/>
    <n v="5521"/>
    <n v="160000"/>
    <n v="3.4506250000000002E-2"/>
    <d v="2025-03-01T00:00:00"/>
    <d v="2025-03-31T00:00:00"/>
    <s v="Before"/>
    <n v="8.9796745412133721"/>
    <n v="8.7205767927506646"/>
    <n v="-2.885380169109081"/>
  </r>
  <r>
    <s v="SP012"/>
    <s v="Instagram"/>
    <d v="2024-05-14T00:00:00"/>
    <s v="Text"/>
    <s v="Discover fresh beats on Spotify!"/>
    <n v="1485"/>
    <n v="353"/>
    <n v="244"/>
    <n v="38419"/>
    <n v="38556"/>
    <n v="86"/>
    <s v="#SoundtrackOfLife"/>
    <s v="#NowPlaying"/>
    <x v="0"/>
    <n v="4.8196838137389122"/>
    <n v="2570"/>
    <n v="200000"/>
    <n v="1.285E-2"/>
    <d v="2025-01-10T00:00:00"/>
    <d v="2025-02-10T00:00:00"/>
    <s v="Before"/>
    <n v="9.0305954461329812"/>
    <n v="8.1111107727559411"/>
    <n v="-10.181883120129974"/>
  </r>
  <r>
    <s v="SP238"/>
    <s v="Instagram"/>
    <d v="2025-06-15T00:00:00"/>
    <s v="Text"/>
    <s v="Explore the latest podcasts now."/>
    <n v="2478"/>
    <n v="427"/>
    <n v="242"/>
    <n v="59272"/>
    <n v="37833"/>
    <n v="214"/>
    <s v="#SoundtrackOfLife"/>
    <s v="#NowPlaying"/>
    <x v="0"/>
    <n v="13.404136389044158"/>
    <n v="4796"/>
    <n v="200000"/>
    <n v="2.3980000000000001E-2"/>
    <d v="2025-01-10T00:00:00"/>
    <d v="2025-02-10T00:00:00"/>
    <s v="Before"/>
    <n v="8.8751560878793896"/>
    <n v="9.8673619529817902"/>
    <n v="11.179587776010328"/>
  </r>
  <r>
    <s v="SP112"/>
    <s v="Instagram"/>
    <d v="2025-02-16T00:00:00"/>
    <s v="Text"/>
    <s v="Your weekend playlist is waiting."/>
    <n v="1333"/>
    <n v="286"/>
    <n v="298"/>
    <n v="36174"/>
    <n v="34517"/>
    <n v="170"/>
    <s v="#SoundtrackOfLife"/>
    <s v="#NowPlaying"/>
    <x v="0"/>
    <n v="9.8193807339449553"/>
    <n v="2740"/>
    <n v="200000"/>
    <n v="1.37E-2"/>
    <d v="2025-01-10T00:00:00"/>
    <d v="2025-02-10T00:00:00"/>
    <s v="Before"/>
    <n v="8.8005113199015828"/>
    <n v="9.7642052195108135"/>
    <n v="10.950430771333954"/>
  </r>
  <r>
    <s v="SP225"/>
    <s v="YouTube"/>
    <d v="2024-02-01T00:00:00"/>
    <s v="Text"/>
    <s v="Wrapped is here! Relive your top tracks ðŸŽ§"/>
    <n v="1432"/>
    <n v="437"/>
    <n v="267"/>
    <n v="40634"/>
    <n v="54511"/>
    <n v="197"/>
    <s v="#DiscoverWeekly"/>
    <s v="#SpotifyWrapped"/>
    <x v="1"/>
    <n v="8.6517714206166918"/>
    <n v="4972"/>
    <n v="160000"/>
    <n v="3.1074999999999998E-2"/>
    <d v="2025-03-01T00:00:00"/>
    <d v="2025-03-31T00:00:00"/>
    <s v="Before"/>
    <n v="9.0439565753487656"/>
    <n v="7.8797577643104644"/>
    <n v="-12.872671394858015"/>
  </r>
  <r>
    <s v="SP226"/>
    <s v="Twitter"/>
    <d v="2024-01-17T00:00:00"/>
    <s v="Story"/>
    <s v="New music just dropped. Hit play!"/>
    <n v="2174"/>
    <n v="499"/>
    <n v="212"/>
    <n v="54938"/>
    <n v="27190"/>
    <n v="265"/>
    <s v="#MusicForEveryone"/>
    <s v="#NowPlaying"/>
    <x v="0"/>
    <n v="9.271223672309084"/>
    <n v="4305"/>
    <n v="200000"/>
    <n v="2.1524999999999999E-2"/>
    <d v="2025-01-10T00:00:00"/>
    <d v="2025-02-10T00:00:00"/>
    <s v="Before"/>
    <n v="8.7053326076868522"/>
    <n v="10.306151988619872"/>
    <n v="18.388951382736234"/>
  </r>
  <r>
    <s v="SP256"/>
    <s v="Twitter"/>
    <d v="2024-07-08T00:00:00"/>
    <s v="Story"/>
    <s v="Wrapped is here! Relive your top tracks ðŸŽ§"/>
    <n v="2304"/>
    <n v="289"/>
    <n v="161"/>
    <n v="52645"/>
    <n v="66262"/>
    <n v="146"/>
    <s v="#MusicForEveryone"/>
    <s v="#NowPlaying"/>
    <x v="0"/>
    <n v="16.477245248343568"/>
    <n v="3407"/>
    <n v="200000"/>
    <n v="1.7035000000000002E-2"/>
    <d v="2025-01-10T00:00:00"/>
    <d v="2025-02-10T00:00:00"/>
    <s v="Before"/>
    <n v="8.4490015892668442"/>
    <n v="11.983008819982462"/>
    <n v="41.8275129123544"/>
  </r>
  <r>
    <s v="SP073"/>
    <s v="YouTube"/>
    <d v="2025-05-06T00:00:00"/>
    <s v="Reel"/>
    <s v="Discover fresh beats on Spotify!"/>
    <n v="1085"/>
    <n v="496"/>
    <n v="320"/>
    <n v="36528"/>
    <n v="38599"/>
    <n v="270"/>
    <s v="#DiscoverWeekly"/>
    <s v="#SoundtrackOfLife"/>
    <x v="2"/>
    <n v="7.1354340971940893"/>
    <n v="4051"/>
    <n v="200000"/>
    <n v="2.0254999999999999E-2"/>
    <d v="2025-01-10T00:00:00"/>
    <d v="2025-02-10T00:00:00"/>
    <s v="Before"/>
    <n v="8.4916416062564988"/>
    <n v="10.54981961175525"/>
    <n v="24.237692791724992"/>
  </r>
  <r>
    <s v="SP216"/>
    <s v="Twitter"/>
    <d v="2025-01-12T00:00:00"/>
    <s v="Text"/>
    <s v="Music that moves youâ€”only on Spotify."/>
    <n v="1765"/>
    <n v="285"/>
    <n v="100"/>
    <n v="41313"/>
    <n v="56575"/>
    <n v="174"/>
    <s v="#SoundtrackOfLife"/>
    <s v="NA"/>
    <x v="1"/>
    <n v="19.261223173659133"/>
    <n v="5376"/>
    <n v="175000"/>
    <n v="3.0720000000000001E-2"/>
    <d v="2024-06-15T00:00:00"/>
    <d v="2024-07-15T00:00:00"/>
    <s v="During"/>
    <n v="8.8550154962333032"/>
    <n v="8.3556779789165994"/>
    <n v="-5.6390360641278292"/>
  </r>
  <r>
    <s v="SP272"/>
    <s v="Twitter"/>
    <d v="2024-11-07T00:00:00"/>
    <s v="Text"/>
    <s v="Explore the latest podcasts now."/>
    <n v="2229"/>
    <n v="395"/>
    <n v="328"/>
    <n v="56921"/>
    <n v="37176"/>
    <n v="126"/>
    <s v="#SoundtrackOfLife"/>
    <s v="NA"/>
    <x v="1"/>
    <n v="14.674444862627023"/>
    <n v="3899"/>
    <n v="160000"/>
    <n v="2.4368750000000002E-2"/>
    <d v="2025-03-01T00:00:00"/>
    <d v="2025-03-31T00:00:00"/>
    <s v="Before"/>
    <n v="8.6989774846163073"/>
    <n v="7.8721783853935943"/>
    <n v="-9.5045549972380616"/>
  </r>
  <r>
    <s v="SP196"/>
    <s v="Instagram"/>
    <d v="2025-01-12T00:00:00"/>
    <s v="Text"/>
    <s v="From pop to podcasts, itâ€™s all here."/>
    <n v="1771"/>
    <n v="487"/>
    <n v="272"/>
    <n v="48810"/>
    <n v="48084"/>
    <n v="272"/>
    <s v="#SoundtrackOfLife"/>
    <s v="#NowPlaying"/>
    <x v="0"/>
    <n v="17.79948310005706"/>
    <n v="5303"/>
    <n v="200000"/>
    <n v="2.6515E-2"/>
    <d v="2025-01-10T00:00:00"/>
    <d v="2025-02-10T00:00:00"/>
    <s v="During"/>
    <n v="8.2513880242947533"/>
    <n v="9.8319596534132661"/>
    <n v="19.155221212053039"/>
  </r>
  <r>
    <s v="SP026"/>
    <s v="Twitter"/>
    <d v="2025-05-14T00:00:00"/>
    <s v="Story"/>
    <s v="From pop to podcasts, itâ€™s all here."/>
    <n v="2707"/>
    <n v="103"/>
    <n v="51"/>
    <n v="55302"/>
    <n v="18801"/>
    <n v="147"/>
    <s v="#DiscoverWeekly"/>
    <s v="#MusicForEveryone"/>
    <x v="0"/>
    <n v="4.4258807658382189"/>
    <n v="2559"/>
    <n v="160000"/>
    <n v="1.5993750000000001E-2"/>
    <d v="2025-03-01T00:00:00"/>
    <d v="2025-03-31T00:00:00"/>
    <s v="Before"/>
    <n v="8.0457886181526774"/>
    <n v="10.011768057347874"/>
    <n v="24.43488802029437"/>
  </r>
  <r>
    <s v="SP075"/>
    <s v="Twitter"/>
    <d v="2024-01-22T00:00:00"/>
    <s v="Story"/>
    <s v="From pop to podcasts, itâ€™s all here."/>
    <n v="1554"/>
    <n v="455"/>
    <n v="158"/>
    <n v="41947"/>
    <n v="48578"/>
    <n v="101"/>
    <s v="#SoundtrackOfLife"/>
    <s v="#NowPlaying"/>
    <x v="0"/>
    <n v="10.762898272970794"/>
    <n v="4942"/>
    <n v="160000"/>
    <n v="3.0887499999999998E-2"/>
    <d v="2025-03-01T00:00:00"/>
    <d v="2025-03-31T00:00:00"/>
    <s v="Before"/>
    <n v="8.5271296067642322"/>
    <n v="7.1654756143507967"/>
    <n v="-15.968491804478843"/>
  </r>
  <r>
    <s v="SP114"/>
    <s v="Twitter"/>
    <d v="2024-07-16T00:00:00"/>
    <s v="Text"/>
    <s v="Top trending tracks updated daily!"/>
    <n v="1803"/>
    <n v="273"/>
    <n v="287"/>
    <n v="46176"/>
    <n v="25488"/>
    <n v="141"/>
    <s v="#NowPlaying"/>
    <s v="NA"/>
    <x v="0"/>
    <n v="5.0121212121212118"/>
    <n v="2481"/>
    <n v="160000"/>
    <n v="1.5506249999999999E-2"/>
    <d v="2025-03-01T00:00:00"/>
    <d v="2025-03-31T00:00:00"/>
    <s v="Before"/>
    <n v="8.1983849349793836"/>
    <n v="9.0940602058103135"/>
    <n v="10.92502093930019"/>
  </r>
  <r>
    <s v="SP253"/>
    <s v="YouTube"/>
    <d v="2024-08-08T00:00:00"/>
    <s v="Text"/>
    <s v="From pop to podcasts, itâ€™s all here."/>
    <n v="1994"/>
    <n v="197"/>
    <n v="290"/>
    <n v="49500"/>
    <n v="23343"/>
    <n v="160"/>
    <s v="#DiscoverWeekly"/>
    <s v="#SpotifyWrapped"/>
    <x v="1"/>
    <n v="15.451192239551567"/>
    <n v="5320"/>
    <n v="200000"/>
    <n v="2.6599999999999999E-2"/>
    <d v="2025-01-10T00:00:00"/>
    <d v="2025-02-10T00:00:00"/>
    <s v="Before"/>
    <n v="7.9606883010701122"/>
    <n v="11.249364491333376"/>
    <n v="41.311455315003158"/>
  </r>
  <r>
    <s v="SP160"/>
    <s v="YouTube"/>
    <d v="2024-02-08T00:00:00"/>
    <s v="Reel"/>
    <s v="Top trending tracks updated daily!"/>
    <n v="1889"/>
    <n v="298"/>
    <n v="122"/>
    <n v="46225"/>
    <n v="74305"/>
    <n v="293"/>
    <s v="#DiscoverWeekly"/>
    <s v="#SoundtrackOfLife"/>
    <x v="2"/>
    <n v="5.750319349540745"/>
    <n v="2836"/>
    <n v="200000"/>
    <n v="1.418E-2"/>
    <d v="2025-01-10T00:00:00"/>
    <d v="2025-02-10T00:00:00"/>
    <s v="Before"/>
    <n v="8.3461028338300416"/>
    <n v="7.4315169498536102"/>
    <n v="-10.958238859330304"/>
  </r>
  <r>
    <s v="SP116"/>
    <s v="Instagram"/>
    <d v="2025-05-04T00:00:00"/>
    <s v="Story"/>
    <s v="New music just dropped. Hit play!"/>
    <n v="1311"/>
    <n v="181"/>
    <n v="361"/>
    <n v="37148"/>
    <n v="44875"/>
    <n v="245"/>
    <s v="#NowPlaying"/>
    <s v="NA"/>
    <x v="3"/>
    <n v="5.2312660271630733"/>
    <n v="2754"/>
    <n v="200000"/>
    <n v="1.3769999999999999E-2"/>
    <d v="2025-01-10T00:00:00"/>
    <d v="2025-02-10T00:00:00"/>
    <s v="Before"/>
    <n v="8.2054473269725872"/>
    <n v="8.7784083251419407"/>
    <n v="6.9826905875800485"/>
  </r>
  <r>
    <s v="SP230"/>
    <s v="YouTube"/>
    <d v="2025-05-14T00:00:00"/>
    <s v="Text"/>
    <s v="Discover fresh beats on Spotify!"/>
    <n v="1701"/>
    <n v="272"/>
    <n v="385"/>
    <n v="47496"/>
    <n v="40832"/>
    <n v="246"/>
    <s v="#DiscoverWeekly"/>
    <s v="#SpotifyWrapped"/>
    <x v="1"/>
    <n v="8.5608773500447626"/>
    <n v="3825"/>
    <n v="200000"/>
    <n v="1.9125E-2"/>
    <d v="2025-01-10T00:00:00"/>
    <d v="2025-02-10T00:00:00"/>
    <s v="Before"/>
    <n v="8.3856653019474248"/>
    <n v="8.1327247002695522"/>
    <n v="-3.0163450670888512"/>
  </r>
  <r>
    <s v="SP241"/>
    <s v="Twitter"/>
    <d v="2024-09-15T00:00:00"/>
    <s v="Text"/>
    <s v="Get into the groove with our new drop!"/>
    <n v="2145"/>
    <n v="340"/>
    <n v="85"/>
    <n v="53323"/>
    <n v="49938"/>
    <n v="104"/>
    <s v="#NowPlaying"/>
    <s v="NA"/>
    <x v="0"/>
    <n v="3.3729709324273314"/>
    <n v="1787"/>
    <n v="175000"/>
    <n v="1.0211428571428571E-2"/>
    <d v="2024-06-15T00:00:00"/>
    <d v="2024-07-15T00:00:00"/>
    <s v="Before"/>
    <n v="8.6060990230756325"/>
    <n v="6.7441814119627166"/>
    <n v="-21.634861580380782"/>
  </r>
  <r>
    <s v="SP055"/>
    <s v="Twitter"/>
    <d v="2024-05-08T00:00:00"/>
    <s v="Text"/>
    <s v="Explore the latest podcasts now."/>
    <n v="1828"/>
    <n v="450"/>
    <n v="214"/>
    <n v="52115"/>
    <n v="19166"/>
    <n v="190"/>
    <s v="#NowPlaying"/>
    <s v="NA"/>
    <x v="0"/>
    <n v="7.5077784691972624"/>
    <n v="2413"/>
    <n v="200000"/>
    <n v="1.2064999999999999E-2"/>
    <d v="2025-01-10T00:00:00"/>
    <d v="2025-02-10T00:00:00"/>
    <s v="Before"/>
    <n v="8.1099525347875083"/>
    <n v="10.593248356799508"/>
    <n v="30.620349642737647"/>
  </r>
  <r>
    <s v="SP133"/>
    <s v="YouTube"/>
    <d v="2024-01-27T00:00:00"/>
    <s v="Text"/>
    <s v="Your weekend playlist is waiting."/>
    <n v="1976"/>
    <n v="262"/>
    <n v="218"/>
    <n v="51696"/>
    <n v="44846"/>
    <n v="139"/>
    <s v="#DiscoverWeekly"/>
    <s v="#SpotifyWrapped"/>
    <x v="1"/>
    <n v="8.3423643616408025"/>
    <n v="3618"/>
    <n v="200000"/>
    <n v="1.8089999999999998E-2"/>
    <d v="2025-01-10T00:00:00"/>
    <d v="2025-02-10T00:00:00"/>
    <s v="Before"/>
    <n v="8.7298263776417535"/>
    <n v="7.0776799510814508"/>
    <n v="-18.925306817002337"/>
  </r>
  <r>
    <s v="SP017"/>
    <s v="Twitter"/>
    <d v="2024-06-10T00:00:00"/>
    <s v="Text"/>
    <s v="Whatâ€™s your vibe today? #SpotifyHits"/>
    <n v="1514"/>
    <n v="164"/>
    <n v="275"/>
    <n v="41364"/>
    <n v="44389"/>
    <n v="83"/>
    <s v="#NowPlaying"/>
    <s v="NA"/>
    <x v="0"/>
    <n v="6.8477000386548124"/>
    <n v="3543"/>
    <n v="160000"/>
    <n v="2.214375E-2"/>
    <d v="2025-03-01T00:00:00"/>
    <d v="2025-03-31T00:00:00"/>
    <s v="Before"/>
    <n v="8.4020209506526093"/>
    <n v="8.9998210400201017"/>
    <n v="7.1149559478432334"/>
  </r>
  <r>
    <s v="SP120"/>
    <s v="Instagram"/>
    <d v="2025-01-17T00:00:00"/>
    <s v="Text"/>
    <s v="Top trending tracks updated daily!"/>
    <n v="2266"/>
    <n v="126"/>
    <n v="140"/>
    <n v="53759"/>
    <n v="46834"/>
    <n v="277"/>
    <s v="#DiscoverWeekly"/>
    <s v="NA"/>
    <x v="1"/>
    <n v="12.190780876853061"/>
    <n v="5411"/>
    <n v="200000"/>
    <n v="2.7054999999999999E-2"/>
    <d v="2025-01-10T00:00:00"/>
    <d v="2025-02-10T00:00:00"/>
    <s v="During"/>
    <n v="8.6919075957737917"/>
    <n v="7.6644979771865609"/>
    <n v="-11.820300748328034"/>
  </r>
  <r>
    <s v="SP069"/>
    <s v="Twitter"/>
    <d v="2024-12-17T00:00:00"/>
    <s v="Story"/>
    <s v="Music that moves youâ€”only on Spotify."/>
    <n v="1316"/>
    <n v="472"/>
    <n v="286"/>
    <n v="44692"/>
    <n v="53343"/>
    <n v="227"/>
    <s v="#DiscoverWeekly"/>
    <s v="#MusicForEveryone"/>
    <x v="0"/>
    <n v="5.4473577117609437"/>
    <n v="2811"/>
    <n v="160000"/>
    <n v="1.7568750000000001E-2"/>
    <d v="2025-03-01T00:00:00"/>
    <d v="2025-03-31T00:00:00"/>
    <s v="Before"/>
    <n v="8.2010994973646074"/>
    <n v="9.6989956218556657"/>
    <n v="18.264576901821535"/>
  </r>
  <r>
    <s v="SP219"/>
    <s v="Twitter"/>
    <d v="2024-02-10T00:00:00"/>
    <s v="Text"/>
    <s v="From pop to podcasts, itâ€™s all here."/>
    <n v="1519"/>
    <n v="456"/>
    <n v="379"/>
    <n v="51611"/>
    <n v="45880"/>
    <n v="176"/>
    <s v="#SoundtrackOfLife"/>
    <s v="NA"/>
    <x v="1"/>
    <n v="5.4859907104176031"/>
    <n v="2563"/>
    <n v="175000"/>
    <n v="1.4645714285714286E-2"/>
    <d v="2024-06-15T00:00:00"/>
    <d v="2024-07-15T00:00:00"/>
    <s v="Before"/>
    <n v="8.7010601604063389"/>
    <n v="7.5748224937406698"/>
    <n v="-12.943683251272612"/>
  </r>
  <r>
    <s v="SP200"/>
    <s v="Twitter"/>
    <d v="2024-03-18T00:00:00"/>
    <s v="Text"/>
    <s v="New music just dropped. Hit play!"/>
    <n v="2033"/>
    <n v="420"/>
    <n v="94"/>
    <n v="56290"/>
    <n v="57391"/>
    <n v="196"/>
    <s v="#NowPlaying"/>
    <s v="NA"/>
    <x v="0"/>
    <n v="9.0752980172121163"/>
    <n v="4545"/>
    <n v="200000"/>
    <n v="2.2724999999999999E-2"/>
    <d v="2025-01-10T00:00:00"/>
    <d v="2025-02-10T00:00:00"/>
    <s v="Before"/>
    <n v="8.5708630322953709"/>
    <n v="8.7998110446932873"/>
    <n v="2.6712363916589346"/>
  </r>
  <r>
    <s v="SP293"/>
    <s v="YouTube"/>
    <d v="2025-04-18T00:00:00"/>
    <s v="Reel"/>
    <s v="Your weekend playlist is waiting."/>
    <n v="1265"/>
    <n v="230"/>
    <n v="364"/>
    <n v="41312"/>
    <n v="50382"/>
    <n v="106"/>
    <s v="#DiscoverWeekly"/>
    <s v="#SoundtrackOfLife"/>
    <x v="2"/>
    <n v="11.695224773672146"/>
    <n v="3010"/>
    <n v="225000"/>
    <n v="1.3377777777777778E-2"/>
    <d v="2024-12-01T00:00:00"/>
    <d v="2024-12-31T00:00:00"/>
    <s v="Before"/>
    <n v="8.7573446798767929"/>
    <n v="7.5800341622213967"/>
    <n v="-13.443692816621668"/>
  </r>
  <r>
    <s v="SP086"/>
    <s v="Twitter"/>
    <d v="2025-05-14T00:00:00"/>
    <s v="Story"/>
    <s v="Wrapped is here! Relive your top tracks ðŸŽ§"/>
    <n v="1371"/>
    <n v="139"/>
    <n v="96"/>
    <n v="36140"/>
    <n v="39395"/>
    <n v="169"/>
    <s v="#SoundtrackOfLife"/>
    <s v="#NowPlaying"/>
    <x v="0"/>
    <n v="6.127989389480665"/>
    <n v="2957"/>
    <n v="160000"/>
    <n v="1.8481250000000001E-2"/>
    <d v="2025-03-01T00:00:00"/>
    <d v="2025-03-31T00:00:00"/>
    <s v="Before"/>
    <n v="8.4113037404532704"/>
    <n v="8.9994955921187589"/>
    <n v="6.992873754357988"/>
  </r>
  <r>
    <s v="SP034"/>
    <s v="Instagram"/>
    <d v="2025-01-09T00:00:00"/>
    <s v="Text"/>
    <s v="New music just dropped. Hit play!"/>
    <n v="1015"/>
    <n v="366"/>
    <n v="308"/>
    <n v="38127"/>
    <n v="63790"/>
    <n v="287"/>
    <s v="#SoundtrackOfLife"/>
    <s v="#NowPlaying"/>
    <x v="0"/>
    <n v="7.3202671439172375"/>
    <n v="3354"/>
    <n v="175000"/>
    <n v="1.9165714285714286E-2"/>
    <d v="2024-06-15T00:00:00"/>
    <d v="2024-07-15T00:00:00"/>
    <s v="Before"/>
    <n v="8.5581676886989051"/>
    <n v="8.6526085179974359"/>
    <n v="1.1035169294852718"/>
  </r>
  <r>
    <s v="SP251"/>
    <s v="Twitter"/>
    <d v="2024-07-07T00:00:00"/>
    <s v="Text"/>
    <s v="Whatâ€™s your vibe today? #SpotifyHits"/>
    <n v="1848"/>
    <n v="417"/>
    <n v="294"/>
    <n v="57819"/>
    <n v="19798"/>
    <n v="262"/>
    <s v="#SoundtrackOfLife"/>
    <s v="NA"/>
    <x v="1"/>
    <n v="9.2893873181347502"/>
    <n v="5293"/>
    <n v="175000"/>
    <n v="3.0245714285714285E-2"/>
    <d v="2024-06-15T00:00:00"/>
    <d v="2024-07-15T00:00:00"/>
    <s v="Before"/>
    <n v="9.2001059731145869"/>
    <n v="4.4685156632830676"/>
    <n v="-51.429737044971176"/>
  </r>
  <r>
    <s v="SP062"/>
    <s v="Twitter"/>
    <d v="2024-11-03T00:00:00"/>
    <s v="Story"/>
    <s v="Wrapped is here! Relive your top tracks ðŸŽ§"/>
    <n v="1959"/>
    <n v="316"/>
    <n v="82"/>
    <n v="54036"/>
    <n v="69015"/>
    <n v="182"/>
    <s v="#MusicForEveryone"/>
    <s v="#NowPlaying"/>
    <x v="0"/>
    <n v="3.3603177027646249"/>
    <n v="1980"/>
    <n v="200000"/>
    <n v="9.9000000000000008E-3"/>
    <d v="2025-01-10T00:00:00"/>
    <d v="2025-02-10T00:00:00"/>
    <s v="Before"/>
    <n v="8.4463126817551402"/>
    <n v="9.5343000437042829"/>
    <n v="12.881211043717355"/>
  </r>
  <r>
    <s v="SP021"/>
    <s v="Instagram"/>
    <d v="2024-11-07T00:00:00"/>
    <s v="Story"/>
    <s v="Wrapped is here! Relive your top tracks ðŸŽ§"/>
    <n v="1678"/>
    <n v="423"/>
    <n v="323"/>
    <n v="55668"/>
    <n v="37945"/>
    <n v="230"/>
    <s v="#NowPlaying"/>
    <s v="NA"/>
    <x v="3"/>
    <n v="14.843585975225698"/>
    <n v="3535"/>
    <n v="200000"/>
    <n v="1.7675E-2"/>
    <d v="2025-01-10T00:00:00"/>
    <d v="2025-02-10T00:00:00"/>
    <s v="Before"/>
    <n v="8.8783537940455908"/>
    <n v="7.9975315585640061"/>
    <n v="-9.9210085102975079"/>
  </r>
  <r>
    <s v="SP181"/>
    <s v="Twitter"/>
    <d v="2024-03-19T00:00:00"/>
    <s v="Text"/>
    <s v="From pop to podcasts, itâ€™s all here."/>
    <n v="2191"/>
    <n v="288"/>
    <n v="83"/>
    <n v="59606"/>
    <n v="24765"/>
    <n v="281"/>
    <s v="#SoundtrackOfLife"/>
    <s v="NA"/>
    <x v="1"/>
    <n v="5.1861351697967359"/>
    <n v="2952"/>
    <n v="160000"/>
    <n v="1.8450000000000001E-2"/>
    <d v="2025-03-01T00:00:00"/>
    <d v="2025-03-31T00:00:00"/>
    <s v="Before"/>
    <n v="8.691389458731587"/>
    <n v="7.3358709923981236"/>
    <n v="-15.596107765849517"/>
  </r>
  <r>
    <s v="SP118"/>
    <s v="Twitter"/>
    <d v="2024-05-16T00:00:00"/>
    <s v="Story"/>
    <s v="Music that moves youâ€”only on Spotify."/>
    <n v="2023"/>
    <n v="124"/>
    <n v="99"/>
    <n v="54524"/>
    <n v="34790"/>
    <n v="195"/>
    <s v="#DiscoverWeekly"/>
    <s v="#MusicForEveryone"/>
    <x v="0"/>
    <n v="6.6160796354604656"/>
    <n v="3383"/>
    <n v="200000"/>
    <n v="1.6914999999999999E-2"/>
    <d v="2025-01-10T00:00:00"/>
    <d v="2025-02-10T00:00:00"/>
    <s v="Before"/>
    <n v="9.0183635338073209"/>
    <n v="5.7795051297452815"/>
    <n v="-35.914036864010477"/>
  </r>
  <r>
    <s v="SP074"/>
    <s v="Twitter"/>
    <d v="2024-05-19T00:00:00"/>
    <s v="Story"/>
    <s v="Get into the groove with our new drop!"/>
    <n v="1763"/>
    <n v="206"/>
    <n v="187"/>
    <n v="53342"/>
    <n v="25095"/>
    <n v="88"/>
    <s v="#DiscoverWeekly"/>
    <s v="#MusicForEveryone"/>
    <x v="0"/>
    <n v="5.4638246772740917"/>
    <n v="2730"/>
    <n v="160000"/>
    <n v="1.7062500000000001E-2"/>
    <d v="2025-03-01T00:00:00"/>
    <d v="2025-03-31T00:00:00"/>
    <s v="Before"/>
    <n v="8.8662729587994082"/>
    <n v="7.796991029257538"/>
    <n v="-12.060106140547504"/>
  </r>
  <r>
    <s v="SP212"/>
    <s v="Twitter"/>
    <d v="2025-06-19T00:00:00"/>
    <s v="Story"/>
    <s v="Whatâ€™s your vibe today? #SpotifyHits"/>
    <n v="1433"/>
    <n v="452"/>
    <n v="305"/>
    <n v="54541"/>
    <n v="63700"/>
    <n v="296"/>
    <s v="#DiscoverWeekly"/>
    <s v="#MusicForEveryone"/>
    <x v="0"/>
    <n v="9.413975738937296"/>
    <n v="5510"/>
    <n v="160000"/>
    <n v="3.4437500000000003E-2"/>
    <d v="2025-03-01T00:00:00"/>
    <d v="2025-03-31T00:00:00"/>
    <s v="Before"/>
    <n v="9.0826392187976417"/>
    <n v="7.2723324631128605"/>
    <n v="-19.931505722897462"/>
  </r>
  <r>
    <s v="SP044"/>
    <s v="Instagram"/>
    <d v="2024-09-06T00:00:00"/>
    <s v="Text"/>
    <s v="New music just dropped. Hit play!"/>
    <n v="1452"/>
    <n v="281"/>
    <n v="326"/>
    <n v="51556"/>
    <n v="62599"/>
    <n v="290"/>
    <s v="#DiscoverWeekly"/>
    <s v="NA"/>
    <x v="1"/>
    <n v="5.7682545054573149"/>
    <n v="2727"/>
    <n v="200000"/>
    <n v="1.3635E-2"/>
    <d v="2025-01-10T00:00:00"/>
    <d v="2025-02-10T00:00:00"/>
    <s v="Before"/>
    <n v="8.3678531697207106"/>
    <n v="14.42155038958537"/>
    <n v="72.344687425564729"/>
  </r>
  <r>
    <s v="SP039"/>
    <s v="Instagram"/>
    <d v="2024-11-25T00:00:00"/>
    <s v="Text"/>
    <s v="From pop to podcasts, itâ€™s all here."/>
    <n v="1341"/>
    <n v="472"/>
    <n v="238"/>
    <n v="51386"/>
    <n v="51706"/>
    <n v="133"/>
    <s v="#DiscoverWeekly"/>
    <s v="NA"/>
    <x v="1"/>
    <n v="8.3972409065592739"/>
    <n v="1960"/>
    <n v="225000"/>
    <n v="8.7111111111111104E-3"/>
    <d v="2024-12-01T00:00:00"/>
    <d v="2024-12-31T00:00:00"/>
    <s v="Before"/>
    <n v="8.9858660271178437"/>
    <n v="8.9232082903486081"/>
    <n v="-0.69729213166705351"/>
  </r>
  <r>
    <s v="SP113"/>
    <s v="Instagram"/>
    <d v="2024-09-09T00:00:00"/>
    <s v="Text"/>
    <s v="New music just dropped. Hit play!"/>
    <n v="1616"/>
    <n v="360"/>
    <n v="180"/>
    <n v="54342"/>
    <n v="18796"/>
    <n v="282"/>
    <s v="#SoundtrackOfLife"/>
    <s v="#NowPlaying"/>
    <x v="0"/>
    <n v="6.6186514342481058"/>
    <n v="3731"/>
    <n v="200000"/>
    <n v="1.8655000000000001E-2"/>
    <d v="2025-01-10T00:00:00"/>
    <d v="2025-02-10T00:00:00"/>
    <s v="Before"/>
    <n v="8.4203973731392541"/>
    <n v="15.154941717403068"/>
    <n v="79.978937404388446"/>
  </r>
  <r>
    <s v="SP208"/>
    <s v="Twitter"/>
    <d v="2025-04-07T00:00:00"/>
    <s v="Text"/>
    <s v="From pop to podcasts, itâ€™s all here."/>
    <n v="1403"/>
    <n v="385"/>
    <n v="344"/>
    <n v="54223"/>
    <n v="72595"/>
    <n v="239"/>
    <s v="#SoundtrackOfLife"/>
    <s v="NA"/>
    <x v="1"/>
    <n v="20.445859872611464"/>
    <n v="4173"/>
    <n v="200000"/>
    <n v="2.0865000000000002E-2"/>
    <d v="2025-01-10T00:00:00"/>
    <d v="2025-02-10T00:00:00"/>
    <s v="Before"/>
    <n v="9.1917062717151801"/>
    <n v="8.3427257010893694"/>
    <n v="-9.2363762018625764"/>
  </r>
  <r>
    <s v="SP038"/>
    <s v="Instagram"/>
    <d v="2024-09-10T00:00:00"/>
    <s v="Story"/>
    <s v="New music just dropped. Hit play!"/>
    <n v="1230"/>
    <n v="309"/>
    <n v="207"/>
    <n v="44629"/>
    <n v="40699"/>
    <n v="195"/>
    <s v="#NowPlaying"/>
    <s v="NA"/>
    <x v="3"/>
    <n v="11.22776514644911"/>
    <n v="5037"/>
    <n v="200000"/>
    <n v="2.5184999999999999E-2"/>
    <d v="2025-01-10T00:00:00"/>
    <d v="2025-02-10T00:00:00"/>
    <s v="Before"/>
    <n v="8.5042828851371279"/>
    <n v="9.2461710731327322"/>
    <n v="8.7237007283964747"/>
  </r>
  <r>
    <s v="SP156"/>
    <s v="YouTube"/>
    <d v="2024-09-03T00:00:00"/>
    <s v="Reel"/>
    <s v="Whatâ€™s your vibe today? #SpotifyHits"/>
    <n v="1437"/>
    <n v="494"/>
    <n v="129"/>
    <n v="53048"/>
    <n v="44090"/>
    <n v="230"/>
    <s v="#DiscoverWeekly"/>
    <s v="#SoundtrackOfLife"/>
    <x v="2"/>
    <n v="9.8640235621946708"/>
    <n v="5593"/>
    <n v="200000"/>
    <n v="2.7965E-2"/>
    <d v="2025-01-10T00:00:00"/>
    <d v="2025-02-10T00:00:00"/>
    <s v="Before"/>
    <n v="8.6101458693588917"/>
    <n v="6.9316630844808671"/>
    <n v="-19.494243307204314"/>
  </r>
  <r>
    <s v="SP063"/>
    <s v="Twitter"/>
    <d v="2024-07-07T00:00:00"/>
    <s v="Text"/>
    <s v="New music just dropped. Hit play!"/>
    <n v="1035"/>
    <n v="137"/>
    <n v="184"/>
    <n v="37302"/>
    <n v="68953"/>
    <n v="237"/>
    <s v="#SoundtrackOfLife"/>
    <s v="NA"/>
    <x v="1"/>
    <n v="5.4576862557296293"/>
    <n v="3191"/>
    <n v="200000"/>
    <n v="1.5955E-2"/>
    <d v="2025-01-10T00:00:00"/>
    <d v="2025-02-10T00:00:00"/>
    <s v="Before"/>
    <n v="8.6429800679974633"/>
    <n v="6.025633549635117"/>
    <n v="-30.282917440173769"/>
  </r>
  <r>
    <s v="SP122"/>
    <s v="Twitter"/>
    <d v="2024-02-24T00:00:00"/>
    <s v="Story"/>
    <s v="Music that moves youâ€”only on Spotify."/>
    <n v="1022"/>
    <n v="463"/>
    <n v="360"/>
    <n v="51468"/>
    <n v="24279"/>
    <n v="230"/>
    <s v="#DiscoverWeekly"/>
    <s v="#MusicForEveryone"/>
    <x v="0"/>
    <n v="8.6283185840707954"/>
    <n v="4836"/>
    <n v="160000"/>
    <n v="3.0224999999999998E-2"/>
    <d v="2025-03-01T00:00:00"/>
    <d v="2025-03-31T00:00:00"/>
    <s v="Before"/>
    <n v="8.3531957584740404"/>
    <n v="9.9365549319564153"/>
    <n v="18.955130698045828"/>
  </r>
  <r>
    <s v="SP197"/>
    <s v="YouTube"/>
    <d v="2024-12-08T00:00:00"/>
    <s v="Text"/>
    <s v="Top trending tracks updated daily!"/>
    <n v="1424"/>
    <n v="396"/>
    <n v="312"/>
    <n v="59517"/>
    <n v="46102"/>
    <n v="239"/>
    <s v="#DiscoverWeekly"/>
    <s v="#SpotifyWrapped"/>
    <x v="1"/>
    <n v="8.405639913232104"/>
    <n v="2325"/>
    <n v="225000"/>
    <n v="1.0333333333333333E-2"/>
    <d v="2024-12-01T00:00:00"/>
    <d v="2024-12-31T00:00:00"/>
    <s v="Before"/>
    <n v="8.8678744422533935"/>
    <n v="5.938903390812893"/>
    <n v="-33.02900904285049"/>
  </r>
  <r>
    <s v="SP065"/>
    <s v="YouTube"/>
    <d v="2024-05-26T00:00:00"/>
    <s v="Text"/>
    <s v="From pop to podcasts, itâ€™s all here."/>
    <n v="1488"/>
    <n v="327"/>
    <n v="110"/>
    <n v="53805"/>
    <n v="30239"/>
    <n v="109"/>
    <s v="#DiscoverWeekly"/>
    <s v="#SpotifyWrapped"/>
    <x v="1"/>
    <n v="3.4229485151994381"/>
    <n v="1948"/>
    <n v="160000"/>
    <n v="1.2175E-2"/>
    <d v="2025-03-01T00:00:00"/>
    <d v="2025-03-31T00:00:00"/>
    <s v="Before"/>
    <n v="8.1769009579303145"/>
    <n v="11.006835045585081"/>
    <n v="34.60888302566724"/>
  </r>
  <r>
    <s v="SP164"/>
    <s v="Instagram"/>
    <d v="2025-06-27T00:00:00"/>
    <s v="Story"/>
    <s v="Whatâ€™s your vibe today? #SpotifyHits"/>
    <n v="1342"/>
    <n v="332"/>
    <n v="163"/>
    <n v="51712"/>
    <n v="57922"/>
    <n v="168"/>
    <s v="#NowPlaying"/>
    <s v="NA"/>
    <x v="3"/>
    <n v="11.467469950680725"/>
    <n v="3883"/>
    <n v="160000"/>
    <n v="2.4268749999999999E-2"/>
    <d v="2025-03-01T00:00:00"/>
    <d v="2025-03-31T00:00:00"/>
    <s v="Before"/>
    <n v="8.7903370302369233"/>
    <n v="9.3964767969575647"/>
    <n v="6.8955236259502586"/>
  </r>
  <r>
    <s v="SP198"/>
    <s v="Twitter"/>
    <d v="2025-02-01T00:00:00"/>
    <s v="Story"/>
    <s v="Top trending tracks updated daily!"/>
    <n v="1079"/>
    <n v="265"/>
    <n v="190"/>
    <n v="43786"/>
    <n v="72428"/>
    <n v="222"/>
    <s v="#SoundtrackOfLife"/>
    <s v="#NowPlaying"/>
    <x v="0"/>
    <n v="8.4548582664263474"/>
    <n v="2580"/>
    <n v="160000"/>
    <n v="1.6125E-2"/>
    <d v="2025-03-01T00:00:00"/>
    <d v="2025-03-31T00:00:00"/>
    <s v="During"/>
    <n v="7.9498092808765692"/>
    <n v="13.101076832897789"/>
    <n v="64.797372742170054"/>
  </r>
  <r>
    <s v="SP117"/>
    <s v="Instagram"/>
    <d v="2024-02-18T00:00:00"/>
    <s v="Story"/>
    <s v="From pop to podcasts, itâ€™s all here."/>
    <n v="1516"/>
    <n v="215"/>
    <n v="332"/>
    <n v="58981"/>
    <n v="36118"/>
    <n v="211"/>
    <s v="#NowPlaying"/>
    <s v="NA"/>
    <x v="3"/>
    <n v="10.546200140489436"/>
    <n v="5555"/>
    <n v="200000"/>
    <n v="2.7775000000000001E-2"/>
    <d v="2025-01-10T00:00:00"/>
    <d v="2025-02-10T00:00:00"/>
    <s v="Before"/>
    <n v="8.8183319911853335"/>
    <n v="8.0716774334246946"/>
    <n v="-8.4670724407629816"/>
  </r>
  <r>
    <s v="SP127"/>
    <s v="Twitter"/>
    <d v="2024-01-28T00:00:00"/>
    <s v="Text"/>
    <s v="Music that moves youâ€”only on Spotify."/>
    <n v="1456"/>
    <n v="265"/>
    <n v="137"/>
    <n v="53485"/>
    <n v="59729"/>
    <n v="145"/>
    <s v="#SoundtrackOfLife"/>
    <s v="NA"/>
    <x v="1"/>
    <n v="10.338095327488784"/>
    <n v="5507"/>
    <n v="225000"/>
    <n v="2.4475555555555556E-2"/>
    <d v="2024-12-01T00:00:00"/>
    <d v="2024-12-31T00:00:00"/>
    <s v="Before"/>
    <n v="7.3966126377365757"/>
    <n v="14.316340126016433"/>
    <n v="93.552654805475271"/>
  </r>
  <r>
    <s v="SP285"/>
    <s v="YouTube"/>
    <d v="2025-01-29T00:00:00"/>
    <s v="Text"/>
    <s v="New music just dropped. Hit play!"/>
    <n v="1334"/>
    <n v="357"/>
    <n v="257"/>
    <n v="56910"/>
    <n v="70606"/>
    <n v="228"/>
    <s v="#DiscoverWeekly"/>
    <s v="#SpotifyWrapped"/>
    <x v="1"/>
    <n v="15.65595352530614"/>
    <n v="3746"/>
    <n v="160000"/>
    <n v="2.3412499999999999E-2"/>
    <d v="2025-03-01T00:00:00"/>
    <d v="2025-03-31T00:00:00"/>
    <s v="During"/>
    <n v="9.1061720651907265"/>
    <n v="5.1525813575966461"/>
    <n v="-43.416604466624179"/>
  </r>
  <r>
    <s v="SP210"/>
    <s v="Twitter"/>
    <d v="2025-05-03T00:00:00"/>
    <s v="Story"/>
    <s v="Top trending tracks updated daily!"/>
    <n v="1010"/>
    <n v="361"/>
    <n v="240"/>
    <n v="47229"/>
    <n v="72573"/>
    <n v="275"/>
    <s v="#SoundtrackOfLife"/>
    <s v="#NowPlaying"/>
    <x v="0"/>
    <n v="5.8052595393606046"/>
    <n v="2702"/>
    <n v="200000"/>
    <n v="1.3509999999999999E-2"/>
    <d v="2025-01-10T00:00:00"/>
    <d v="2025-02-10T00:00:00"/>
    <s v="Before"/>
    <n v="7.5508571844763122"/>
    <n v="8.0989501503966004"/>
    <n v="7.2586853721336944"/>
  </r>
  <r>
    <s v="SP258"/>
    <s v="YouTube"/>
    <d v="2025-03-20T00:00:00"/>
    <s v="Reel"/>
    <s v="From pop to podcasts, itâ€™s all here."/>
    <n v="1453"/>
    <n v="156"/>
    <n v="178"/>
    <n v="52980"/>
    <n v="57180"/>
    <n v="286"/>
    <s v="#DiscoverWeekly"/>
    <s v="#SoundtrackOfLife"/>
    <x v="2"/>
    <n v="12.976726726726726"/>
    <n v="3457"/>
    <n v="200000"/>
    <n v="1.7284999999999998E-2"/>
    <d v="2025-01-10T00:00:00"/>
    <d v="2025-02-10T00:00:00"/>
    <s v="Before"/>
    <n v="7.885973848507926"/>
    <n v="7.7988406488438038"/>
    <n v="-1.1049136268770201"/>
  </r>
  <r>
    <s v="SP270"/>
    <s v="Twitter"/>
    <d v="2024-11-13T00:00:00"/>
    <s v="Story"/>
    <s v="New music just dropped. Hit play!"/>
    <n v="1409"/>
    <n v="466"/>
    <n v="105"/>
    <n v="58923"/>
    <n v="38753"/>
    <n v="265"/>
    <s v="#DiscoverWeekly"/>
    <s v="#MusicForEveryone"/>
    <x v="0"/>
    <n v="4.4999031758326877"/>
    <n v="1859"/>
    <n v="175000"/>
    <n v="1.0622857142857142E-2"/>
    <d v="2024-06-15T00:00:00"/>
    <d v="2024-07-15T00:00:00"/>
    <s v="Before"/>
    <n v="7.1152538331496418"/>
    <n v="7.565624255809257"/>
    <n v="6.3296466046138793"/>
  </r>
  <r>
    <s v="SP294"/>
    <s v="Instagram"/>
    <d v="2024-12-27T00:00:00"/>
    <s v="Text"/>
    <s v="From pop to podcasts, itâ€™s all here."/>
    <n v="1436"/>
    <n v="219"/>
    <n v="229"/>
    <n v="58488"/>
    <n v="24314"/>
    <n v="147"/>
    <s v="#DiscoverWeekly"/>
    <s v="NA"/>
    <x v="1"/>
    <n v="3.2211735740664751"/>
    <n v="1884"/>
    <n v="160000"/>
    <n v="1.1775000000000001E-2"/>
    <d v="2025-03-01T00:00:00"/>
    <d v="2025-03-31T00:00:00"/>
    <s v="Before"/>
    <n v="7.2495065220064303"/>
    <n v="8.5376678623257654"/>
    <n v="17.768952085345713"/>
  </r>
  <r>
    <s v="SP228"/>
    <s v="YouTube"/>
    <d v="2024-05-30T00:00:00"/>
    <s v="Reel"/>
    <s v="Whatâ€™s your vibe today? #SpotifyHits"/>
    <n v="1060"/>
    <n v="442"/>
    <n v="319"/>
    <n v="57194"/>
    <n v="24258"/>
    <n v="101"/>
    <s v="#DiscoverWeekly"/>
    <s v="#SoundtrackOfLife"/>
    <x v="2"/>
    <n v="11.097778121854921"/>
    <n v="2867"/>
    <n v="225000"/>
    <n v="1.2742222222222222E-2"/>
    <d v="2024-12-01T00:00:00"/>
    <d v="2024-12-31T00:00:00"/>
    <s v="Before"/>
    <n v="8.0212959041401835"/>
    <n v="9.0082555720282365"/>
    <n v="12.304242103556295"/>
  </r>
  <r>
    <s v="SP211"/>
    <s v="Twitter"/>
    <d v="2024-04-14T00:00:00"/>
    <s v="Story"/>
    <s v="Discover fresh beats on Spotify!"/>
    <n v="1295"/>
    <n v="153"/>
    <n v="81"/>
    <n v="48350"/>
    <n v="61033"/>
    <n v="232"/>
    <s v="#DiscoverWeekly"/>
    <s v="#MusicForEveryone"/>
    <x v="0"/>
    <n v="11.910074937552039"/>
    <n v="3576"/>
    <n v="200000"/>
    <n v="1.788E-2"/>
    <d v="2025-01-10T00:00:00"/>
    <d v="2025-02-10T00:00:00"/>
    <s v="Before"/>
    <n v="9.1488675312298771"/>
    <n v="5.7786570225363265"/>
    <n v="-36.837460999290421"/>
  </r>
  <r>
    <s v="SP223"/>
    <s v="Twitter"/>
    <d v="2024-06-19T00:00:00"/>
    <s v="Text"/>
    <s v="Whatâ€™s your vibe today? #SpotifyHits"/>
    <n v="1224"/>
    <n v="168"/>
    <n v="199"/>
    <n v="54232"/>
    <n v="52844"/>
    <n v="271"/>
    <s v="#SoundtrackOfLife"/>
    <s v="NA"/>
    <x v="1"/>
    <n v="5.9775576027966082"/>
    <n v="3095"/>
    <n v="160000"/>
    <n v="1.934375E-2"/>
    <d v="2025-03-01T00:00:00"/>
    <d v="2025-03-31T00:00:00"/>
    <s v="Before"/>
    <n v="5.7786570225363265"/>
    <n v="7.7682638280687968"/>
    <n v="34.430262910104439"/>
  </r>
  <r>
    <s v="SP130"/>
    <s v="YouTube"/>
    <d v="2024-01-10T00:00:00"/>
    <s v="Text"/>
    <s v="Explore the latest podcasts now."/>
    <n v="1261"/>
    <n v="190"/>
    <n v="233"/>
    <n v="59888"/>
    <n v="51449"/>
    <n v="205"/>
    <s v="#DiscoverWeekly"/>
    <s v="#SpotifyWrapped"/>
    <x v="1"/>
    <n v="6.1064362065044353"/>
    <n v="2685"/>
    <n v="200000"/>
    <n v="1.3424999999999999E-2"/>
    <d v="2025-01-10T00:00:00"/>
    <d v="2025-02-10T00:00:00"/>
    <s v="Before"/>
    <n v="7.7682638280687968"/>
    <n v="5.5797564422760448"/>
    <n v="-28.172413221666009"/>
  </r>
  <r>
    <s v="SP138"/>
    <s v="Twitter"/>
    <d v="2024-11-28T00:00:00"/>
    <s v="Story"/>
    <s v="New music just dropped. Hit play!"/>
    <n v="1131"/>
    <n v="100"/>
    <n v="116"/>
    <n v="48437"/>
    <n v="72704"/>
    <n v="236"/>
    <s v="#DiscoverWeekly"/>
    <s v="#MusicForEveryone"/>
    <x v="0"/>
    <n v="5.5797564422760448"/>
    <n v="2882"/>
    <n v="200000"/>
    <n v="1.4409999999999999E-2"/>
    <d v="2025-01-10T00:00:00"/>
    <d v="2025-02-10T00:00:00"/>
    <s v="Before"/>
    <n v="5.5797564422760448"/>
    <n v="9.4300914496331583"/>
    <n v="69.005431459056993"/>
  </r>
  <r>
    <s v="SP059"/>
    <s v="YouTube"/>
    <d v="2024-08-10T00:00:00"/>
    <s v="Text"/>
    <s v="From pop to podcasts, itâ€™s all here."/>
    <n v="1105"/>
    <n v="181"/>
    <n v="55"/>
    <n v="53581"/>
    <n v="74048"/>
    <n v="220"/>
    <s v="#DiscoverWeekly"/>
    <s v="#SpotifyWrapped"/>
    <x v="1"/>
    <n v="9.4300914496331583"/>
    <n v="2712"/>
    <n v="200000"/>
    <n v="1.3559999999999999E-2"/>
    <d v="2025-01-10T00:00:00"/>
    <d v="2025-02-10T00:00:00"/>
    <s v="Before"/>
    <n v="9.4300914496331583"/>
    <n v="0"/>
    <n v="-1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YouTube"/>
    <n v="637"/>
    <n v="68"/>
    <n v="115694"/>
    <n v="9.99"/>
    <n v="12562"/>
    <n v="569"/>
    <x v="0"/>
  </r>
  <r>
    <x v="1"/>
    <s v="Instagram"/>
    <n v="974"/>
    <n v="143"/>
    <n v="247965"/>
    <n v="9.98"/>
    <n v="12767"/>
    <n v="831"/>
    <x v="0"/>
  </r>
  <r>
    <x v="2"/>
    <s v="YouTube"/>
    <n v="545"/>
    <n v="93"/>
    <n v="391621"/>
    <n v="9.9600000000000009"/>
    <n v="22029"/>
    <n v="452"/>
    <x v="0"/>
  </r>
  <r>
    <x v="1"/>
    <s v="Twitter"/>
    <n v="1155"/>
    <n v="122"/>
    <n v="387352"/>
    <n v="9.93"/>
    <n v="12170"/>
    <n v="1033"/>
    <x v="0"/>
  </r>
  <r>
    <x v="3"/>
    <s v="Instagram"/>
    <n v="1402"/>
    <n v="68"/>
    <n v="124562"/>
    <n v="9.92"/>
    <n v="23125"/>
    <n v="1334"/>
    <x v="0"/>
  </r>
  <r>
    <x v="4"/>
    <s v="Instagram"/>
    <n v="1449"/>
    <n v="96"/>
    <n v="200636"/>
    <n v="9.92"/>
    <n v="15613"/>
    <n v="1353"/>
    <x v="0"/>
  </r>
  <r>
    <x v="5"/>
    <s v="Twitter"/>
    <n v="1463"/>
    <n v="73"/>
    <n v="348877"/>
    <n v="9.91"/>
    <n v="26273"/>
    <n v="1390"/>
    <x v="0"/>
  </r>
  <r>
    <x v="6"/>
    <s v="Instagram"/>
    <n v="566"/>
    <n v="225"/>
    <n v="368984"/>
    <n v="9.82"/>
    <n v="9592"/>
    <n v="341"/>
    <x v="0"/>
  </r>
  <r>
    <x v="7"/>
    <s v="Twitter"/>
    <n v="1232"/>
    <n v="254"/>
    <n v="107718"/>
    <n v="9.7100000000000009"/>
    <n v="13740"/>
    <n v="978"/>
    <x v="0"/>
  </r>
  <r>
    <x v="8"/>
    <s v="YouTube"/>
    <n v="1313"/>
    <n v="159"/>
    <n v="197183"/>
    <n v="9.7100000000000009"/>
    <n v="6625"/>
    <n v="1154"/>
    <x v="0"/>
  </r>
  <r>
    <x v="9"/>
    <s v="YouTube"/>
    <n v="844"/>
    <n v="144"/>
    <n v="126015"/>
    <n v="9.65"/>
    <n v="22456"/>
    <n v="700"/>
    <x v="0"/>
  </r>
  <r>
    <x v="10"/>
    <s v="Twitter"/>
    <n v="670"/>
    <n v="242"/>
    <n v="281913"/>
    <n v="9.6199999999999992"/>
    <n v="16377"/>
    <n v="428"/>
    <x v="0"/>
  </r>
  <r>
    <x v="11"/>
    <s v="Twitter"/>
    <n v="975"/>
    <n v="162"/>
    <n v="124497"/>
    <n v="9.58"/>
    <n v="26618"/>
    <n v="813"/>
    <x v="0"/>
  </r>
  <r>
    <x v="12"/>
    <s v="YouTube"/>
    <n v="1457"/>
    <n v="215"/>
    <n v="325325"/>
    <n v="9.58"/>
    <n v="14178"/>
    <n v="1242"/>
    <x v="0"/>
  </r>
  <r>
    <x v="13"/>
    <s v="Twitter"/>
    <n v="998"/>
    <n v="154"/>
    <n v="179781"/>
    <n v="9.58"/>
    <n v="12115"/>
    <n v="844"/>
    <x v="0"/>
  </r>
  <r>
    <x v="14"/>
    <s v="YouTube"/>
    <n v="1274"/>
    <n v="146"/>
    <n v="263488"/>
    <n v="9.58"/>
    <n v="8698"/>
    <n v="1128"/>
    <x v="0"/>
  </r>
  <r>
    <x v="15"/>
    <s v="Twitter"/>
    <n v="1373"/>
    <n v="82"/>
    <n v="371015"/>
    <n v="9.52"/>
    <n v="20306"/>
    <n v="1291"/>
    <x v="0"/>
  </r>
  <r>
    <x v="9"/>
    <s v="Instagram"/>
    <n v="809"/>
    <n v="197"/>
    <n v="87186"/>
    <n v="9.48"/>
    <n v="22619"/>
    <n v="612"/>
    <x v="0"/>
  </r>
  <r>
    <x v="2"/>
    <s v="Instagram"/>
    <n v="1018"/>
    <n v="90"/>
    <n v="92474"/>
    <n v="9.4"/>
    <n v="11966"/>
    <n v="928"/>
    <x v="0"/>
  </r>
  <r>
    <x v="16"/>
    <s v="YouTube"/>
    <n v="1109"/>
    <n v="205"/>
    <n v="276722"/>
    <n v="9.3800000000000008"/>
    <n v="8274"/>
    <n v="904"/>
    <x v="0"/>
  </r>
  <r>
    <x v="17"/>
    <s v="YouTube"/>
    <n v="936"/>
    <n v="97"/>
    <n v="151799"/>
    <n v="9.3699999999999992"/>
    <n v="15461"/>
    <n v="839"/>
    <x v="0"/>
  </r>
  <r>
    <x v="18"/>
    <s v="Instagram"/>
    <n v="866"/>
    <n v="74"/>
    <n v="204121"/>
    <n v="9.34"/>
    <n v="7797"/>
    <n v="792"/>
    <x v="0"/>
  </r>
  <r>
    <x v="19"/>
    <s v="Instagram"/>
    <n v="1290"/>
    <n v="177"/>
    <n v="80745"/>
    <n v="9.2200000000000006"/>
    <n v="26872"/>
    <n v="1113"/>
    <x v="0"/>
  </r>
  <r>
    <x v="20"/>
    <s v="Instagram"/>
    <n v="875"/>
    <n v="264"/>
    <n v="345631"/>
    <n v="9.18"/>
    <n v="25703"/>
    <n v="611"/>
    <x v="0"/>
  </r>
  <r>
    <x v="21"/>
    <s v="YouTube"/>
    <n v="622"/>
    <n v="163"/>
    <n v="231925"/>
    <n v="9.18"/>
    <n v="13763"/>
    <n v="459"/>
    <x v="0"/>
  </r>
  <r>
    <x v="22"/>
    <s v="Twitter"/>
    <n v="632"/>
    <n v="155"/>
    <n v="170432"/>
    <n v="9.17"/>
    <n v="12840"/>
    <n v="477"/>
    <x v="0"/>
  </r>
  <r>
    <x v="23"/>
    <s v="Twitter"/>
    <n v="841"/>
    <n v="295"/>
    <n v="271638"/>
    <n v="9.15"/>
    <n v="5900"/>
    <n v="546"/>
    <x v="0"/>
  </r>
  <r>
    <x v="1"/>
    <s v="YouTube"/>
    <n v="1051"/>
    <n v="246"/>
    <n v="253985"/>
    <n v="9.08"/>
    <n v="7245"/>
    <n v="805"/>
    <x v="0"/>
  </r>
  <r>
    <x v="24"/>
    <s v="YouTube"/>
    <n v="953"/>
    <n v="228"/>
    <n v="258398"/>
    <n v="9.0500000000000007"/>
    <n v="13314"/>
    <n v="725"/>
    <x v="0"/>
  </r>
  <r>
    <x v="2"/>
    <s v="Twitter"/>
    <n v="1461"/>
    <n v="64"/>
    <n v="328902"/>
    <n v="9.02"/>
    <n v="26298"/>
    <n v="1397"/>
    <x v="0"/>
  </r>
  <r>
    <x v="8"/>
    <s v="Instagram"/>
    <n v="663"/>
    <n v="213"/>
    <n v="352677"/>
    <n v="9"/>
    <n v="20438"/>
    <n v="450"/>
    <x v="0"/>
  </r>
  <r>
    <x v="25"/>
    <s v="YouTube"/>
    <n v="935"/>
    <n v="85"/>
    <n v="326821"/>
    <n v="8.89"/>
    <n v="13301"/>
    <n v="850"/>
    <x v="0"/>
  </r>
  <r>
    <x v="13"/>
    <s v="YouTube"/>
    <n v="1421"/>
    <n v="246"/>
    <n v="358581"/>
    <n v="8.8800000000000008"/>
    <n v="24358"/>
    <n v="1175"/>
    <x v="0"/>
  </r>
  <r>
    <x v="8"/>
    <s v="Twitter"/>
    <n v="954"/>
    <n v="271"/>
    <n v="160936"/>
    <n v="8.83"/>
    <n v="8760"/>
    <n v="683"/>
    <x v="0"/>
  </r>
  <r>
    <x v="15"/>
    <s v="Instagram"/>
    <n v="681"/>
    <n v="210"/>
    <n v="248581"/>
    <n v="8.76"/>
    <n v="9567"/>
    <n v="471"/>
    <x v="0"/>
  </r>
  <r>
    <x v="26"/>
    <s v="Twitter"/>
    <n v="1414"/>
    <n v="60"/>
    <n v="341856"/>
    <n v="8.76"/>
    <n v="6868"/>
    <n v="1354"/>
    <x v="0"/>
  </r>
  <r>
    <x v="27"/>
    <s v="Twitter"/>
    <n v="938"/>
    <n v="236"/>
    <n v="116472"/>
    <n v="8.7200000000000006"/>
    <n v="17460"/>
    <n v="702"/>
    <x v="0"/>
  </r>
  <r>
    <x v="5"/>
    <s v="YouTube"/>
    <n v="1208"/>
    <n v="224"/>
    <n v="122730"/>
    <n v="8.7200000000000006"/>
    <n v="10858"/>
    <n v="984"/>
    <x v="0"/>
  </r>
  <r>
    <x v="10"/>
    <s v="YouTube"/>
    <n v="1111"/>
    <n v="159"/>
    <n v="360770"/>
    <n v="8.7100000000000009"/>
    <n v="11453"/>
    <n v="952"/>
    <x v="0"/>
  </r>
  <r>
    <x v="28"/>
    <s v="Twitter"/>
    <n v="544"/>
    <n v="97"/>
    <n v="168375"/>
    <n v="8.66"/>
    <n v="12774"/>
    <n v="447"/>
    <x v="0"/>
  </r>
  <r>
    <x v="29"/>
    <s v="Instagram"/>
    <n v="1066"/>
    <n v="151"/>
    <n v="297090"/>
    <n v="8.6300000000000008"/>
    <n v="11235"/>
    <n v="915"/>
    <x v="0"/>
  </r>
  <r>
    <x v="30"/>
    <s v="Twitter"/>
    <n v="640"/>
    <n v="141"/>
    <n v="267546"/>
    <n v="8.58"/>
    <n v="25058"/>
    <n v="499"/>
    <x v="0"/>
  </r>
  <r>
    <x v="31"/>
    <s v="Twitter"/>
    <n v="1471"/>
    <n v="100"/>
    <n v="76866"/>
    <n v="8.5500000000000007"/>
    <n v="14412"/>
    <n v="1371"/>
    <x v="0"/>
  </r>
  <r>
    <x v="32"/>
    <s v="Twitter"/>
    <n v="1308"/>
    <n v="210"/>
    <n v="263729"/>
    <n v="8.5299999999999994"/>
    <n v="25742"/>
    <n v="1098"/>
    <x v="0"/>
  </r>
  <r>
    <x v="31"/>
    <s v="Instagram"/>
    <n v="797"/>
    <n v="130"/>
    <n v="340121"/>
    <n v="8.52"/>
    <n v="11684"/>
    <n v="667"/>
    <x v="0"/>
  </r>
  <r>
    <x v="30"/>
    <s v="YouTube"/>
    <n v="616"/>
    <n v="93"/>
    <n v="133082"/>
    <n v="8.51"/>
    <n v="18303"/>
    <n v="523"/>
    <x v="0"/>
  </r>
  <r>
    <x v="33"/>
    <s v="Twitter"/>
    <n v="678"/>
    <n v="124"/>
    <n v="192022"/>
    <n v="8.4499999999999993"/>
    <n v="17729"/>
    <n v="554"/>
    <x v="0"/>
  </r>
  <r>
    <x v="34"/>
    <s v="Instagram"/>
    <n v="564"/>
    <n v="244"/>
    <n v="279405"/>
    <n v="8.43"/>
    <n v="26024"/>
    <n v="320"/>
    <x v="0"/>
  </r>
  <r>
    <x v="32"/>
    <s v="YouTube"/>
    <n v="981"/>
    <n v="69"/>
    <n v="206921"/>
    <n v="8.42"/>
    <n v="10495"/>
    <n v="912"/>
    <x v="0"/>
  </r>
  <r>
    <x v="33"/>
    <s v="YouTube"/>
    <n v="1328"/>
    <n v="103"/>
    <n v="151462"/>
    <n v="8.4"/>
    <n v="10881"/>
    <n v="1225"/>
    <x v="0"/>
  </r>
  <r>
    <x v="35"/>
    <s v="Instagram"/>
    <n v="1391"/>
    <n v="187"/>
    <n v="306508"/>
    <n v="8.3800000000000008"/>
    <n v="25038"/>
    <n v="1204"/>
    <x v="0"/>
  </r>
  <r>
    <x v="17"/>
    <s v="Instagram"/>
    <n v="541"/>
    <n v="208"/>
    <n v="157547"/>
    <n v="8.35"/>
    <n v="20162"/>
    <n v="333"/>
    <x v="0"/>
  </r>
  <r>
    <x v="36"/>
    <s v="Twitter"/>
    <n v="1414"/>
    <n v="131"/>
    <n v="245947"/>
    <n v="8.3000000000000007"/>
    <n v="14477"/>
    <n v="1283"/>
    <x v="0"/>
  </r>
  <r>
    <x v="37"/>
    <s v="Instagram"/>
    <n v="1444"/>
    <n v="165"/>
    <n v="116436"/>
    <n v="8.2200000000000006"/>
    <n v="25234"/>
    <n v="1279"/>
    <x v="0"/>
  </r>
  <r>
    <x v="38"/>
    <s v="Twitter"/>
    <n v="886"/>
    <n v="124"/>
    <n v="141161"/>
    <n v="8.19"/>
    <n v="14215"/>
    <n v="762"/>
    <x v="0"/>
  </r>
  <r>
    <x v="4"/>
    <s v="Twitter"/>
    <n v="752"/>
    <n v="170"/>
    <n v="132756"/>
    <n v="8.17"/>
    <n v="23900"/>
    <n v="582"/>
    <x v="0"/>
  </r>
  <r>
    <x v="12"/>
    <s v="Twitter"/>
    <n v="588"/>
    <n v="52"/>
    <n v="292040"/>
    <n v="8.14"/>
    <n v="9383"/>
    <n v="536"/>
    <x v="0"/>
  </r>
  <r>
    <x v="19"/>
    <s v="YouTube"/>
    <n v="769"/>
    <n v="295"/>
    <n v="344771"/>
    <n v="8.06"/>
    <n v="23963"/>
    <n v="474"/>
    <x v="0"/>
  </r>
  <r>
    <x v="38"/>
    <s v="Instagram"/>
    <n v="1190"/>
    <n v="242"/>
    <n v="86849"/>
    <n v="8.06"/>
    <n v="21254"/>
    <n v="948"/>
    <x v="0"/>
  </r>
  <r>
    <x v="3"/>
    <s v="Twitter"/>
    <n v="995"/>
    <n v="86"/>
    <n v="227958"/>
    <n v="8.0500000000000007"/>
    <n v="22788"/>
    <n v="909"/>
    <x v="0"/>
  </r>
  <r>
    <x v="29"/>
    <s v="Twitter"/>
    <n v="1270"/>
    <n v="162"/>
    <n v="92040"/>
    <n v="8.0299999999999994"/>
    <n v="6120"/>
    <n v="1108"/>
    <x v="0"/>
  </r>
  <r>
    <x v="31"/>
    <s v="YouTube"/>
    <n v="1253"/>
    <n v="136"/>
    <n v="193131"/>
    <n v="7.99"/>
    <n v="15924"/>
    <n v="1117"/>
    <x v="0"/>
  </r>
  <r>
    <x v="10"/>
    <s v="Instagram"/>
    <n v="1457"/>
    <n v="183"/>
    <n v="129640"/>
    <n v="7.98"/>
    <n v="12985"/>
    <n v="1274"/>
    <x v="0"/>
  </r>
  <r>
    <x v="39"/>
    <s v="YouTube"/>
    <n v="990"/>
    <n v="286"/>
    <n v="351493"/>
    <n v="7.97"/>
    <n v="14496"/>
    <n v="704"/>
    <x v="0"/>
  </r>
  <r>
    <x v="40"/>
    <s v="Instagram"/>
    <n v="1073"/>
    <n v="141"/>
    <n v="118393"/>
    <n v="7.95"/>
    <n v="14051"/>
    <n v="932"/>
    <x v="0"/>
  </r>
  <r>
    <x v="41"/>
    <s v="Instagram"/>
    <n v="631"/>
    <n v="86"/>
    <n v="295090"/>
    <n v="7.89"/>
    <n v="11911"/>
    <n v="545"/>
    <x v="0"/>
  </r>
  <r>
    <x v="29"/>
    <s v="YouTube"/>
    <n v="536"/>
    <n v="198"/>
    <n v="174610"/>
    <n v="7.85"/>
    <n v="20572"/>
    <n v="338"/>
    <x v="0"/>
  </r>
  <r>
    <x v="7"/>
    <s v="Instagram"/>
    <n v="591"/>
    <n v="155"/>
    <n v="138521"/>
    <n v="7.85"/>
    <n v="19054"/>
    <n v="436"/>
    <x v="0"/>
  </r>
  <r>
    <x v="42"/>
    <s v="YouTube"/>
    <n v="854"/>
    <n v="129"/>
    <n v="310903"/>
    <n v="7.83"/>
    <n v="16875"/>
    <n v="725"/>
    <x v="0"/>
  </r>
  <r>
    <x v="24"/>
    <s v="Twitter"/>
    <n v="1340"/>
    <n v="57"/>
    <n v="155927"/>
    <n v="7.79"/>
    <n v="11972"/>
    <n v="1283"/>
    <x v="0"/>
  </r>
  <r>
    <x v="43"/>
    <s v="YouTube"/>
    <n v="1490"/>
    <n v="103"/>
    <n v="81184"/>
    <n v="7.79"/>
    <n v="10681"/>
    <n v="1387"/>
    <x v="0"/>
  </r>
  <r>
    <x v="44"/>
    <s v="Twitter"/>
    <n v="747"/>
    <n v="261"/>
    <n v="338650"/>
    <n v="7.73"/>
    <n v="25259"/>
    <n v="486"/>
    <x v="0"/>
  </r>
  <r>
    <x v="3"/>
    <s v="YouTube"/>
    <n v="1472"/>
    <n v="296"/>
    <n v="370242"/>
    <n v="7.72"/>
    <n v="7810"/>
    <n v="1176"/>
    <x v="0"/>
  </r>
  <r>
    <x v="27"/>
    <s v="YouTube"/>
    <n v="1007"/>
    <n v="258"/>
    <n v="113412"/>
    <n v="7.71"/>
    <n v="14475"/>
    <n v="749"/>
    <x v="0"/>
  </r>
  <r>
    <x v="37"/>
    <s v="Twitter"/>
    <n v="1234"/>
    <n v="228"/>
    <n v="127502"/>
    <n v="7.71"/>
    <n v="6772"/>
    <n v="1006"/>
    <x v="0"/>
  </r>
  <r>
    <x v="45"/>
    <s v="YouTube"/>
    <n v="1096"/>
    <n v="65"/>
    <n v="358295"/>
    <n v="7.66"/>
    <n v="24548"/>
    <n v="1031"/>
    <x v="0"/>
  </r>
  <r>
    <x v="46"/>
    <s v="Twitter"/>
    <n v="1389"/>
    <n v="205"/>
    <n v="315981"/>
    <n v="7.62"/>
    <n v="20595"/>
    <n v="1184"/>
    <x v="0"/>
  </r>
  <r>
    <x v="35"/>
    <s v="Twitter"/>
    <n v="655"/>
    <n v="123"/>
    <n v="202472"/>
    <n v="7.56"/>
    <n v="9092"/>
    <n v="532"/>
    <x v="0"/>
  </r>
  <r>
    <x v="34"/>
    <s v="Twitter"/>
    <n v="668"/>
    <n v="124"/>
    <n v="257485"/>
    <n v="7.55"/>
    <n v="26730"/>
    <n v="544"/>
    <x v="0"/>
  </r>
  <r>
    <x v="47"/>
    <s v="Instagram"/>
    <n v="1154"/>
    <n v="132"/>
    <n v="194595"/>
    <n v="7.54"/>
    <n v="26624"/>
    <n v="1022"/>
    <x v="0"/>
  </r>
  <r>
    <x v="45"/>
    <s v="Twitter"/>
    <n v="1098"/>
    <n v="142"/>
    <n v="359150"/>
    <n v="7.51"/>
    <n v="16385"/>
    <n v="956"/>
    <x v="0"/>
  </r>
  <r>
    <x v="16"/>
    <s v="Twitter"/>
    <n v="1456"/>
    <n v="265"/>
    <n v="115505"/>
    <n v="7.49"/>
    <n v="10311"/>
    <n v="1191"/>
    <x v="0"/>
  </r>
  <r>
    <x v="46"/>
    <s v="YouTube"/>
    <n v="826"/>
    <n v="142"/>
    <n v="341016"/>
    <n v="7.44"/>
    <n v="12031"/>
    <n v="684"/>
    <x v="0"/>
  </r>
  <r>
    <x v="44"/>
    <s v="Instagram"/>
    <n v="585"/>
    <n v="232"/>
    <n v="321258"/>
    <n v="7.42"/>
    <n v="10343"/>
    <n v="353"/>
    <x v="0"/>
  </r>
  <r>
    <x v="37"/>
    <s v="YouTube"/>
    <n v="665"/>
    <n v="187"/>
    <n v="274567"/>
    <n v="7.39"/>
    <n v="22428"/>
    <n v="478"/>
    <x v="0"/>
  </r>
  <r>
    <x v="48"/>
    <s v="Twitter"/>
    <n v="1222"/>
    <n v="208"/>
    <n v="340098"/>
    <n v="7.34"/>
    <n v="21771"/>
    <n v="1014"/>
    <x v="0"/>
  </r>
  <r>
    <x v="12"/>
    <s v="Instagram"/>
    <n v="1161"/>
    <n v="269"/>
    <n v="188193"/>
    <n v="7.34"/>
    <n v="18576"/>
    <n v="892"/>
    <x v="0"/>
  </r>
  <r>
    <x v="49"/>
    <s v="Instagram"/>
    <n v="795"/>
    <n v="60"/>
    <n v="314982"/>
    <n v="7.31"/>
    <n v="6824"/>
    <n v="735"/>
    <x v="0"/>
  </r>
  <r>
    <x v="35"/>
    <s v="YouTube"/>
    <n v="1148"/>
    <n v="90"/>
    <n v="227249"/>
    <n v="7.24"/>
    <n v="17662"/>
    <n v="1058"/>
    <x v="0"/>
  </r>
  <r>
    <x v="50"/>
    <s v="YouTube"/>
    <n v="1472"/>
    <n v="281"/>
    <n v="258115"/>
    <n v="7.23"/>
    <n v="27393"/>
    <n v="1191"/>
    <x v="0"/>
  </r>
  <r>
    <x v="47"/>
    <s v="YouTube"/>
    <n v="1456"/>
    <n v="290"/>
    <n v="271044"/>
    <n v="7.17"/>
    <n v="13051"/>
    <n v="1166"/>
    <x v="0"/>
  </r>
  <r>
    <x v="51"/>
    <s v="Twitter"/>
    <n v="681"/>
    <n v="218"/>
    <n v="198882"/>
    <n v="7.16"/>
    <n v="22234"/>
    <n v="463"/>
    <x v="0"/>
  </r>
  <r>
    <x v="9"/>
    <s v="Twitter"/>
    <n v="1371"/>
    <n v="250"/>
    <n v="128620"/>
    <n v="7.11"/>
    <n v="12399"/>
    <n v="1121"/>
    <x v="0"/>
  </r>
  <r>
    <x v="51"/>
    <s v="YouTube"/>
    <n v="646"/>
    <n v="290"/>
    <n v="336383"/>
    <n v="7.04"/>
    <n v="6532"/>
    <n v="356"/>
    <x v="0"/>
  </r>
  <r>
    <x v="50"/>
    <s v="Twitter"/>
    <n v="1472"/>
    <n v="137"/>
    <n v="213950"/>
    <n v="6.96"/>
    <n v="23736"/>
    <n v="1335"/>
    <x v="0"/>
  </r>
  <r>
    <x v="0"/>
    <s v="Twitter"/>
    <n v="1419"/>
    <n v="293"/>
    <n v="116632"/>
    <n v="6.93"/>
    <n v="11826"/>
    <n v="1126"/>
    <x v="0"/>
  </r>
  <r>
    <x v="48"/>
    <s v="YouTube"/>
    <n v="1071"/>
    <n v="131"/>
    <n v="254727"/>
    <n v="6.87"/>
    <n v="22191"/>
    <n v="940"/>
    <x v="0"/>
  </r>
  <r>
    <x v="52"/>
    <s v="YouTube"/>
    <n v="978"/>
    <n v="279"/>
    <n v="368872"/>
    <n v="6.82"/>
    <n v="18654"/>
    <n v="699"/>
    <x v="0"/>
  </r>
  <r>
    <x v="41"/>
    <s v="YouTube"/>
    <n v="950"/>
    <n v="185"/>
    <n v="340750"/>
    <n v="6.77"/>
    <n v="25542"/>
    <n v="765"/>
    <x v="0"/>
  </r>
  <r>
    <x v="53"/>
    <s v="Instagram"/>
    <n v="1197"/>
    <n v="246"/>
    <n v="127273"/>
    <n v="6.69"/>
    <n v="12323"/>
    <n v="951"/>
    <x v="0"/>
  </r>
  <r>
    <x v="39"/>
    <s v="Instagram"/>
    <n v="895"/>
    <n v="87"/>
    <n v="171271"/>
    <n v="6.68"/>
    <n v="23329"/>
    <n v="808"/>
    <x v="0"/>
  </r>
  <r>
    <x v="7"/>
    <s v="YouTube"/>
    <n v="1425"/>
    <n v="58"/>
    <n v="202234"/>
    <n v="6.67"/>
    <n v="18442"/>
    <n v="1367"/>
    <x v="0"/>
  </r>
  <r>
    <x v="40"/>
    <s v="Twitter"/>
    <n v="1430"/>
    <n v="74"/>
    <n v="327012"/>
    <n v="6.66"/>
    <n v="27782"/>
    <n v="1356"/>
    <x v="0"/>
  </r>
  <r>
    <x v="54"/>
    <s v="Twitter"/>
    <n v="791"/>
    <n v="214"/>
    <n v="114738"/>
    <n v="6.62"/>
    <n v="25347"/>
    <n v="577"/>
    <x v="0"/>
  </r>
  <r>
    <x v="28"/>
    <s v="Instagram"/>
    <n v="837"/>
    <n v="261"/>
    <n v="366149"/>
    <n v="6.54"/>
    <n v="26073"/>
    <n v="576"/>
    <x v="0"/>
  </r>
  <r>
    <x v="55"/>
    <s v="Twitter"/>
    <n v="1413"/>
    <n v="245"/>
    <n v="296450"/>
    <n v="6.52"/>
    <n v="11625"/>
    <n v="1168"/>
    <x v="0"/>
  </r>
  <r>
    <x v="20"/>
    <s v="Twitter"/>
    <n v="599"/>
    <n v="194"/>
    <n v="105622"/>
    <n v="6.44"/>
    <n v="15108"/>
    <n v="405"/>
    <x v="0"/>
  </r>
  <r>
    <x v="21"/>
    <s v="Instagram"/>
    <n v="1146"/>
    <n v="227"/>
    <n v="353781"/>
    <n v="6.41"/>
    <n v="5495"/>
    <n v="919"/>
    <x v="0"/>
  </r>
  <r>
    <x v="41"/>
    <s v="Twitter"/>
    <n v="1159"/>
    <n v="154"/>
    <n v="194994"/>
    <n v="6.39"/>
    <n v="21900"/>
    <n v="1005"/>
    <x v="0"/>
  </r>
  <r>
    <x v="54"/>
    <s v="YouTube"/>
    <n v="793"/>
    <n v="111"/>
    <n v="333500"/>
    <n v="6.36"/>
    <n v="8910"/>
    <n v="682"/>
    <x v="0"/>
  </r>
  <r>
    <x v="32"/>
    <s v="Instagram"/>
    <n v="616"/>
    <n v="257"/>
    <n v="169665"/>
    <n v="6.31"/>
    <n v="12390"/>
    <n v="359"/>
    <x v="0"/>
  </r>
  <r>
    <x v="26"/>
    <s v="YouTube"/>
    <n v="685"/>
    <n v="165"/>
    <n v="175860"/>
    <n v="6.26"/>
    <n v="6027"/>
    <n v="520"/>
    <x v="0"/>
  </r>
  <r>
    <x v="33"/>
    <s v="Instagram"/>
    <n v="764"/>
    <n v="205"/>
    <n v="319294"/>
    <n v="6.23"/>
    <n v="12181"/>
    <n v="559"/>
    <x v="0"/>
  </r>
  <r>
    <x v="56"/>
    <s v="Instagram"/>
    <n v="765"/>
    <n v="67"/>
    <n v="283537"/>
    <n v="6.18"/>
    <n v="8182"/>
    <n v="698"/>
    <x v="0"/>
  </r>
  <r>
    <x v="48"/>
    <s v="Instagram"/>
    <n v="1417"/>
    <n v="80"/>
    <n v="340987"/>
    <n v="6.13"/>
    <n v="10104"/>
    <n v="1337"/>
    <x v="0"/>
  </r>
  <r>
    <x v="51"/>
    <s v="Instagram"/>
    <n v="819"/>
    <n v="95"/>
    <n v="177376"/>
    <n v="6.12"/>
    <n v="14975"/>
    <n v="724"/>
    <x v="0"/>
  </r>
  <r>
    <x v="55"/>
    <s v="Instagram"/>
    <n v="1183"/>
    <n v="223"/>
    <n v="143811"/>
    <n v="6.07"/>
    <n v="22103"/>
    <n v="960"/>
    <x v="0"/>
  </r>
  <r>
    <x v="24"/>
    <s v="Instagram"/>
    <n v="613"/>
    <n v="170"/>
    <n v="139266"/>
    <n v="6.06"/>
    <n v="9247"/>
    <n v="443"/>
    <x v="0"/>
  </r>
  <r>
    <x v="57"/>
    <s v="YouTube"/>
    <n v="1240"/>
    <n v="231"/>
    <n v="165035"/>
    <n v="6.05"/>
    <n v="18267"/>
    <n v="1009"/>
    <x v="0"/>
  </r>
  <r>
    <x v="45"/>
    <s v="Instagram"/>
    <n v="721"/>
    <n v="206"/>
    <n v="334887"/>
    <n v="6.05"/>
    <n v="14217"/>
    <n v="515"/>
    <x v="0"/>
  </r>
  <r>
    <x v="21"/>
    <s v="Twitter"/>
    <n v="883"/>
    <n v="207"/>
    <n v="265019"/>
    <n v="6.04"/>
    <n v="15655"/>
    <n v="676"/>
    <x v="0"/>
  </r>
  <r>
    <x v="23"/>
    <s v="YouTube"/>
    <n v="1105"/>
    <n v="261"/>
    <n v="333851"/>
    <n v="6.03"/>
    <n v="11181"/>
    <n v="844"/>
    <x v="0"/>
  </r>
  <r>
    <x v="42"/>
    <s v="Instagram"/>
    <n v="912"/>
    <n v="275"/>
    <n v="368454"/>
    <n v="6.03"/>
    <n v="9195"/>
    <n v="637"/>
    <x v="0"/>
  </r>
  <r>
    <x v="25"/>
    <s v="Twitter"/>
    <n v="1360"/>
    <n v="227"/>
    <n v="176902"/>
    <n v="6.03"/>
    <n v="5960"/>
    <n v="1133"/>
    <x v="0"/>
  </r>
  <r>
    <x v="56"/>
    <s v="YouTube"/>
    <n v="1145"/>
    <n v="151"/>
    <n v="182759"/>
    <n v="5.99"/>
    <n v="20109"/>
    <n v="994"/>
    <x v="0"/>
  </r>
  <r>
    <x v="16"/>
    <s v="Instagram"/>
    <n v="1060"/>
    <n v="83"/>
    <n v="68724"/>
    <n v="5.98"/>
    <n v="5624"/>
    <n v="977"/>
    <x v="0"/>
  </r>
  <r>
    <x v="58"/>
    <s v="YouTube"/>
    <n v="693"/>
    <n v="97"/>
    <n v="92025"/>
    <n v="5.95"/>
    <n v="15915"/>
    <n v="596"/>
    <x v="0"/>
  </r>
  <r>
    <x v="47"/>
    <s v="Twitter"/>
    <n v="537"/>
    <n v="275"/>
    <n v="236238"/>
    <n v="5.87"/>
    <n v="26644"/>
    <n v="262"/>
    <x v="0"/>
  </r>
  <r>
    <x v="57"/>
    <s v="Instagram"/>
    <n v="1002"/>
    <n v="93"/>
    <n v="353538"/>
    <n v="5.84"/>
    <n v="6031"/>
    <n v="909"/>
    <x v="0"/>
  </r>
  <r>
    <x v="59"/>
    <s v="Twitter"/>
    <n v="611"/>
    <n v="197"/>
    <n v="79423"/>
    <n v="5.82"/>
    <n v="13644"/>
    <n v="414"/>
    <x v="0"/>
  </r>
  <r>
    <x v="18"/>
    <s v="Twitter"/>
    <n v="547"/>
    <n v="183"/>
    <n v="266350"/>
    <n v="5.65"/>
    <n v="15595"/>
    <n v="364"/>
    <x v="0"/>
  </r>
  <r>
    <x v="34"/>
    <s v="YouTube"/>
    <n v="761"/>
    <n v="241"/>
    <n v="154977"/>
    <n v="5.63"/>
    <n v="10563"/>
    <n v="520"/>
    <x v="0"/>
  </r>
  <r>
    <x v="19"/>
    <s v="Twitter"/>
    <n v="1437"/>
    <n v="239"/>
    <n v="362441"/>
    <n v="5.57"/>
    <n v="10253"/>
    <n v="1198"/>
    <x v="0"/>
  </r>
  <r>
    <x v="39"/>
    <s v="Twitter"/>
    <n v="1027"/>
    <n v="156"/>
    <n v="111293"/>
    <n v="5.51"/>
    <n v="7299"/>
    <n v="871"/>
    <x v="0"/>
  </r>
  <r>
    <x v="60"/>
    <s v="Instagram"/>
    <n v="786"/>
    <n v="72"/>
    <n v="178615"/>
    <n v="5.43"/>
    <n v="19328"/>
    <n v="714"/>
    <x v="0"/>
  </r>
  <r>
    <x v="61"/>
    <s v="Twitter"/>
    <n v="746"/>
    <n v="282"/>
    <n v="293894"/>
    <n v="5.42"/>
    <n v="25537"/>
    <n v="464"/>
    <x v="0"/>
  </r>
  <r>
    <x v="57"/>
    <s v="Twitter"/>
    <n v="571"/>
    <n v="189"/>
    <n v="61445"/>
    <n v="5.41"/>
    <n v="27829"/>
    <n v="382"/>
    <x v="0"/>
  </r>
  <r>
    <x v="27"/>
    <s v="Instagram"/>
    <n v="1080"/>
    <n v="184"/>
    <n v="340557"/>
    <n v="5.41"/>
    <n v="5526"/>
    <n v="896"/>
    <x v="0"/>
  </r>
  <r>
    <x v="62"/>
    <s v="Instagram"/>
    <n v="1052"/>
    <n v="180"/>
    <n v="272534"/>
    <n v="5.34"/>
    <n v="13424"/>
    <n v="872"/>
    <x v="0"/>
  </r>
  <r>
    <x v="25"/>
    <s v="Instagram"/>
    <n v="661"/>
    <n v="94"/>
    <n v="116538"/>
    <n v="5.31"/>
    <n v="23486"/>
    <n v="567"/>
    <x v="0"/>
  </r>
  <r>
    <x v="56"/>
    <s v="Twitter"/>
    <n v="540"/>
    <n v="215"/>
    <n v="62837"/>
    <n v="5.3"/>
    <n v="10615"/>
    <n v="325"/>
    <x v="0"/>
  </r>
  <r>
    <x v="4"/>
    <s v="YouTube"/>
    <n v="937"/>
    <n v="179"/>
    <n v="318098"/>
    <n v="5.3"/>
    <n v="5836"/>
    <n v="758"/>
    <x v="0"/>
  </r>
  <r>
    <x v="36"/>
    <s v="Instagram"/>
    <n v="881"/>
    <n v="291"/>
    <n v="95885"/>
    <n v="5.29"/>
    <n v="12391"/>
    <n v="590"/>
    <x v="0"/>
  </r>
  <r>
    <x v="58"/>
    <s v="Twitter"/>
    <n v="1349"/>
    <n v="115"/>
    <n v="102102"/>
    <n v="5.28"/>
    <n v="14479"/>
    <n v="1234"/>
    <x v="0"/>
  </r>
  <r>
    <x v="40"/>
    <s v="YouTube"/>
    <n v="1358"/>
    <n v="77"/>
    <n v="169688"/>
    <n v="5.25"/>
    <n v="7859"/>
    <n v="1281"/>
    <x v="0"/>
  </r>
  <r>
    <x v="63"/>
    <s v="Instagram"/>
    <n v="917"/>
    <n v="187"/>
    <n v="64444"/>
    <n v="5.22"/>
    <n v="13013"/>
    <n v="730"/>
    <x v="0"/>
  </r>
  <r>
    <x v="63"/>
    <s v="YouTube"/>
    <n v="1183"/>
    <n v="248"/>
    <n v="226881"/>
    <n v="5.17"/>
    <n v="14534"/>
    <n v="935"/>
    <x v="0"/>
  </r>
  <r>
    <x v="63"/>
    <s v="Twitter"/>
    <n v="810"/>
    <n v="232"/>
    <n v="362559"/>
    <n v="5.17"/>
    <n v="12937"/>
    <n v="578"/>
    <x v="0"/>
  </r>
  <r>
    <x v="44"/>
    <s v="YouTube"/>
    <n v="1113"/>
    <n v="224"/>
    <n v="272989"/>
    <n v="5.13"/>
    <n v="24827"/>
    <n v="889"/>
    <x v="0"/>
  </r>
  <r>
    <x v="64"/>
    <s v="Twitter"/>
    <n v="860"/>
    <n v="244"/>
    <n v="348686"/>
    <n v="5.12"/>
    <n v="11418"/>
    <n v="616"/>
    <x v="0"/>
  </r>
  <r>
    <x v="11"/>
    <s v="YouTube"/>
    <n v="1398"/>
    <n v="97"/>
    <n v="397607"/>
    <n v="5.09"/>
    <n v="7975"/>
    <n v="1301"/>
    <x v="0"/>
  </r>
  <r>
    <x v="46"/>
    <s v="Instagram"/>
    <n v="1242"/>
    <n v="201"/>
    <n v="271935"/>
    <n v="5.07"/>
    <n v="15773"/>
    <n v="1041"/>
    <x v="0"/>
  </r>
  <r>
    <x v="20"/>
    <s v="YouTube"/>
    <n v="630"/>
    <n v="248"/>
    <n v="119054"/>
    <n v="5.0199999999999996"/>
    <n v="18867"/>
    <n v="382"/>
    <x v="0"/>
  </r>
  <r>
    <x v="53"/>
    <s v="YouTube"/>
    <n v="1246"/>
    <n v="107"/>
    <n v="350949"/>
    <n v="4.9800000000000004"/>
    <n v="27809"/>
    <n v="1139"/>
    <x v="0"/>
  </r>
  <r>
    <x v="43"/>
    <s v="Instagram"/>
    <n v="780"/>
    <n v="213"/>
    <n v="121431"/>
    <n v="4.97"/>
    <n v="21464"/>
    <n v="567"/>
    <x v="0"/>
  </r>
  <r>
    <x v="30"/>
    <s v="Instagram"/>
    <n v="949"/>
    <n v="282"/>
    <n v="87126"/>
    <n v="4.96"/>
    <n v="5413"/>
    <n v="667"/>
    <x v="0"/>
  </r>
  <r>
    <x v="49"/>
    <s v="YouTube"/>
    <n v="534"/>
    <n v="112"/>
    <n v="360759"/>
    <n v="4.8899999999999997"/>
    <n v="25478"/>
    <n v="422"/>
    <x v="0"/>
  </r>
  <r>
    <x v="0"/>
    <s v="Instagram"/>
    <n v="618"/>
    <n v="264"/>
    <n v="285164"/>
    <n v="4.8600000000000003"/>
    <n v="15128"/>
    <n v="354"/>
    <x v="0"/>
  </r>
  <r>
    <x v="65"/>
    <s v="Twitter"/>
    <n v="1490"/>
    <n v="103"/>
    <n v="373274"/>
    <n v="4.8"/>
    <n v="19949"/>
    <n v="1387"/>
    <x v="0"/>
  </r>
  <r>
    <x v="65"/>
    <s v="Instagram"/>
    <n v="664"/>
    <n v="251"/>
    <n v="240598"/>
    <n v="4.79"/>
    <n v="10563"/>
    <n v="413"/>
    <x v="0"/>
  </r>
  <r>
    <x v="58"/>
    <s v="Instagram"/>
    <n v="593"/>
    <n v="108"/>
    <n v="216500"/>
    <n v="4.71"/>
    <n v="27575"/>
    <n v="485"/>
    <x v="0"/>
  </r>
  <r>
    <x v="36"/>
    <s v="YouTube"/>
    <n v="1472"/>
    <n v="170"/>
    <n v="250428"/>
    <n v="4.66"/>
    <n v="25040"/>
    <n v="1302"/>
    <x v="0"/>
  </r>
  <r>
    <x v="22"/>
    <s v="Instagram"/>
    <n v="1350"/>
    <n v="233"/>
    <n v="171670"/>
    <n v="4.53"/>
    <n v="17574"/>
    <n v="1117"/>
    <x v="0"/>
  </r>
  <r>
    <x v="54"/>
    <s v="Instagram"/>
    <n v="946"/>
    <n v="270"/>
    <n v="246567"/>
    <n v="4.53"/>
    <n v="5924"/>
    <n v="676"/>
    <x v="0"/>
  </r>
  <r>
    <x v="61"/>
    <s v="Instagram"/>
    <n v="1435"/>
    <n v="261"/>
    <n v="308533"/>
    <n v="4.5199999999999996"/>
    <n v="25130"/>
    <n v="1174"/>
    <x v="0"/>
  </r>
  <r>
    <x v="60"/>
    <s v="Twitter"/>
    <n v="845"/>
    <n v="250"/>
    <n v="218228"/>
    <n v="4.5199999999999996"/>
    <n v="21107"/>
    <n v="595"/>
    <x v="0"/>
  </r>
  <r>
    <x v="38"/>
    <s v="YouTube"/>
    <n v="1237"/>
    <n v="155"/>
    <n v="149916"/>
    <n v="4.4800000000000004"/>
    <n v="16921"/>
    <n v="1082"/>
    <x v="0"/>
  </r>
  <r>
    <x v="66"/>
    <s v="Instagram"/>
    <n v="1100"/>
    <n v="117"/>
    <n v="260204"/>
    <n v="4.4000000000000004"/>
    <n v="11908"/>
    <n v="983"/>
    <x v="0"/>
  </r>
  <r>
    <x v="60"/>
    <s v="YouTube"/>
    <n v="1218"/>
    <n v="101"/>
    <n v="300397"/>
    <n v="4.33"/>
    <n v="12277"/>
    <n v="1117"/>
    <x v="0"/>
  </r>
  <r>
    <x v="53"/>
    <s v="Twitter"/>
    <n v="754"/>
    <n v="150"/>
    <n v="189622"/>
    <n v="4.25"/>
    <n v="11911"/>
    <n v="604"/>
    <x v="0"/>
  </r>
  <r>
    <x v="18"/>
    <s v="YouTube"/>
    <n v="1241"/>
    <n v="116"/>
    <n v="380606"/>
    <n v="4.2"/>
    <n v="24617"/>
    <n v="1125"/>
    <x v="0"/>
  </r>
  <r>
    <x v="62"/>
    <s v="YouTube"/>
    <n v="503"/>
    <n v="253"/>
    <n v="313562"/>
    <n v="4.18"/>
    <n v="19538"/>
    <n v="250"/>
    <x v="0"/>
  </r>
  <r>
    <x v="52"/>
    <s v="Twitter"/>
    <n v="886"/>
    <n v="250"/>
    <n v="168170"/>
    <n v="4.12"/>
    <n v="13883"/>
    <n v="636"/>
    <x v="0"/>
  </r>
  <r>
    <x v="14"/>
    <s v="Twitter"/>
    <n v="576"/>
    <n v="80"/>
    <n v="345688"/>
    <n v="4.1100000000000003"/>
    <n v="20474"/>
    <n v="496"/>
    <x v="0"/>
  </r>
  <r>
    <x v="61"/>
    <s v="YouTube"/>
    <n v="759"/>
    <n v="216"/>
    <n v="147656"/>
    <n v="4.08"/>
    <n v="24943"/>
    <n v="543"/>
    <x v="0"/>
  </r>
  <r>
    <x v="65"/>
    <s v="YouTube"/>
    <n v="601"/>
    <n v="64"/>
    <n v="123272"/>
    <n v="4.07"/>
    <n v="14273"/>
    <n v="537"/>
    <x v="0"/>
  </r>
  <r>
    <x v="5"/>
    <s v="Instagram"/>
    <n v="1437"/>
    <n v="235"/>
    <n v="326791"/>
    <n v="4.0599999999999996"/>
    <n v="14563"/>
    <n v="1202"/>
    <x v="0"/>
  </r>
  <r>
    <x v="17"/>
    <s v="Twitter"/>
    <n v="745"/>
    <n v="98"/>
    <n v="354816"/>
    <n v="4.03"/>
    <n v="17103"/>
    <n v="647"/>
    <x v="0"/>
  </r>
  <r>
    <x v="64"/>
    <s v="Instagram"/>
    <n v="1017"/>
    <n v="197"/>
    <n v="89918"/>
    <n v="3.91"/>
    <n v="7881"/>
    <n v="820"/>
    <x v="0"/>
  </r>
  <r>
    <x v="28"/>
    <s v="YouTube"/>
    <n v="624"/>
    <n v="247"/>
    <n v="252763"/>
    <n v="3.89"/>
    <n v="19000"/>
    <n v="377"/>
    <x v="0"/>
  </r>
  <r>
    <x v="59"/>
    <s v="Instagram"/>
    <n v="973"/>
    <n v="104"/>
    <n v="376358"/>
    <n v="3.87"/>
    <n v="9847"/>
    <n v="869"/>
    <x v="0"/>
  </r>
  <r>
    <x v="43"/>
    <s v="Twitter"/>
    <n v="1425"/>
    <n v="143"/>
    <n v="116742"/>
    <n v="3.71"/>
    <n v="27126"/>
    <n v="1282"/>
    <x v="0"/>
  </r>
  <r>
    <x v="52"/>
    <s v="Instagram"/>
    <n v="645"/>
    <n v="267"/>
    <n v="346890"/>
    <n v="3.71"/>
    <n v="24858"/>
    <n v="378"/>
    <x v="0"/>
  </r>
  <r>
    <x v="6"/>
    <s v="Twitter"/>
    <n v="1149"/>
    <n v="280"/>
    <n v="167310"/>
    <n v="3.7"/>
    <n v="5291"/>
    <n v="869"/>
    <x v="0"/>
  </r>
  <r>
    <x v="62"/>
    <s v="Twitter"/>
    <n v="572"/>
    <n v="270"/>
    <n v="82265"/>
    <n v="3.65"/>
    <n v="13140"/>
    <n v="302"/>
    <x v="0"/>
  </r>
  <r>
    <x v="66"/>
    <s v="YouTube"/>
    <n v="864"/>
    <n v="50"/>
    <n v="277445"/>
    <n v="3.57"/>
    <n v="26333"/>
    <n v="814"/>
    <x v="0"/>
  </r>
  <r>
    <x v="59"/>
    <s v="YouTube"/>
    <n v="983"/>
    <n v="134"/>
    <n v="352178"/>
    <n v="3.55"/>
    <n v="11421"/>
    <n v="849"/>
    <x v="0"/>
  </r>
  <r>
    <x v="50"/>
    <s v="Instagram"/>
    <n v="772"/>
    <n v="82"/>
    <n v="345659"/>
    <n v="3.52"/>
    <n v="27753"/>
    <n v="690"/>
    <x v="0"/>
  </r>
  <r>
    <x v="26"/>
    <s v="Instagram"/>
    <n v="532"/>
    <n v="65"/>
    <n v="338561"/>
    <n v="3.5"/>
    <n v="14749"/>
    <n v="467"/>
    <x v="0"/>
  </r>
  <r>
    <x v="66"/>
    <s v="Twitter"/>
    <n v="751"/>
    <n v="170"/>
    <n v="283278"/>
    <n v="3.49"/>
    <n v="11005"/>
    <n v="581"/>
    <x v="0"/>
  </r>
  <r>
    <x v="13"/>
    <s v="Instagram"/>
    <n v="1416"/>
    <n v="284"/>
    <n v="374952"/>
    <n v="3.45"/>
    <n v="11335"/>
    <n v="1132"/>
    <x v="0"/>
  </r>
  <r>
    <x v="14"/>
    <s v="Instagram"/>
    <n v="693"/>
    <n v="129"/>
    <n v="296031"/>
    <n v="3.41"/>
    <n v="7140"/>
    <n v="564"/>
    <x v="0"/>
  </r>
  <r>
    <x v="42"/>
    <s v="Twitter"/>
    <n v="1430"/>
    <n v="162"/>
    <n v="269082"/>
    <n v="3.4"/>
    <n v="18071"/>
    <n v="1268"/>
    <x v="0"/>
  </r>
  <r>
    <x v="11"/>
    <s v="Instagram"/>
    <n v="818"/>
    <n v="253"/>
    <n v="184911"/>
    <n v="3.39"/>
    <n v="10402"/>
    <n v="565"/>
    <x v="0"/>
  </r>
  <r>
    <x v="15"/>
    <s v="YouTube"/>
    <n v="685"/>
    <n v="285"/>
    <n v="177452"/>
    <n v="3.36"/>
    <n v="21134"/>
    <n v="400"/>
    <x v="0"/>
  </r>
  <r>
    <x v="6"/>
    <s v="YouTube"/>
    <n v="819"/>
    <n v="101"/>
    <n v="194811"/>
    <n v="3.35"/>
    <n v="22244"/>
    <n v="718"/>
    <x v="0"/>
  </r>
  <r>
    <x v="23"/>
    <s v="Instagram"/>
    <n v="601"/>
    <n v="159"/>
    <n v="327722"/>
    <n v="3.33"/>
    <n v="25267"/>
    <n v="442"/>
    <x v="0"/>
  </r>
  <r>
    <x v="22"/>
    <s v="YouTube"/>
    <n v="1182"/>
    <n v="83"/>
    <n v="140300"/>
    <n v="3.27"/>
    <n v="21079"/>
    <n v="1099"/>
    <x v="0"/>
  </r>
  <r>
    <x v="49"/>
    <s v="Twitter"/>
    <n v="681"/>
    <n v="158"/>
    <n v="75960"/>
    <n v="3.13"/>
    <n v="24112"/>
    <n v="523"/>
    <x v="0"/>
  </r>
  <r>
    <x v="55"/>
    <s v="YouTube"/>
    <n v="791"/>
    <n v="273"/>
    <n v="144049"/>
    <n v="3.08"/>
    <n v="5281"/>
    <n v="51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28DDEB-51BC-44EA-8B97-D85460421DDB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29:B33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axis="axisRow" showAll="0">
      <items count="6">
        <item x="2"/>
        <item x="3"/>
        <item x="1"/>
        <item x="0"/>
        <item x="4"/>
        <item t="default"/>
      </items>
    </pivotField>
  </pivotFields>
  <rowFields count="1">
    <field x="13"/>
  </rowFields>
  <rowItems count="5">
    <i>
      <x v="4"/>
    </i>
    <i>
      <x/>
    </i>
    <i>
      <x v="3"/>
    </i>
    <i>
      <x v="2"/>
    </i>
    <i>
      <x v="1"/>
    </i>
  </rowItems>
  <colItems count="1">
    <i/>
  </colItems>
  <dataFields count="1">
    <dataField name="Average of Clicks" fld="9" subtotal="average" baseField="13" baseItem="0" numFmtId="1"/>
  </dataFields>
  <formats count="7">
    <format dxfId="220">
      <pivotArea outline="0" collapsedLevelsAreSubtotals="1" fieldPosition="0"/>
    </format>
    <format dxfId="219">
      <pivotArea outline="0" collapsedLevelsAreSubtotals="1" fieldPosition="0"/>
    </format>
    <format dxfId="218">
      <pivotArea type="all" dataOnly="0" outline="0" fieldPosition="0"/>
    </format>
    <format dxfId="217">
      <pivotArea outline="0" collapsedLevelsAreSubtotals="1" fieldPosition="0"/>
    </format>
    <format dxfId="216">
      <pivotArea field="13" type="button" dataOnly="0" labelOnly="1" outline="0" axis="axisRow" fieldPosition="0"/>
    </format>
    <format dxfId="215">
      <pivotArea dataOnly="0" labelOnly="1" fieldPosition="0">
        <references count="1">
          <reference field="13" count="0"/>
        </references>
      </pivotArea>
    </format>
    <format dxfId="21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D7EBD1-8763-4B69-BB67-633FF49E4C9D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41:B34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5">
    <i>
      <x v="4"/>
    </i>
    <i>
      <x/>
    </i>
    <i>
      <x v="3"/>
    </i>
    <i>
      <x v="2"/>
    </i>
    <i>
      <x v="1"/>
    </i>
  </rowItems>
  <colItems count="1">
    <i/>
  </colItems>
  <dataFields count="1">
    <dataField name="Average of Clicks" fld="9" subtotal="average" baseField="13" baseItem="0" numFmtId="1"/>
  </dataFields>
  <formats count="3">
    <format dxfId="223">
      <pivotArea outline="0" collapsedLevelsAreSubtotals="1" fieldPosition="0"/>
    </format>
    <format dxfId="222">
      <pivotArea field="13" type="button" dataOnly="0" labelOnly="1" outline="0" axis="axisRow" fieldPosition="0"/>
    </format>
    <format dxfId="221">
      <pivotArea outline="0" collapsedLevelsAreSubtotals="1" fieldPosition="0"/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FABAC-F441-4D91-B3D5-59AE75EFB86B}" name="PivotTable4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10:D319" firstHeaderRow="0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65" showAll="0"/>
    <pivotField axis="axisRow" showAll="0">
      <items count="4">
        <item x="2"/>
        <item x="1"/>
        <item x="0"/>
        <item t="default"/>
      </items>
    </pivotField>
    <pivotField showAll="0">
      <items count="11">
        <item x="0"/>
        <item x="1"/>
        <item x="8"/>
        <item x="6"/>
        <item x="4"/>
        <item x="2"/>
        <item x="7"/>
        <item x="5"/>
        <item x="3"/>
        <item x="9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numFmtId="2" showAll="0"/>
  </pivotFields>
  <rowFields count="2">
    <field x="1"/>
    <field x="3"/>
  </rowFields>
  <rowItems count="9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4">
    <format dxfId="2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24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3A52A-BF1A-402C-8996-68079C2576C6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9" firstHeaderRow="0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65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4">
    <i>
      <x v="1"/>
    </i>
    <i>
      <x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5" baseField="0" baseItem="0"/>
    <dataField name="Sum of Shares" fld="6" baseField="0" baseItem="0"/>
    <dataField name="Sum of Comments" fld="7" baseField="0" baseItem="0"/>
    <dataField name="Sum of Engagement_Rate" fld="14" baseField="0" baseItem="0" numFmtId="2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E8074-414E-4E88-9DA8-4B2E2A87D70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55:H59" firstHeaderRow="0" firstDataRow="1" firstDataCol="1"/>
  <pivotFields count="11">
    <pivotField numFmtId="165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Average of Engagement_Rate" fld="5" subtotal="average" baseField="1" baseItem="0"/>
  </dataFields>
  <formats count="13">
    <format dxfId="184">
      <pivotArea type="all" dataOnly="0" outline="0" fieldPosition="0"/>
    </format>
    <format dxfId="183">
      <pivotArea outline="0" collapsedLevelsAreSubtotals="1" fieldPosition="0"/>
    </format>
    <format dxfId="182">
      <pivotArea field="1" type="button" dataOnly="0" labelOnly="1" outline="0" axis="axisRow" fieldPosition="0"/>
    </format>
    <format dxfId="181">
      <pivotArea dataOnly="0" labelOnly="1" fieldPosition="0">
        <references count="1">
          <reference field="1" count="0"/>
        </references>
      </pivotArea>
    </format>
    <format dxfId="180">
      <pivotArea dataOnly="0" labelOnly="1" grandRow="1" outline="0" fieldPosition="0"/>
    </format>
    <format dxfId="1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" type="button" dataOnly="0" labelOnly="1" outline="0" axis="axisRow" fieldPosition="0"/>
    </format>
    <format dxfId="174">
      <pivotArea dataOnly="0" labelOnly="1" fieldPosition="0">
        <references count="1">
          <reference field="1" count="0"/>
        </references>
      </pivotArea>
    </format>
    <format dxfId="173">
      <pivotArea dataOnly="0" labelOnly="1" grandRow="1" outline="0" fieldPosition="0"/>
    </format>
    <format dxfId="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2498B-B589-491B-8734-70358C47DDFF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9:G73" firstHeaderRow="1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gagement_Rate" fld="14" baseField="1" baseItem="1" numFmtId="2"/>
  </dataFields>
  <formats count="13">
    <format dxfId="197">
      <pivotArea outline="0" collapsedLevelsAreSubtotals="1" fieldPosition="0"/>
    </format>
    <format dxfId="196">
      <pivotArea type="all" dataOnly="0" outline="0" fieldPosition="0"/>
    </format>
    <format dxfId="195">
      <pivotArea outline="0" collapsedLevelsAreSubtotals="1" fieldPosition="0"/>
    </format>
    <format dxfId="194">
      <pivotArea field="1" type="button" dataOnly="0" labelOnly="1" outline="0" axis="axisRow" fieldPosition="0"/>
    </format>
    <format dxfId="193">
      <pivotArea dataOnly="0" labelOnly="1" fieldPosition="0">
        <references count="1">
          <reference field="1" count="0"/>
        </references>
      </pivotArea>
    </format>
    <format dxfId="192">
      <pivotArea dataOnly="0" labelOnly="1" grandRow="1" outline="0" fieldPosition="0"/>
    </format>
    <format dxfId="191">
      <pivotArea dataOnly="0" labelOnly="1" outline="0" axis="axisValues" fieldPosition="0"/>
    </format>
    <format dxfId="190">
      <pivotArea type="all" dataOnly="0" outline="0" fieldPosition="0"/>
    </format>
    <format dxfId="189">
      <pivotArea outline="0" collapsedLevelsAreSubtotals="1" fieldPosition="0"/>
    </format>
    <format dxfId="188">
      <pivotArea field="1" type="button" dataOnly="0" labelOnly="1" outline="0" axis="axisRow" fieldPosition="0"/>
    </format>
    <format dxfId="187">
      <pivotArea dataOnly="0" labelOnly="1" fieldPosition="0">
        <references count="1">
          <reference field="1" count="0"/>
        </references>
      </pivotArea>
    </format>
    <format dxfId="186">
      <pivotArea dataOnly="0" labelOnly="1" grandRow="1" outline="0" fieldPosition="0"/>
    </format>
    <format dxfId="185">
      <pivotArea dataOnly="0" labelOnly="1" outline="0" axis="axisValues" fieldPosition="0"/>
    </format>
  </formats>
  <pivotTableStyleInfo name="PivotStyleDark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E9AC7-EFE6-43AB-AEE7-4D34EF13EFF2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16:D84" firstHeaderRow="1" firstDataRow="2" firstDataCol="1"/>
  <pivotFields count="11">
    <pivotField axis="axisRow" numFmtId="165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</rowItems>
  <colFields count="1">
    <field x="1"/>
  </colFields>
  <colItems count="3">
    <i>
      <x/>
    </i>
    <i>
      <x v="1"/>
    </i>
    <i>
      <x v="2"/>
    </i>
  </colItems>
  <dataFields count="1">
    <dataField name="Sum of Net_Followers" fld="7" baseField="0" baseItem="0"/>
  </dataFields>
  <formats count="1">
    <format dxfId="198">
      <pivotArea type="all" dataOnly="0" outline="0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CF79E-14CA-43E6-8D47-E01DCA0AB85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26" firstHeaderRow="1" firstDataRow="1" firstDataCol="1"/>
  <pivotFields count="16">
    <pivotField showAll="0"/>
    <pivotField axis="axisRow" showAll="0" sortType="descending">
      <items count="4">
        <item x="0"/>
        <item x="2"/>
        <item x="1"/>
        <item t="default"/>
      </items>
    </pivotField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numFmtId="166" showAll="0"/>
    <pivotField numFmtId="167" showAll="0"/>
    <pivotField numFmtId="167" showAll="0"/>
    <pivotField numFmtId="168" showAll="0"/>
    <pivotField numFmtId="168" showAll="0"/>
    <pivotField numFmtId="167" showAll="0"/>
    <pivotField showAll="0"/>
    <pivotField dataField="1" showAll="0"/>
    <pivotField showAll="0"/>
    <pivotField showAll="0"/>
    <pivotField showAll="0"/>
  </pivotFields>
  <rowFields count="2">
    <field x="1"/>
    <field x="3"/>
  </rowFields>
  <rowItems count="10">
    <i>
      <x/>
    </i>
    <i r="1">
      <x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 t="grand">
      <x/>
    </i>
  </rowItems>
  <colItems count="1">
    <i/>
  </colItems>
  <dataFields count="1">
    <dataField name="Sum of Top performer" fld="12" baseField="0" baseItem="0"/>
  </dataFields>
  <formats count="9"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1" type="button" dataOnly="0" labelOnly="1" outline="0" axis="axisRow" fieldPosition="0"/>
    </format>
    <format dxfId="149">
      <pivotArea dataOnly="0" labelOnly="1" fieldPosition="0">
        <references count="1">
          <reference field="1" count="0"/>
        </references>
      </pivotArea>
    </format>
    <format dxfId="148">
      <pivotArea dataOnly="0" labelOnly="1" grandRow="1" outline="0" fieldPosition="0"/>
    </format>
    <format dxfId="147">
      <pivotArea dataOnly="0" labelOnly="1" fieldPosition="0">
        <references count="2">
          <reference field="1" count="1" selected="0">
            <x v="0"/>
          </reference>
          <reference field="3" count="2">
            <x v="0"/>
            <x v="2"/>
          </reference>
        </references>
      </pivotArea>
    </format>
    <format dxfId="146">
      <pivotArea dataOnly="0" labelOnly="1" fieldPosition="0">
        <references count="2">
          <reference field="1" count="1" selected="0">
            <x v="1"/>
          </reference>
          <reference field="3" count="2">
            <x v="1"/>
            <x v="2"/>
          </reference>
        </references>
      </pivotArea>
    </format>
    <format dxfId="145">
      <pivotArea dataOnly="0" labelOnly="1" fieldPosition="0">
        <references count="2">
          <reference field="1" count="1" selected="0">
            <x v="2"/>
          </reference>
          <reference field="3" count="2">
            <x v="1"/>
            <x v="2"/>
          </reference>
        </references>
      </pivotArea>
    </format>
    <format dxfId="144">
      <pivotArea dataOnly="0" labelOnly="1" outline="0" axis="axisValues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9F24AC-99A1-481A-A9D9-803CE39C78B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35" firstHeaderRow="1" firstDataRow="1" firstDataCol="1"/>
  <pivotFields count="15">
    <pivotField showAll="0"/>
    <pivotField axis="axisRow" dataField="1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Platform" fld="1" subtotal="count" baseField="0" baseItem="0"/>
  </dataFields>
  <formats count="6"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1" type="button" dataOnly="0" labelOnly="1" outline="0" axis="axisRow" fieldPosition="0"/>
    </format>
    <format dxfId="155">
      <pivotArea dataOnly="0" labelOnly="1" fieldPosition="0">
        <references count="1">
          <reference field="1" count="0"/>
        </references>
      </pivotArea>
    </format>
    <format dxfId="154">
      <pivotArea dataOnly="0" labelOnly="1" grandRow="1" outline="0" fieldPosition="0"/>
    </format>
    <format dxfId="153">
      <pivotArea dataOnly="0" labelOnly="1" outline="0" axis="axisValues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6AC3F-2EF7-4F10-92A9-7DC76759CFC0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9" firstHeaderRow="0" firstDataRow="1" firstDataCol="1"/>
  <pivotFields count="15">
    <pivotField showAll="0"/>
    <pivotField showAll="0">
      <items count="4">
        <item x="0"/>
        <item x="1"/>
        <item x="2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dataField="1" numFmtId="2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14" subtotal="average" baseField="1" baseItem="0" numFmtId="2"/>
    <dataField name="Count of Engagement_Rate" fld="14" subtotal="count" baseField="11" baseItem="1"/>
  </dataFields>
  <formats count="13">
    <format dxfId="171">
      <pivotArea outline="0" collapsedLevelsAreSubtotals="1" fieldPosition="0"/>
    </format>
    <format dxfId="170">
      <pivotArea type="all" dataOnly="0" outline="0" fieldPosition="0"/>
    </format>
    <format dxfId="169">
      <pivotArea outline="0" collapsedLevelsAreSubtotals="1" fieldPosition="0"/>
    </format>
    <format dxfId="168">
      <pivotArea field="11" type="button" dataOnly="0" labelOnly="1" outline="0" axis="axisRow" fieldPosition="0"/>
    </format>
    <format dxfId="167">
      <pivotArea dataOnly="0" labelOnly="1" fieldPosition="0">
        <references count="1">
          <reference field="11" count="0"/>
        </references>
      </pivotArea>
    </format>
    <format dxfId="166">
      <pivotArea dataOnly="0" labelOnly="1" grandRow="1" outline="0" fieldPosition="0"/>
    </format>
    <format dxfId="1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">
      <pivotArea type="all" dataOnly="0" outline="0" fieldPosition="0"/>
    </format>
    <format dxfId="163">
      <pivotArea outline="0" collapsedLevelsAreSubtotals="1" fieldPosition="0"/>
    </format>
    <format dxfId="162">
      <pivotArea field="11" type="button" dataOnly="0" labelOnly="1" outline="0" axis="axisRow" fieldPosition="0"/>
    </format>
    <format dxfId="161">
      <pivotArea dataOnly="0" labelOnly="1" fieldPosition="0">
        <references count="1">
          <reference field="11" count="0"/>
        </references>
      </pivotArea>
    </format>
    <format dxfId="160">
      <pivotArea dataOnly="0" labelOnly="1" grandRow="1" outline="0" fieldPosition="0"/>
    </format>
    <format dxfId="1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69EC6-7CB1-46AE-A76D-56A94F90974D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6:D11" firstHeaderRow="0" firstDataRow="1" firstDataCol="1"/>
  <pivotFields count="8"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icks" fld="5" subtotal="average" baseField="7" baseItem="0"/>
    <dataField name="Average of Impressions" fld="3" subtotal="average" baseField="7" baseItem="0"/>
    <dataField name="Average of Likes" fld="0" subtotal="average" baseField="7" baseItem="0"/>
  </dataFields>
  <formats count="19">
    <format dxfId="108">
      <pivotArea collapsedLevelsAreSubtotals="1" fieldPosition="0">
        <references count="1">
          <reference field="7" count="0"/>
        </references>
      </pivotArea>
    </format>
    <format dxfId="107">
      <pivotArea field="7" type="button" dataOnly="0" labelOnly="1" outline="0" axis="axisRow" fieldPosition="0"/>
    </format>
    <format dxfId="106">
      <pivotArea dataOnly="0" labelOnly="1" fieldPosition="0">
        <references count="1">
          <reference field="7" count="0"/>
        </references>
      </pivotArea>
    </format>
    <format dxfId="1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4">
      <pivotArea dataOnly="0" grandRow="1" fieldPosition="0"/>
    </format>
    <format dxfId="103">
      <pivotArea field="7" type="button" dataOnly="0" labelOnly="1" outline="0" axis="axisRow" fieldPosition="0"/>
    </format>
    <format dxfId="1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0">
      <pivotArea outline="0" collapsedLevelsAreSubtotals="1" fieldPosition="0"/>
    </format>
    <format dxfId="99">
      <pivotArea field="7" type="button" dataOnly="0" labelOnly="1" outline="0" axis="axisRow" fieldPosition="0"/>
    </format>
    <format dxfId="98">
      <pivotArea dataOnly="0" labelOnly="1" fieldPosition="0">
        <references count="1">
          <reference field="7" count="0"/>
        </references>
      </pivotArea>
    </format>
    <format dxfId="97">
      <pivotArea dataOnly="0" labelOnly="1" grandRow="1" outline="0" fieldPosition="0"/>
    </format>
    <format dxfId="96">
      <pivotArea outline="0" collapsedLevelsAreSubtotals="1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7" type="button" dataOnly="0" labelOnly="1" outline="0" axis="axisRow" fieldPosition="0"/>
    </format>
    <format dxfId="92">
      <pivotArea dataOnly="0" labelOnly="1" fieldPosition="0">
        <references count="1">
          <reference field="7" count="0"/>
        </references>
      </pivotArea>
    </format>
    <format dxfId="91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45FE0-58F2-499D-A699-A887A393C0D1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B63" firstHeaderRow="1" firstDataRow="1" firstDataCol="1"/>
  <pivotFields count="24"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2" showAll="0"/>
    <pivotField showAll="0"/>
    <pivotField showAll="0"/>
    <pivotField dataField="1" numFmtId="169" showAll="0"/>
    <pivotField numFmtId="165" showAll="0"/>
    <pivotField numFmtId="165" showAll="0"/>
    <pivotField showAll="0"/>
    <pivotField numFmtId="2" showAll="0"/>
    <pivotField numFmtId="2" showAll="0"/>
    <pivotField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OI" fld="17" baseField="0" baseItem="0" numFmtId="169"/>
  </dataFields>
  <formats count="7">
    <format dxfId="115">
      <pivotArea outline="0" collapsedLevelsAreSubtotals="1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3" type="button" dataOnly="0" labelOnly="1" outline="0" axis="axisRow" fieldPosition="0"/>
    </format>
    <format dxfId="111">
      <pivotArea dataOnly="0" labelOnly="1" fieldPosition="0">
        <references count="1">
          <reference field="13" count="0"/>
        </references>
      </pivotArea>
    </format>
    <format dxfId="110">
      <pivotArea dataOnly="0" labelOnly="1" grandRow="1" outline="0" fieldPosition="0"/>
    </format>
    <format dxfId="109">
      <pivotArea dataOnly="0" labelOnly="1" outline="0" axis="axisValues" fieldPosition="0"/>
    </format>
  </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E9574-7D73-4CC0-BEFA-A91505DC617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D30" firstHeaderRow="0" firstDataRow="1" firstDataCol="1"/>
  <pivotFields count="24"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2" showAll="0"/>
    <pivotField showAll="0"/>
    <pivotField showAll="0"/>
    <pivotField numFmtId="169" showAll="0"/>
    <pivotField numFmtId="165" showAll="0"/>
    <pivotField numFmtId="165" showAll="0"/>
    <pivotField showAll="0"/>
    <pivotField dataField="1" numFmtId="2" showAll="0"/>
    <pivotField dataField="1" numFmtId="2" showAll="0"/>
    <pivotField dataField="1"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erage-Before" fld="21" baseField="0" baseItem="0" numFmtId="2"/>
    <dataField name="Sum of Average_During" fld="22" baseField="0" baseItem="0" numFmtId="2"/>
    <dataField name="Sum of Uplift" fld="23" baseField="13" baseItem="1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8">
    <format dxfId="123">
      <pivotArea collapsedLevelsAreSubtotals="1" fieldPosition="0">
        <references count="1">
          <reference field="13" count="0"/>
        </references>
      </pivotArea>
    </format>
    <format dxfId="122">
      <pivotArea outline="0" fieldPosition="0">
        <references count="1">
          <reference field="4294967294" count="1">
            <x v="2"/>
          </reference>
        </references>
      </pivotArea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3" type="button" dataOnly="0" labelOnly="1" outline="0" axis="axisRow" fieldPosition="0"/>
    </format>
    <format dxfId="118">
      <pivotArea dataOnly="0" labelOnly="1" fieldPosition="0">
        <references count="1">
          <reference field="13" count="0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B6428-D4F1-4860-8045-695CB09C30BA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4:D19" firstHeaderRow="0" firstDataRow="1" firstDataCol="1"/>
  <pivotFields count="8"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Impressions" fld="3" baseField="0" baseItem="0"/>
    <dataField name="Sum of Clicks" fld="5" baseField="0" baseItem="0"/>
    <dataField name="Sum of Likes" fld="0" baseField="0" baseItem="0"/>
  </dataFields>
  <formats count="20">
    <format dxfId="143">
      <pivotArea collapsedLevelsAreSubtotals="1" fieldPosition="0">
        <references count="1">
          <reference field="7" count="0"/>
        </references>
      </pivotArea>
    </format>
    <format dxfId="142">
      <pivotArea field="7" type="button" dataOnly="0" labelOnly="1" outline="0" axis="axisRow" fieldPosition="0"/>
    </format>
    <format dxfId="141">
      <pivotArea dataOnly="0" labelOnly="1" fieldPosition="0">
        <references count="1">
          <reference field="7" count="0"/>
        </references>
      </pivotArea>
    </format>
    <format dxfId="1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9">
      <pivotArea grandRow="1" outline="0" collapsedLevelsAreSubtotals="1" fieldPosition="0"/>
    </format>
    <format dxfId="138">
      <pivotArea dataOnly="0" labelOnly="1" grandRow="1" outline="0" fieldPosition="0"/>
    </format>
    <format dxfId="137">
      <pivotArea field="7" type="button" dataOnly="0" labelOnly="1" outline="0" axis="axisRow" fieldPosition="0"/>
    </format>
    <format dxfId="1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5">
      <pivotArea field="7" type="button" dataOnly="0" labelOnly="1" outline="0" axis="axisRow" fieldPosition="0"/>
    </format>
    <format dxfId="1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2">
      <pivotArea collapsedLevelsAreSubtotals="1" fieldPosition="0">
        <references count="2">
          <reference field="4294967294" count="1" selected="0">
            <x v="0"/>
          </reference>
          <reference field="7" count="0"/>
        </references>
      </pivotArea>
    </format>
    <format dxfId="131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7" type="button" dataOnly="0" labelOnly="1" outline="0" axis="axisRow" fieldPosition="0"/>
    </format>
    <format dxfId="126">
      <pivotArea dataOnly="0" labelOnly="1" fieldPosition="0">
        <references count="1">
          <reference field="7" count="0"/>
        </references>
      </pivotArea>
    </format>
    <format dxfId="125">
      <pivotArea dataOnly="0" labelOnly="1" grandRow="1" outline="0" fieldPosition="0"/>
    </format>
    <format dxfId="1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F96FAC-F946-4B5A-A941-04AF8FB689A2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7:H39" firstHeaderRow="0" firstDataRow="1" firstDataCol="1"/>
  <pivotFields count="10">
    <pivotField numFmtId="165" showAll="0">
      <items count="68">
        <item x="3"/>
        <item x="2"/>
        <item x="36"/>
        <item x="9"/>
        <item x="60"/>
        <item x="31"/>
        <item x="32"/>
        <item x="18"/>
        <item x="59"/>
        <item x="4"/>
        <item x="16"/>
        <item x="57"/>
        <item x="47"/>
        <item x="45"/>
        <item x="42"/>
        <item x="15"/>
        <item x="19"/>
        <item x="13"/>
        <item x="33"/>
        <item x="12"/>
        <item x="38"/>
        <item x="61"/>
        <item x="5"/>
        <item x="35"/>
        <item x="54"/>
        <item x="8"/>
        <item x="39"/>
        <item x="20"/>
        <item x="22"/>
        <item x="25"/>
        <item x="65"/>
        <item x="24"/>
        <item x="26"/>
        <item x="23"/>
        <item x="6"/>
        <item x="49"/>
        <item x="29"/>
        <item x="51"/>
        <item x="52"/>
        <item x="37"/>
        <item x="41"/>
        <item x="14"/>
        <item x="11"/>
        <item x="7"/>
        <item x="48"/>
        <item x="50"/>
        <item x="44"/>
        <item x="66"/>
        <item x="21"/>
        <item x="28"/>
        <item x="40"/>
        <item x="46"/>
        <item x="0"/>
        <item x="63"/>
        <item x="56"/>
        <item x="34"/>
        <item x="58"/>
        <item x="1"/>
        <item x="10"/>
        <item x="53"/>
        <item x="43"/>
        <item x="30"/>
        <item x="27"/>
        <item x="17"/>
        <item x="55"/>
        <item x="62"/>
        <item x="64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2">
        <item x="0"/>
        <item t="default"/>
      </items>
    </pivotField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8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Sum of Total_Followers" fld="4" baseField="0" baseItem="0"/>
  </dataFields>
  <formats count="12">
    <format dxfId="17">
      <pivotArea type="all" dataOnly="0" outline="0" fieldPosition="0"/>
    </format>
    <format dxfId="10">
      <pivotArea outline="0" collapsedLevelsAreSubtotals="1" fieldPosition="0"/>
    </format>
    <format dxfId="9">
      <pivotArea field="8" type="button" dataOnly="0" labelOnly="1" outline="0" axis="axisRow" fieldPosition="0"/>
    </format>
    <format dxfId="8">
      <pivotArea dataOnly="0" labelOnly="1" fieldPosition="0">
        <references count="1">
          <reference field="8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8" type="button" dataOnly="0" labelOnly="1" outline="0" axis="axisRow" fieldPosition="0"/>
    </format>
    <format dxfId="2">
      <pivotArea dataOnly="0" labelOnly="1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5E39D-79D0-47F9-BE6B-9F4017D3407D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B72" firstHeaderRow="1" firstDataRow="1" firstDataCol="1"/>
  <pivotFields count="10">
    <pivotField numFmtId="165" showAll="0">
      <items count="68">
        <item x="3"/>
        <item x="2"/>
        <item x="36"/>
        <item x="9"/>
        <item x="60"/>
        <item x="31"/>
        <item x="32"/>
        <item x="18"/>
        <item x="59"/>
        <item x="4"/>
        <item x="16"/>
        <item x="57"/>
        <item x="47"/>
        <item x="45"/>
        <item x="42"/>
        <item x="15"/>
        <item x="19"/>
        <item x="13"/>
        <item x="33"/>
        <item x="12"/>
        <item x="38"/>
        <item x="61"/>
        <item x="5"/>
        <item x="35"/>
        <item x="54"/>
        <item x="8"/>
        <item x="39"/>
        <item x="20"/>
        <item x="22"/>
        <item x="25"/>
        <item x="65"/>
        <item x="24"/>
        <item x="26"/>
        <item x="23"/>
        <item x="6"/>
        <item x="49"/>
        <item x="29"/>
        <item x="51"/>
        <item x="52"/>
        <item x="37"/>
        <item x="41"/>
        <item x="14"/>
        <item x="11"/>
        <item x="7"/>
        <item x="48"/>
        <item x="50"/>
        <item x="44"/>
        <item x="66"/>
        <item x="21"/>
        <item x="28"/>
        <item x="40"/>
        <item x="46"/>
        <item x="0"/>
        <item x="63"/>
        <item x="56"/>
        <item x="34"/>
        <item x="58"/>
        <item x="1"/>
        <item x="10"/>
        <item x="53"/>
        <item x="43"/>
        <item x="30"/>
        <item x="27"/>
        <item x="17"/>
        <item x="55"/>
        <item x="62"/>
        <item x="6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68">
    <i>
      <x v="309"/>
    </i>
    <i>
      <x v="140"/>
    </i>
    <i>
      <x v="155"/>
    </i>
    <i>
      <x v="98"/>
    </i>
    <i>
      <x v="210"/>
    </i>
    <i>
      <x v="105"/>
    </i>
    <i>
      <x v="169"/>
    </i>
    <i>
      <x v="190"/>
    </i>
    <i>
      <x v="274"/>
    </i>
    <i>
      <x v="225"/>
    </i>
    <i>
      <x v="147"/>
    </i>
    <i>
      <x v="316"/>
    </i>
    <i>
      <x v="295"/>
    </i>
    <i>
      <x v="267"/>
    </i>
    <i>
      <x v="91"/>
    </i>
    <i>
      <x v="162"/>
    </i>
    <i>
      <x v="63"/>
    </i>
    <i>
      <x v="203"/>
    </i>
    <i>
      <x v="218"/>
    </i>
    <i>
      <x v="351"/>
    </i>
    <i>
      <x v="84"/>
    </i>
    <i>
      <x v="288"/>
    </i>
    <i>
      <x v="189"/>
    </i>
    <i>
      <x v="196"/>
    </i>
    <i>
      <x v="238"/>
    </i>
    <i>
      <x v="253"/>
    </i>
    <i>
      <x v="358"/>
    </i>
    <i>
      <x v="246"/>
    </i>
    <i>
      <x v="6"/>
    </i>
    <i>
      <x v="239"/>
    </i>
    <i>
      <x v="176"/>
    </i>
    <i>
      <x v="183"/>
    </i>
    <i>
      <x v="337"/>
    </i>
    <i>
      <x v="119"/>
    </i>
    <i>
      <x v="197"/>
    </i>
    <i>
      <x v="41"/>
    </i>
    <i>
      <x v="224"/>
    </i>
    <i>
      <x v="13"/>
    </i>
    <i>
      <x v="281"/>
    </i>
    <i>
      <x v="365"/>
    </i>
    <i>
      <x v="182"/>
    </i>
    <i>
      <x v="70"/>
    </i>
    <i>
      <x v="232"/>
    </i>
    <i>
      <x v="330"/>
    </i>
    <i>
      <x v="204"/>
    </i>
    <i>
      <x v="161"/>
    </i>
    <i>
      <x v="77"/>
    </i>
    <i>
      <x v="302"/>
    </i>
    <i>
      <x v="260"/>
    </i>
    <i>
      <x v="211"/>
    </i>
    <i>
      <x v="126"/>
    </i>
    <i>
      <x v="154"/>
    </i>
    <i>
      <x v="168"/>
    </i>
    <i>
      <x v="323"/>
    </i>
    <i>
      <x v="27"/>
    </i>
    <i>
      <x v="20"/>
    </i>
    <i>
      <x v="231"/>
    </i>
    <i>
      <x v="112"/>
    </i>
    <i>
      <x v="55"/>
    </i>
    <i>
      <x v="217"/>
    </i>
    <i>
      <x v="34"/>
    </i>
    <i>
      <x v="48"/>
    </i>
    <i>
      <x v="252"/>
    </i>
    <i>
      <x v="245"/>
    </i>
    <i>
      <x v="133"/>
    </i>
    <i>
      <x v="344"/>
    </i>
    <i>
      <x v="175"/>
    </i>
    <i t="grand">
      <x/>
    </i>
  </rowItems>
  <colItems count="1">
    <i/>
  </colItems>
  <dataFields count="1">
    <dataField name="Sum of Net_Follower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319B7-C7CF-4BF9-B6C1-924420627F63}" name="Table1" displayName="Table1" ref="A8:X308" totalsRowShown="0" headerRowDxfId="254" dataDxfId="253" tableBorderDxfId="252">
  <tableColumns count="24">
    <tableColumn id="1" xr3:uid="{8333D33A-FBDD-42DE-81A6-A0CAA9C2B44A}" name="Post ID" dataDxfId="251"/>
    <tableColumn id="2" xr3:uid="{198F7AD9-EB0A-4E23-9484-CAE6F45B8623}" name="Platform" dataDxfId="250"/>
    <tableColumn id="3" xr3:uid="{58B493CB-DDF3-4D81-8C4C-1E220869AD71}" name="Date" dataDxfId="249"/>
    <tableColumn id="4" xr3:uid="{A10D2822-7336-47A2-A39A-B5E576467471}" name="Content Type" dataDxfId="248"/>
    <tableColumn id="5" xr3:uid="{9B8D6FA0-C625-47C9-A25F-5272C14286A5}" name="Post Text" dataDxfId="247"/>
    <tableColumn id="6" xr3:uid="{CD232D94-116B-4C60-8FD3-29831EE6BBFE}" name="Likes" dataDxfId="246"/>
    <tableColumn id="7" xr3:uid="{8BC94DD5-092E-4F15-90DF-C844EE28FC4B}" name="Shares" dataDxfId="245"/>
    <tableColumn id="8" xr3:uid="{8890C528-9B00-4005-976F-859CED3FF36D}" name="Comments" dataDxfId="244"/>
    <tableColumn id="9" xr3:uid="{64BB677C-954A-4833-A346-895C8E092C97}" name="Impressions" dataDxfId="243"/>
    <tableColumn id="10" xr3:uid="{C493B6E8-FDDD-42BA-AC44-75ED276D923F}" name="Reach" dataDxfId="242"/>
    <tableColumn id="11" xr3:uid="{FA745A34-0FE6-4005-A131-C448DC25D48F}" name="Clicks" dataDxfId="241"/>
    <tableColumn id="12" xr3:uid="{0E5A722B-918C-48B6-B05E-E74B93CB45E7}" name="Hashtags 1" dataDxfId="240"/>
    <tableColumn id="13" xr3:uid="{D8707821-F500-4946-B48B-7058FABF9B6F}" name="Hashtags seprate" dataDxfId="239"/>
    <tableColumn id="14" xr3:uid="{E5BA3ED1-8A80-4538-A3D3-C26A74030292}" name="Campaign_Name" dataDxfId="238"/>
    <tableColumn id="15" xr3:uid="{7C7E688C-C9E4-4914-9CC1-19861B806FED}" name="Engagement_Rate" dataDxfId="237">
      <calculatedColumnFormula>((Posts!$F2+Posts!$G2+Posts!$H2)/Posts!$I2)*100</calculatedColumnFormula>
    </tableColumn>
    <tableColumn id="16" xr3:uid="{AA5E816F-8E4B-4899-8CDE-5DB73AA9C620}" name="Net_Engagement" dataDxfId="236">
      <calculatedColumnFormula>SUM(Table2[[#This Row],[Likes]],Table2[[#This Row],[Shares]],Table2[[#This Row],[Comments]])</calculatedColumnFormula>
    </tableColumn>
    <tableColumn id="17" xr3:uid="{DFA3BFBB-1C95-47B6-8232-0E5B4BF0B17E}" name="Total_Budget" dataDxfId="235">
      <calculatedColumnFormula>_xlfn.IFS(
    Table2[[#This Row],[Campaign_Name]]="SummerBeats", 175000,
    Table2[[#This Row],[Campaign_Name]]="Wrapped2024", 225000,
    Table2[[#This Row],[Campaign_Name]]="ChillVibes", 200000,
    Table2[[#This Row],[Campaign_Name]]="IndieWave", 160000
)</calculatedColumnFormula>
    </tableColumn>
    <tableColumn id="18" xr3:uid="{7B2480A5-A695-4899-8656-D95C37F191A5}" name="ROI" dataDxfId="234">
      <calculatedColumnFormula>Table2[[#This Row],[Net_Engagement]]/Table2[[#This Row],[Total_Budget]]</calculatedColumnFormula>
    </tableColumn>
    <tableColumn id="19" xr3:uid="{8DBFEFBC-594D-40B3-B25C-923743E1B7B5}" name="Start_Date" dataDxfId="233">
      <calculatedColumnFormula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calculatedColumnFormula>
    </tableColumn>
    <tableColumn id="20" xr3:uid="{52917ED3-DC21-4D88-9C09-87BD9D4EC006}" name="End_Date" dataDxfId="232">
      <calculatedColumnFormula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calculatedColumnFormula>
    </tableColumn>
    <tableColumn id="21" xr3:uid="{AA60D22F-9B55-4A2E-9886-D2DEA4F2AB0A}" name="Column" dataDxfId="231">
      <calculatedColumnFormula>IF(AND(C9&gt;=$S$9,C9&lt;=$T$9),"During","Before")</calculatedColumnFormula>
    </tableColumn>
    <tableColumn id="22" xr3:uid="{F44F777A-F965-4036-A793-477C5FA2B2D7}" name="Average_Before" dataDxfId="230">
      <calculatedColumnFormula>AVERAGEIF($U$9:$U$308,"Before",O9)</calculatedColumnFormula>
    </tableColumn>
    <tableColumn id="23" xr3:uid="{5FE80553-3CD1-4B02-AD24-DA0F763AD17C}" name="Average_During" dataDxfId="229">
      <calculatedColumnFormula>IFERROR(AVERAGEIF($U$9:$U$308,"During",O9),0)</calculatedColumnFormula>
    </tableColumn>
    <tableColumn id="24" xr3:uid="{3D63C3C2-1F6A-48CE-9CDD-12DE5F1CAAD8}" name="Uplift" dataDxfId="228">
      <calculatedColumnFormula>(Table1[[#This Row],[Average_During]]-Table1[[#This Row],[Average_Before]])/Table1[[#This Row],[Average_Before]]*100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4CD033-4C6B-4D8E-925E-398C1E9319E4}" name="Table24" displayName="Table24" ref="A1:N301" totalsRowShown="0" headerRowDxfId="213">
  <autoFilter ref="A1:N301" xr:uid="{044CD033-4C6B-4D8E-925E-398C1E9319E4}">
    <filterColumn colId="13">
      <top10 val="10" filterVal="18.517978620019438"/>
    </filterColumn>
  </autoFilter>
  <sortState xmlns:xlrd2="http://schemas.microsoft.com/office/spreadsheetml/2017/richdata2" ref="A2:N301">
    <sortCondition descending="1" ref="N1:N301"/>
  </sortState>
  <tableColumns count="14">
    <tableColumn id="1" xr3:uid="{1BF277C3-CF12-49F0-9CF4-F6EB6192CAAA}" name="Post ID" dataDxfId="212"/>
    <tableColumn id="2" xr3:uid="{66C6FEA2-1F7E-43CF-A600-B9D08BB67769}" name="Platform" dataDxfId="211"/>
    <tableColumn id="3" xr3:uid="{8383B997-E827-44A7-A178-0BF8A68789B3}" name="Date" dataDxfId="210"/>
    <tableColumn id="4" xr3:uid="{EE9BF4CD-F673-4527-B7D4-2F41496649DC}" name="Content Type" dataDxfId="209"/>
    <tableColumn id="5" xr3:uid="{2A67D081-F979-4B8D-982E-0CAD396C0393}" name="Post Text" dataDxfId="208"/>
    <tableColumn id="6" xr3:uid="{0185497B-28DC-4E43-908E-D86FCABFBC20}" name="Likes" dataDxfId="207"/>
    <tableColumn id="7" xr3:uid="{BA3716C0-9058-4BE7-A97B-39279BFDDB22}" name="Shares" dataDxfId="206"/>
    <tableColumn id="8" xr3:uid="{117CE436-70FE-4133-91A3-36B67EF3F773}" name="Comments" dataDxfId="205"/>
    <tableColumn id="9" xr3:uid="{E71AA614-3286-45A6-91FC-149E3991EE93}" name="Impressions" dataDxfId="204"/>
    <tableColumn id="10" xr3:uid="{26C1CF3E-CDEC-46FA-8933-A4C853D7084A}" name="Reach" dataDxfId="203"/>
    <tableColumn id="11" xr3:uid="{77261A99-DD30-47C4-8C57-072BDBD5DFE4}" name="Clicks" dataDxfId="202"/>
    <tableColumn id="12" xr3:uid="{01B701A4-BEE7-4225-BC60-876CF178F10F}" name="Hashtags Used" dataDxfId="201"/>
    <tableColumn id="13" xr3:uid="{A0F1EAE2-E0B2-4A17-9CAA-B1F47082D3AA}" name="Campaign_Name" dataDxfId="200"/>
    <tableColumn id="14" xr3:uid="{BCB7A4D2-86EA-4C39-9049-F5FC0C0ADD8A}" name="Engagement_Rate" dataDxfId="199">
      <calculatedColumnFormula>((F2+G2+H2)/I2)*100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7B14B4-149F-49B9-BBFA-1C6B217D3B97}" name="Table4" displayName="Table4" ref="A3:I203" totalsRowShown="0">
  <autoFilter ref="A3:I203" xr:uid="{757B14B4-149F-49B9-BBFA-1C6B217D3B97}"/>
  <tableColumns count="9">
    <tableColumn id="1" xr3:uid="{9596574A-B7B3-4749-97D0-FD361DF93488}" name="Week_Start_Date" dataDxfId="30"/>
    <tableColumn id="2" xr3:uid="{3F0BAF36-04AD-4230-AEAD-E54EDF36EDFC}" name="Platform"/>
    <tableColumn id="3" xr3:uid="{FF45B3D2-E90C-472E-A2C4-6B2B588B7669}" name="New_Followers"/>
    <tableColumn id="4" xr3:uid="{3693B736-741B-4DAF-91FF-EBC16FBC313C}" name="Unfollows"/>
    <tableColumn id="5" xr3:uid="{46F0C2B2-E01A-4CFF-ADE1-B247A2B73085}" name="Total_Followers"/>
    <tableColumn id="6" xr3:uid="{E5DDFB77-974E-4097-A6E4-1B4DA1CB989B}" name="Engagement_Rate"/>
    <tableColumn id="7" xr3:uid="{33ACA006-0C41-41D5-BCE2-2DA1F42DA8B9}" name="Ad_Spend"/>
    <tableColumn id="8" xr3:uid="{59A19DF4-BA94-4171-B4EF-F64E1FCEEF85}" name="Net_Followers"/>
    <tableColumn id="9" xr3:uid="{7F5F3371-A826-4880-BB51-2369FA52F5DD}" name="Corelation"/>
  </tableColumns>
  <tableStyleInfo name="TableStyleDark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2C0953-18A7-4BFB-8D19-739D829F9EE5}" name="Table2" displayName="Table2" ref="A1:S301" headerRowDxfId="89">
  <tableColumns count="19">
    <tableColumn id="1" xr3:uid="{E3E2BB37-5ED0-4C5D-B142-F1A33B7DCBE1}" name="Post ID" totalsRowLabel="Total" dataDxfId="88" totalsRowDxfId="87"/>
    <tableColumn id="2" xr3:uid="{6BE20C70-2C67-4725-8D44-CF4495FA4890}" name="Platform" dataDxfId="86" totalsRowDxfId="85"/>
    <tableColumn id="3" xr3:uid="{44F25C93-0B0C-4C79-87A1-389F4B5CF893}" name="Date" dataDxfId="84" totalsRowDxfId="83"/>
    <tableColumn id="4" xr3:uid="{5211E397-DE34-4D8D-A718-056E198315C3}" name="Content Type" dataDxfId="82" totalsRowDxfId="81"/>
    <tableColumn id="5" xr3:uid="{7FB19C62-2F6B-4E60-B90E-454252C03B02}" name="Post Text" dataDxfId="80" totalsRowDxfId="79"/>
    <tableColumn id="6" xr3:uid="{782E6CE3-624D-495A-9B70-A432374C5C8B}" name="Likes" dataDxfId="78" totalsRowDxfId="77"/>
    <tableColumn id="7" xr3:uid="{A77AA62F-CDB4-41D4-9764-6E608B5650DA}" name="Shares" dataDxfId="76" totalsRowDxfId="75"/>
    <tableColumn id="8" xr3:uid="{4CFBEDE8-C6DE-430D-A41F-13E96C333499}" name="Comments" dataDxfId="74" totalsRowDxfId="73"/>
    <tableColumn id="9" xr3:uid="{35EB1498-2A64-4795-A1EF-9082E1B06D8B}" name="Impressions" dataDxfId="72" totalsRowDxfId="71"/>
    <tableColumn id="10" xr3:uid="{584E73DE-6611-4CDA-AC14-04E21EBBAB19}" name="Reach" dataDxfId="70" totalsRowDxfId="69"/>
    <tableColumn id="11" xr3:uid="{89BACF91-29D5-48D2-9DD9-E55E50CCC9FC}" name="Clicks" dataDxfId="68" totalsRowDxfId="67"/>
    <tableColumn id="12" xr3:uid="{DE88C155-B940-4641-B0B5-46591CFDE6DB}" name="Hashtags Used" dataDxfId="66" totalsRowDxfId="65"/>
    <tableColumn id="13" xr3:uid="{9A6431EB-AF8E-4C96-BDC2-7CE0EE199A8C}" name="Campaign_Name" dataDxfId="64" totalsRowDxfId="63"/>
    <tableColumn id="14" xr3:uid="{9DA953B8-F0C2-4547-A7C0-666CBF85C4E3}" name="Engagement_Rate" dataDxfId="62" totalsRowDxfId="61">
      <calculatedColumnFormula>((F2+G2+H2)/I2)*100</calculatedColumnFormula>
    </tableColumn>
    <tableColumn id="15" xr3:uid="{A8AC03EE-F97B-4BD3-AFAB-0195CADDEC27}" name="Net_Engagement" totalsRowFunction="sum" dataDxfId="60" totalsRowDxfId="59">
      <calculatedColumnFormula>SUM(Table2[[#This Row],[Likes]],Table2[[#This Row],[Shares]],Table2[[#This Row],[Comments]])</calculatedColumnFormula>
    </tableColumn>
    <tableColumn id="17" xr3:uid="{F3610016-F6F0-499A-9789-3647F9A9F0F6}" name="Total_Budget" dataDxfId="58">
      <calculatedColumnFormula>_xlfn.IFS(
    Table2[[#This Row],[Campaign_Name]]="SummerBeats", 175000,
    Table2[[#This Row],[Campaign_Name]]="Wrapped2024", 225000,
    Table2[[#This Row],[Campaign_Name]]="ChillVibes", 200000,
    Table2[[#This Row],[Campaign_Name]]="IndieWave", 160000
)</calculatedColumnFormula>
    </tableColumn>
    <tableColumn id="18" xr3:uid="{39D89C66-5277-4D15-A39D-78EDFFF84A3B}" name="ROI" dataDxfId="57">
      <calculatedColumnFormula>Table2[[#This Row],[Net_Engagement]]/Table2[[#This Row],[Total_Budget]]</calculatedColumnFormula>
    </tableColumn>
    <tableColumn id="19" xr3:uid="{8E3C4BB3-A144-4D8A-8277-8DF43EEF726F}" name="Start_Date" dataDxfId="56" totalsRowDxfId="55">
      <calculatedColumnFormula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calculatedColumnFormula>
    </tableColumn>
    <tableColumn id="20" xr3:uid="{4F144214-4552-4A1C-8A84-35CF0535F4DF}" name="End_Date" dataDxfId="54" totalsRowDxfId="53">
      <calculatedColumnFormula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6E66F3C-36B9-4DF8-8AB8-B95E85933A20}" name="Table7" displayName="Table7" ref="A1:I201" totalsRowShown="0" headerRowDxfId="52" dataDxfId="51">
  <autoFilter ref="A1:I201" xr:uid="{16E66F3C-36B9-4DF8-8AB8-B95E85933A20}"/>
  <sortState xmlns:xlrd2="http://schemas.microsoft.com/office/spreadsheetml/2017/richdata2" ref="A2:H201">
    <sortCondition descending="1" ref="F1:F201"/>
  </sortState>
  <tableColumns count="9">
    <tableColumn id="1" xr3:uid="{BB476522-E735-48A7-9B4D-D5BDAE8629F5}" name="Week_Start_Date" dataDxfId="50"/>
    <tableColumn id="2" xr3:uid="{E03DBDAF-09D4-414B-B641-FAC3F46A99C1}" name="Platform" dataDxfId="49"/>
    <tableColumn id="3" xr3:uid="{54DF34ED-E808-4218-9E84-22E4FCF52718}" name="New_Followers" dataDxfId="48"/>
    <tableColumn id="4" xr3:uid="{F0556C33-D3F2-4EF5-B296-FA860132CAC2}" name="Unfollows" dataDxfId="47"/>
    <tableColumn id="5" xr3:uid="{B7F88D56-A1E9-4B4D-A63D-B0AAC2CD2BE3}" name="Total_Followers" dataDxfId="46"/>
    <tableColumn id="6" xr3:uid="{2F977611-D190-440F-BF3C-D8BB286ECDDA}" name="Engagement_Rate" dataDxfId="45"/>
    <tableColumn id="7" xr3:uid="{6558CC9D-2DC0-44A3-9551-F29C22933A31}" name="Ad_Spend" dataDxfId="44"/>
    <tableColumn id="8" xr3:uid="{79A89865-29F0-4CDF-A019-67CBF4F2A1C7}" name="Net_Followers" dataDxfId="43">
      <calculatedColumnFormula>C2-D2</calculatedColumnFormula>
    </tableColumn>
    <tableColumn id="9" xr3:uid="{5F24F53B-4952-45C8-9005-0841A20B229F}" name="Corelation" dataDxfId="42">
      <calculatedColumnFormula>CORREL(Table7[Net_Followers],Table7[Ad_Spend])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DA96AE-1045-4266-9CA9-EB4A33CDD59B}" name="Table6" displayName="Table6" ref="A1:G5" totalsRowShown="0" headerRowDxfId="41" dataDxfId="39" headerRowBorderDxfId="40" tableBorderDxfId="38">
  <autoFilter ref="A1:G5" xr:uid="{EDDA96AE-1045-4266-9CA9-EB4A33CDD59B}"/>
  <tableColumns count="7">
    <tableColumn id="1" xr3:uid="{E1D06B17-02D2-435B-A2AE-77B181EC9E02}" name="Campaign_Name" dataDxfId="37"/>
    <tableColumn id="2" xr3:uid="{F1A8E6A0-61C6-4311-BFFE-827CD0CC4061}" name="Start_Date" dataDxfId="36"/>
    <tableColumn id="3" xr3:uid="{9446741E-30F9-4DFB-9CB2-AA02C739CB83}" name="End_Date" dataDxfId="35"/>
    <tableColumn id="4" xr3:uid="{CAC968C9-4B6A-4F69-B359-740EC86F000D}" name="Objective" dataDxfId="34"/>
    <tableColumn id="5" xr3:uid="{E9A0F523-67CD-4DD2-BD85-EBB375E9C2D2}" name="Total_Budget" dataDxfId="33"/>
    <tableColumn id="6" xr3:uid="{F5D6E5DE-6DCC-4D36-885D-F3074DD45168}" name="Target_Platforms" dataDxfId="32"/>
    <tableColumn id="7" xr3:uid="{EE3E20A3-2EF3-424F-8C45-749BBA376457}" name="Primary_Hashtags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94AC-217E-47C3-AAC0-4ADF83B19443}">
  <dimension ref="A1:X308"/>
  <sheetViews>
    <sheetView showGridLines="0" zoomScale="80" zoomScaleNormal="80" workbookViewId="0">
      <selection activeCell="J12" sqref="J12"/>
    </sheetView>
  </sheetViews>
  <sheetFormatPr defaultRowHeight="14.4"/>
  <cols>
    <col min="1" max="1" width="9.44140625" customWidth="1"/>
    <col min="2" max="2" width="19.5546875" customWidth="1"/>
    <col min="3" max="3" width="12.33203125" style="6" customWidth="1"/>
    <col min="4" max="4" width="15.109375" style="4" bestFit="1" customWidth="1"/>
    <col min="5" max="5" width="39.109375" style="4" customWidth="1"/>
    <col min="6" max="6" width="10" style="4" customWidth="1"/>
    <col min="7" max="7" width="11.109375" style="4" customWidth="1"/>
    <col min="8" max="8" width="15" style="4" customWidth="1"/>
    <col min="9" max="9" width="16.33203125" style="4" customWidth="1"/>
    <col min="10" max="10" width="13.33203125" style="4" customWidth="1"/>
    <col min="11" max="11" width="11" style="4" customWidth="1"/>
    <col min="12" max="13" width="18.5546875" bestFit="1" customWidth="1"/>
    <col min="14" max="14" width="18.44140625" bestFit="1" customWidth="1"/>
    <col min="15" max="15" width="23" style="4" customWidth="1"/>
    <col min="16" max="16" width="21" style="4" customWidth="1"/>
    <col min="17" max="17" width="17" customWidth="1"/>
    <col min="18" max="18" width="11" customWidth="1"/>
    <col min="19" max="19" width="15.6640625" customWidth="1"/>
    <col min="20" max="20" width="16.44140625" customWidth="1"/>
    <col min="21" max="21" width="13.88671875" style="4" customWidth="1"/>
    <col min="22" max="22" width="23" style="4" customWidth="1"/>
    <col min="23" max="23" width="25" style="4" customWidth="1"/>
    <col min="24" max="24" width="12" style="4" customWidth="1"/>
  </cols>
  <sheetData>
    <row r="1" spans="1:24" s="62" customFormat="1" ht="7.8" customHeight="1">
      <c r="C1" s="63"/>
      <c r="D1" s="64"/>
      <c r="E1" s="64"/>
      <c r="F1" s="64"/>
      <c r="G1" s="64"/>
      <c r="H1" s="64"/>
      <c r="I1" s="64"/>
      <c r="J1" s="64"/>
      <c r="K1" s="64"/>
      <c r="O1" s="64"/>
      <c r="P1" s="64"/>
      <c r="U1" s="64"/>
      <c r="V1" s="64"/>
      <c r="W1" s="64"/>
      <c r="X1" s="64"/>
    </row>
    <row r="2" spans="1:24" s="55" customFormat="1" ht="18">
      <c r="A2" s="54" t="s">
        <v>480</v>
      </c>
      <c r="C2" s="56"/>
      <c r="D2" s="53"/>
      <c r="E2" s="53"/>
      <c r="F2" s="53"/>
      <c r="G2" s="53"/>
      <c r="H2" s="53"/>
      <c r="I2" s="53"/>
      <c r="J2" s="53"/>
      <c r="K2" s="53"/>
      <c r="O2" s="53"/>
      <c r="P2" s="53"/>
      <c r="U2" s="53"/>
      <c r="V2" s="53"/>
      <c r="W2" s="53"/>
      <c r="X2" s="53"/>
    </row>
    <row r="3" spans="1:24" s="55" customFormat="1" ht="18">
      <c r="A3" s="57" t="s">
        <v>481</v>
      </c>
      <c r="C3" s="56"/>
      <c r="D3" s="53"/>
      <c r="E3" s="53"/>
      <c r="F3" s="53"/>
      <c r="G3" s="53"/>
      <c r="H3" s="53"/>
      <c r="I3" s="53"/>
      <c r="J3" s="53"/>
      <c r="K3" s="53"/>
      <c r="O3" s="53"/>
      <c r="P3" s="53"/>
      <c r="U3" s="53"/>
      <c r="V3" s="53"/>
      <c r="W3" s="53"/>
      <c r="X3" s="53"/>
    </row>
    <row r="4" spans="1:24" s="55" customFormat="1" ht="18">
      <c r="A4" s="57" t="s">
        <v>484</v>
      </c>
      <c r="C4" s="56"/>
      <c r="D4" s="53"/>
      <c r="E4" s="53"/>
      <c r="F4" s="53"/>
      <c r="G4" s="53"/>
      <c r="H4" s="53"/>
      <c r="I4" s="53"/>
      <c r="J4" s="53"/>
      <c r="K4" s="53"/>
      <c r="O4" s="53"/>
      <c r="P4" s="53"/>
      <c r="U4" s="53"/>
      <c r="V4" s="53"/>
      <c r="W4" s="53"/>
      <c r="X4" s="53"/>
    </row>
    <row r="5" spans="1:24" s="55" customFormat="1" ht="18">
      <c r="A5" s="57" t="s">
        <v>482</v>
      </c>
      <c r="C5" s="56"/>
      <c r="D5" s="53"/>
      <c r="E5" s="53"/>
      <c r="F5" s="53"/>
      <c r="G5" s="53"/>
      <c r="H5" s="53"/>
      <c r="I5" s="53"/>
      <c r="J5" s="53"/>
      <c r="K5" s="53"/>
      <c r="O5" s="53"/>
      <c r="P5" s="53"/>
      <c r="U5" s="53"/>
      <c r="V5" s="53"/>
      <c r="W5" s="53"/>
      <c r="X5" s="53"/>
    </row>
    <row r="6" spans="1:24" s="55" customFormat="1" ht="27.6" customHeight="1">
      <c r="A6" s="57" t="s">
        <v>483</v>
      </c>
      <c r="C6" s="56"/>
      <c r="D6" s="53"/>
      <c r="E6" s="53"/>
      <c r="F6" s="53"/>
      <c r="G6" s="53"/>
      <c r="H6" s="53"/>
      <c r="I6" s="53"/>
      <c r="J6" s="53"/>
      <c r="K6" s="53"/>
      <c r="O6" s="53"/>
      <c r="P6" s="53"/>
      <c r="U6" s="53"/>
      <c r="V6" s="53"/>
      <c r="W6" s="53"/>
      <c r="X6" s="53"/>
    </row>
    <row r="7" spans="1:24" s="59" customFormat="1" ht="6.6" customHeight="1">
      <c r="A7" s="58"/>
      <c r="C7" s="60"/>
      <c r="D7" s="61"/>
      <c r="E7" s="61"/>
      <c r="F7" s="61"/>
      <c r="G7" s="61"/>
      <c r="H7" s="61"/>
      <c r="I7" s="61"/>
      <c r="J7" s="61"/>
      <c r="K7" s="61"/>
      <c r="O7" s="61"/>
      <c r="P7" s="61"/>
      <c r="U7" s="61"/>
      <c r="V7" s="61"/>
      <c r="W7" s="61"/>
      <c r="X7" s="61"/>
    </row>
    <row r="8" spans="1:24">
      <c r="A8" s="34" t="s">
        <v>0</v>
      </c>
      <c r="B8" s="34" t="s">
        <v>1</v>
      </c>
      <c r="C8" s="35" t="s">
        <v>2</v>
      </c>
      <c r="D8" s="36" t="s">
        <v>3</v>
      </c>
      <c r="E8" s="36" t="s">
        <v>4</v>
      </c>
      <c r="F8" s="36" t="s">
        <v>5</v>
      </c>
      <c r="G8" s="36" t="s">
        <v>6</v>
      </c>
      <c r="H8" s="36" t="s">
        <v>7</v>
      </c>
      <c r="I8" s="36" t="s">
        <v>8</v>
      </c>
      <c r="J8" s="36" t="s">
        <v>9</v>
      </c>
      <c r="K8" s="36" t="s">
        <v>10</v>
      </c>
      <c r="L8" s="34" t="s">
        <v>478</v>
      </c>
      <c r="M8" s="34" t="s">
        <v>479</v>
      </c>
      <c r="N8" s="34" t="s">
        <v>12</v>
      </c>
      <c r="O8" s="37" t="s">
        <v>345</v>
      </c>
      <c r="P8" s="22" t="s">
        <v>399</v>
      </c>
      <c r="Q8" s="22" t="s">
        <v>350</v>
      </c>
      <c r="R8" s="22" t="s">
        <v>401</v>
      </c>
      <c r="S8" s="22" t="s">
        <v>347</v>
      </c>
      <c r="T8" s="22" t="s">
        <v>348</v>
      </c>
      <c r="U8" s="23" t="s">
        <v>400</v>
      </c>
      <c r="V8" s="33" t="s">
        <v>408</v>
      </c>
      <c r="W8" s="33" t="s">
        <v>402</v>
      </c>
      <c r="X8" s="33" t="s">
        <v>403</v>
      </c>
    </row>
    <row r="9" spans="1:24">
      <c r="A9" s="38" t="s">
        <v>36</v>
      </c>
      <c r="B9" s="38" t="s">
        <v>24</v>
      </c>
      <c r="C9" s="39">
        <v>45645</v>
      </c>
      <c r="D9" s="40" t="s">
        <v>25</v>
      </c>
      <c r="E9" s="40" t="s">
        <v>37</v>
      </c>
      <c r="F9" s="40">
        <v>4674</v>
      </c>
      <c r="G9" s="40">
        <v>409</v>
      </c>
      <c r="H9" s="40">
        <v>327</v>
      </c>
      <c r="I9" s="40">
        <v>20756</v>
      </c>
      <c r="J9" s="40">
        <v>63599</v>
      </c>
      <c r="K9" s="40">
        <v>212</v>
      </c>
      <c r="L9" s="38" t="s">
        <v>45</v>
      </c>
      <c r="M9" s="38" t="s">
        <v>42</v>
      </c>
      <c r="N9" s="38" t="s">
        <v>18</v>
      </c>
      <c r="O9" s="41">
        <f>((Posts!$F2+Posts!$G2+Posts!$H2)/Posts!$I2)*100</f>
        <v>13.200509890939994</v>
      </c>
      <c r="P9" s="24">
        <f>SUM(Table2[[#This Row],[Likes]],Table2[[#This Row],[Shares]],Table2[[#This Row],[Comments]])</f>
        <v>1842</v>
      </c>
      <c r="Q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9" s="25">
        <f>Table2[[#This Row],[Net_Engagement]]/Table2[[#This Row],[Total_Budget]]</f>
        <v>9.2099999999999994E-3</v>
      </c>
      <c r="S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9" s="32" t="str">
        <f>IF(AND(C9&gt;=$S$9,C9&lt;=$T$9),"During","Before")</f>
        <v>Before</v>
      </c>
      <c r="V9" s="16">
        <f ca="1">AVERAGEIF($U$9:$U$308,"Before",O9)</f>
        <v>9.1506370005412894</v>
      </c>
      <c r="W9" s="16">
        <f ca="1">IFERROR(AVERAGEIF($U$9:$U$308,"During",O9),0)</f>
        <v>10.935919348028296</v>
      </c>
      <c r="X9" s="16">
        <f ca="1">(Table1[[#This Row],[Average_During]]-Table1[[#This Row],[Average_Before]])/Table1[[#This Row],[Average_Before]]*100</f>
        <v>19.509924253157475</v>
      </c>
    </row>
    <row r="10" spans="1:24">
      <c r="A10" s="42" t="s">
        <v>146</v>
      </c>
      <c r="B10" s="42" t="s">
        <v>24</v>
      </c>
      <c r="C10" s="43">
        <v>45677</v>
      </c>
      <c r="D10" s="44" t="s">
        <v>25</v>
      </c>
      <c r="E10" s="44" t="s">
        <v>26</v>
      </c>
      <c r="F10" s="44">
        <v>4619</v>
      </c>
      <c r="G10" s="44">
        <v>272</v>
      </c>
      <c r="H10" s="44">
        <v>57</v>
      </c>
      <c r="I10" s="44">
        <v>21334</v>
      </c>
      <c r="J10" s="44">
        <v>46292</v>
      </c>
      <c r="K10" s="44">
        <v>91</v>
      </c>
      <c r="L10" s="42" t="s">
        <v>45</v>
      </c>
      <c r="M10" s="42" t="s">
        <v>42</v>
      </c>
      <c r="N10" s="42" t="s">
        <v>18</v>
      </c>
      <c r="O10" s="45">
        <f>((Posts!$F3+Posts!$G3+Posts!$H3)/Posts!$I3)*100</f>
        <v>8.7095334546328402</v>
      </c>
      <c r="P10" s="28">
        <f>SUM(Table2[[#This Row],[Likes]],Table2[[#This Row],[Shares]],Table2[[#This Row],[Comments]])</f>
        <v>4954</v>
      </c>
      <c r="Q1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0" s="29">
        <f>Table2[[#This Row],[Net_Engagement]]/Table2[[#This Row],[Total_Budget]]</f>
        <v>2.477E-2</v>
      </c>
      <c r="S1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0" s="32" t="str">
        <f t="shared" ref="U10:U73" si="0">IF(AND(C10&gt;=$S$9,C10&lt;=$T$9),"During","Before")</f>
        <v>During</v>
      </c>
      <c r="V10" s="16">
        <f t="shared" ref="V10:V73" ca="1" si="1">AVERAGEIF($U$9:$U$308,"Before",O10)</f>
        <v>9.2225707195282638</v>
      </c>
      <c r="W10" s="16">
        <f t="shared" ref="W10:W73" ca="1" si="2">IFERROR(AVERAGEIF($U$9:$U$308,"During",O10),0)</f>
        <v>9.8461233003105288</v>
      </c>
      <c r="X10" s="16">
        <f ca="1">(Table1[[#This Row],[Average_During]]-Table1[[#This Row],[Average_Before]])/Table1[[#This Row],[Average_Before]]*100</f>
        <v>6.7611580300699483</v>
      </c>
    </row>
    <row r="11" spans="1:24">
      <c r="A11" s="38" t="s">
        <v>226</v>
      </c>
      <c r="B11" s="38" t="s">
        <v>24</v>
      </c>
      <c r="C11" s="39">
        <v>45459</v>
      </c>
      <c r="D11" s="40" t="s">
        <v>25</v>
      </c>
      <c r="E11" s="40" t="s">
        <v>20</v>
      </c>
      <c r="F11" s="40">
        <v>4618</v>
      </c>
      <c r="G11" s="40">
        <v>312</v>
      </c>
      <c r="H11" s="40">
        <v>254</v>
      </c>
      <c r="I11" s="40">
        <v>22571</v>
      </c>
      <c r="J11" s="40">
        <v>29453</v>
      </c>
      <c r="K11" s="40">
        <v>197</v>
      </c>
      <c r="L11" s="38" t="s">
        <v>379</v>
      </c>
      <c r="M11" s="38" t="s">
        <v>42</v>
      </c>
      <c r="N11" s="38" t="s">
        <v>18</v>
      </c>
      <c r="O11" s="41">
        <f>((Posts!$F4+Posts!$G4+Posts!$H4)/Posts!$I4)*100</f>
        <v>7.0477352576105021</v>
      </c>
      <c r="P11" s="24">
        <f>SUM(Table2[[#This Row],[Likes]],Table2[[#This Row],[Shares]],Table2[[#This Row],[Comments]])</f>
        <v>2803</v>
      </c>
      <c r="Q1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1" s="25">
        <f>Table2[[#This Row],[Net_Engagement]]/Table2[[#This Row],[Total_Budget]]</f>
        <v>1.4015E-2</v>
      </c>
      <c r="S1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1" s="32" t="str">
        <f t="shared" si="0"/>
        <v>Before</v>
      </c>
      <c r="V11" s="16">
        <f t="shared" ca="1" si="1"/>
        <v>9.2721024329819812</v>
      </c>
      <c r="W11" s="16">
        <f t="shared" ca="1" si="2"/>
        <v>9.2480453162955385</v>
      </c>
      <c r="X11" s="16">
        <f ca="1">(Table1[[#This Row],[Average_During]]-Table1[[#This Row],[Average_Before]])/Table1[[#This Row],[Average_Before]]*100</f>
        <v>-0.25945697710228777</v>
      </c>
    </row>
    <row r="12" spans="1:24">
      <c r="A12" s="42" t="s">
        <v>319</v>
      </c>
      <c r="B12" s="42" t="s">
        <v>24</v>
      </c>
      <c r="C12" s="43">
        <v>45676</v>
      </c>
      <c r="D12" s="44" t="s">
        <v>25</v>
      </c>
      <c r="E12" s="44" t="s">
        <v>26</v>
      </c>
      <c r="F12" s="44">
        <v>3507</v>
      </c>
      <c r="G12" s="44">
        <v>295</v>
      </c>
      <c r="H12" s="44">
        <v>371</v>
      </c>
      <c r="I12" s="44">
        <v>20410</v>
      </c>
      <c r="J12" s="44">
        <v>53965</v>
      </c>
      <c r="K12" s="44">
        <v>212</v>
      </c>
      <c r="L12" s="42" t="s">
        <v>45</v>
      </c>
      <c r="M12" s="42" t="s">
        <v>42</v>
      </c>
      <c r="N12" s="42" t="s">
        <v>18</v>
      </c>
      <c r="O12" s="45">
        <f>((Posts!$F5+Posts!$G5+Posts!$H5)/Posts!$I5)*100</f>
        <v>12.15714092690177</v>
      </c>
      <c r="P12" s="28">
        <f>SUM(Table2[[#This Row],[Likes]],Table2[[#This Row],[Shares]],Table2[[#This Row],[Comments]])</f>
        <v>2647</v>
      </c>
      <c r="Q1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2" s="29">
        <f>Table2[[#This Row],[Net_Engagement]]/Table2[[#This Row],[Total_Budget]]</f>
        <v>1.6543749999999999E-2</v>
      </c>
      <c r="S1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2" s="32" t="str">
        <f t="shared" si="0"/>
        <v>During</v>
      </c>
      <c r="V12" s="16">
        <f t="shared" ca="1" si="1"/>
        <v>9.2567134035350644</v>
      </c>
      <c r="W12" s="16">
        <f t="shared" ca="1" si="2"/>
        <v>9.5415157832624846</v>
      </c>
      <c r="X12" s="16">
        <f ca="1">(Table1[[#This Row],[Average_During]]-Table1[[#This Row],[Average_Before]])/Table1[[#This Row],[Average_Before]]*100</f>
        <v>3.0767116503645497</v>
      </c>
    </row>
    <row r="13" spans="1:24">
      <c r="A13" s="38" t="s">
        <v>90</v>
      </c>
      <c r="B13" s="38" t="s">
        <v>24</v>
      </c>
      <c r="C13" s="39">
        <v>45769</v>
      </c>
      <c r="D13" s="40" t="s">
        <v>15</v>
      </c>
      <c r="E13" s="40" t="s">
        <v>16</v>
      </c>
      <c r="F13" s="40">
        <v>4401</v>
      </c>
      <c r="G13" s="40">
        <v>421</v>
      </c>
      <c r="H13" s="40">
        <v>216</v>
      </c>
      <c r="I13" s="40">
        <v>24890</v>
      </c>
      <c r="J13" s="40">
        <v>54361</v>
      </c>
      <c r="K13" s="40">
        <v>148</v>
      </c>
      <c r="L13" s="38" t="s">
        <v>42</v>
      </c>
      <c r="M13" s="38" t="s">
        <v>381</v>
      </c>
      <c r="N13" s="38" t="s">
        <v>18</v>
      </c>
      <c r="O13" s="41">
        <f>((Posts!$F6+Posts!$G6+Posts!$H6)/Posts!$I6)*100</f>
        <v>13.14700217204213</v>
      </c>
      <c r="P13" s="24">
        <f>SUM(Table2[[#This Row],[Likes]],Table2[[#This Row],[Shares]],Table2[[#This Row],[Comments]])</f>
        <v>2082</v>
      </c>
      <c r="Q1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3" s="25">
        <f>Table2[[#This Row],[Net_Engagement]]/Table2[[#This Row],[Total_Budget]]</f>
        <v>1.0410000000000001E-2</v>
      </c>
      <c r="S1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3" s="32" t="str">
        <f t="shared" si="0"/>
        <v>Before</v>
      </c>
      <c r="V13" s="16">
        <f t="shared" ca="1" si="1"/>
        <v>9.220041802281834</v>
      </c>
      <c r="W13" s="16">
        <f t="shared" ca="1" si="2"/>
        <v>9.8664062932633403</v>
      </c>
      <c r="X13" s="16">
        <f ca="1">(Table1[[#This Row],[Average_During]]-Table1[[#This Row],[Average_Before]])/Table1[[#This Row],[Average_Before]]*100</f>
        <v>7.0104290722580007</v>
      </c>
    </row>
    <row r="14" spans="1:24">
      <c r="A14" s="42" t="s">
        <v>62</v>
      </c>
      <c r="B14" s="42" t="s">
        <v>14</v>
      </c>
      <c r="C14" s="43">
        <v>45823</v>
      </c>
      <c r="D14" s="44" t="s">
        <v>15</v>
      </c>
      <c r="E14" s="44" t="s">
        <v>35</v>
      </c>
      <c r="F14" s="44">
        <v>4896</v>
      </c>
      <c r="G14" s="44">
        <v>466</v>
      </c>
      <c r="H14" s="44">
        <v>233</v>
      </c>
      <c r="I14" s="44">
        <v>28621</v>
      </c>
      <c r="J14" s="44">
        <v>34270</v>
      </c>
      <c r="K14" s="44">
        <v>84</v>
      </c>
      <c r="L14" s="42" t="s">
        <v>45</v>
      </c>
      <c r="M14" s="42" t="s">
        <v>42</v>
      </c>
      <c r="N14" s="42" t="s">
        <v>18</v>
      </c>
      <c r="O14" s="45">
        <f>((Posts!$F7+Posts!$G7+Posts!$H7)/Posts!$I7)*100</f>
        <v>7.4828079253761839</v>
      </c>
      <c r="P14" s="28">
        <f>SUM(Table2[[#This Row],[Likes]],Table2[[#This Row],[Shares]],Table2[[#This Row],[Comments]])</f>
        <v>4336</v>
      </c>
      <c r="Q1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4" s="29">
        <f>Table2[[#This Row],[Net_Engagement]]/Table2[[#This Row],[Total_Budget]]</f>
        <v>2.1680000000000001E-2</v>
      </c>
      <c r="S1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4" s="32" t="str">
        <f t="shared" si="0"/>
        <v>Before</v>
      </c>
      <c r="V14" s="16">
        <f t="shared" ca="1" si="1"/>
        <v>9.2603179379735359</v>
      </c>
      <c r="W14" s="16">
        <f t="shared" ca="1" si="2"/>
        <v>9.188117865372659</v>
      </c>
      <c r="X14" s="16">
        <f ca="1">(Table1[[#This Row],[Average_During]]-Table1[[#This Row],[Average_Before]])/Table1[[#This Row],[Average_Before]]*100</f>
        <v>-0.77967163853854327</v>
      </c>
    </row>
    <row r="15" spans="1:24">
      <c r="A15" s="38" t="s">
        <v>197</v>
      </c>
      <c r="B15" s="38" t="s">
        <v>31</v>
      </c>
      <c r="C15" s="39">
        <v>45718</v>
      </c>
      <c r="D15" s="40" t="s">
        <v>15</v>
      </c>
      <c r="E15" s="40" t="s">
        <v>49</v>
      </c>
      <c r="F15" s="40">
        <v>4425</v>
      </c>
      <c r="G15" s="40">
        <v>185</v>
      </c>
      <c r="H15" s="40">
        <v>162</v>
      </c>
      <c r="I15" s="40">
        <v>24610</v>
      </c>
      <c r="J15" s="40">
        <v>21342</v>
      </c>
      <c r="K15" s="40">
        <v>158</v>
      </c>
      <c r="L15" s="38" t="s">
        <v>21</v>
      </c>
      <c r="M15" s="38" t="s">
        <v>380</v>
      </c>
      <c r="N15" s="38" t="s">
        <v>22</v>
      </c>
      <c r="O15" s="41">
        <f>((Posts!$F8+Posts!$G8+Posts!$H8)/Posts!$I8)*100</f>
        <v>26.064752360763155</v>
      </c>
      <c r="P15" s="24">
        <f>SUM(Table2[[#This Row],[Likes]],Table2[[#This Row],[Shares]],Table2[[#This Row],[Comments]])</f>
        <v>3122</v>
      </c>
      <c r="Q1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5" s="25">
        <f>Table2[[#This Row],[Net_Engagement]]/Table2[[#This Row],[Total_Budget]]</f>
        <v>1.5610000000000001E-2</v>
      </c>
      <c r="S1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5" s="32" t="str">
        <f t="shared" si="0"/>
        <v>Before</v>
      </c>
      <c r="V15" s="16">
        <f t="shared" ca="1" si="1"/>
        <v>9.2375163304801919</v>
      </c>
      <c r="W15" s="16">
        <f t="shared" ca="1" si="2"/>
        <v>9.5508245585902625</v>
      </c>
      <c r="X15" s="16">
        <f ca="1">(Table1[[#This Row],[Average_During]]-Table1[[#This Row],[Average_Before]])/Table1[[#This Row],[Average_Before]]*100</f>
        <v>3.3916933610853373</v>
      </c>
    </row>
    <row r="16" spans="1:24">
      <c r="A16" s="42" t="s">
        <v>288</v>
      </c>
      <c r="B16" s="42" t="s">
        <v>31</v>
      </c>
      <c r="C16" s="43">
        <v>45457</v>
      </c>
      <c r="D16" s="44" t="s">
        <v>57</v>
      </c>
      <c r="E16" s="44" t="s">
        <v>29</v>
      </c>
      <c r="F16" s="44">
        <v>4722</v>
      </c>
      <c r="G16" s="44">
        <v>310</v>
      </c>
      <c r="H16" s="44">
        <v>344</v>
      </c>
      <c r="I16" s="44">
        <v>27911</v>
      </c>
      <c r="J16" s="44">
        <v>19000</v>
      </c>
      <c r="K16" s="44">
        <v>225</v>
      </c>
      <c r="L16" s="42" t="s">
        <v>21</v>
      </c>
      <c r="M16" s="42" t="s">
        <v>45</v>
      </c>
      <c r="N16" s="42" t="s">
        <v>59</v>
      </c>
      <c r="O16" s="45">
        <f>((Posts!$F9+Posts!$G9+Posts!$H9)/Posts!$I9)*100</f>
        <v>8.7100435029317183</v>
      </c>
      <c r="P16" s="28">
        <f>SUM(Table2[[#This Row],[Likes]],Table2[[#This Row],[Shares]],Table2[[#This Row],[Comments]])</f>
        <v>4227</v>
      </c>
      <c r="Q1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6" s="29">
        <f>Table2[[#This Row],[Net_Engagement]]/Table2[[#This Row],[Total_Budget]]</f>
        <v>2.1135000000000001E-2</v>
      </c>
      <c r="S1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6" s="32" t="str">
        <f t="shared" si="0"/>
        <v>Before</v>
      </c>
      <c r="V16" s="16">
        <f t="shared" ca="1" si="1"/>
        <v>9.2423217502917225</v>
      </c>
      <c r="W16" s="16">
        <f t="shared" ca="1" si="2"/>
        <v>8.7267561586262499</v>
      </c>
      <c r="X16" s="16">
        <f ca="1">(Table1[[#This Row],[Average_During]]-Table1[[#This Row],[Average_Before]])/Table1[[#This Row],[Average_Before]]*100</f>
        <v>-5.5783125235734135</v>
      </c>
    </row>
    <row r="17" spans="1:24">
      <c r="A17" s="38" t="s">
        <v>176</v>
      </c>
      <c r="B17" s="38" t="s">
        <v>24</v>
      </c>
      <c r="C17" s="39">
        <v>45615</v>
      </c>
      <c r="D17" s="40" t="s">
        <v>15</v>
      </c>
      <c r="E17" s="40" t="s">
        <v>41</v>
      </c>
      <c r="F17" s="40">
        <v>3728</v>
      </c>
      <c r="G17" s="40">
        <v>271</v>
      </c>
      <c r="H17" s="40">
        <v>275</v>
      </c>
      <c r="I17" s="40">
        <v>22827</v>
      </c>
      <c r="J17" s="40">
        <v>37034</v>
      </c>
      <c r="K17" s="40">
        <v>199</v>
      </c>
      <c r="L17" s="38" t="s">
        <v>42</v>
      </c>
      <c r="M17" s="38" t="s">
        <v>381</v>
      </c>
      <c r="N17" s="38" t="s">
        <v>18</v>
      </c>
      <c r="O17" s="41">
        <f>((Posts!$F10+Posts!$G10+Posts!$H10)/Posts!$I10)*100</f>
        <v>8.3943337400027112</v>
      </c>
      <c r="P17" s="24">
        <f>SUM(Table2[[#This Row],[Likes]],Table2[[#This Row],[Shares]],Table2[[#This Row],[Comments]])</f>
        <v>4520</v>
      </c>
      <c r="Q1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7" s="25">
        <f>Table2[[#This Row],[Net_Engagement]]/Table2[[#This Row],[Total_Budget]]</f>
        <v>2.2599999999999999E-2</v>
      </c>
      <c r="S1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7" s="32" t="str">
        <f t="shared" si="0"/>
        <v>Before</v>
      </c>
      <c r="V17" s="16">
        <f t="shared" ca="1" si="1"/>
        <v>9.2357409607339775</v>
      </c>
      <c r="W17" s="16">
        <f t="shared" ca="1" si="2"/>
        <v>8.8317148598967794</v>
      </c>
      <c r="X17" s="16">
        <f ca="1">(Table1[[#This Row],[Average_During]]-Table1[[#This Row],[Average_Before]])/Table1[[#This Row],[Average_Before]]*100</f>
        <v>-4.3745932519645896</v>
      </c>
    </row>
    <row r="18" spans="1:24">
      <c r="A18" s="42" t="s">
        <v>108</v>
      </c>
      <c r="B18" s="42" t="s">
        <v>24</v>
      </c>
      <c r="C18" s="43">
        <v>45379</v>
      </c>
      <c r="D18" s="44" t="s">
        <v>15</v>
      </c>
      <c r="E18" s="44" t="s">
        <v>32</v>
      </c>
      <c r="F18" s="44">
        <v>3276</v>
      </c>
      <c r="G18" s="44">
        <v>421</v>
      </c>
      <c r="H18" s="44">
        <v>114</v>
      </c>
      <c r="I18" s="44">
        <v>20580</v>
      </c>
      <c r="J18" s="44">
        <v>30324</v>
      </c>
      <c r="K18" s="44">
        <v>221</v>
      </c>
      <c r="L18" s="42" t="s">
        <v>45</v>
      </c>
      <c r="M18" s="42" t="s">
        <v>381</v>
      </c>
      <c r="N18" s="42" t="s">
        <v>22</v>
      </c>
      <c r="O18" s="45">
        <f>((Posts!$F11+Posts!$G11+Posts!$H11)/Posts!$I11)*100</f>
        <v>12.997310581470833</v>
      </c>
      <c r="P18" s="28">
        <f>SUM(Table2[[#This Row],[Likes]],Table2[[#This Row],[Shares]],Table2[[#This Row],[Comments]])</f>
        <v>1953</v>
      </c>
      <c r="Q1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8" s="29">
        <f>Table2[[#This Row],[Net_Engagement]]/Table2[[#This Row],[Total_Budget]]</f>
        <v>9.7649999999999994E-3</v>
      </c>
      <c r="S1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8" s="32" t="str">
        <f t="shared" si="0"/>
        <v>Before</v>
      </c>
      <c r="V18" s="16">
        <f t="shared" ca="1" si="1"/>
        <v>9.1628811258014515</v>
      </c>
      <c r="W18" s="16">
        <f t="shared" ca="1" si="2"/>
        <v>9.7608377152413421</v>
      </c>
      <c r="X18" s="16">
        <f ca="1">(Table1[[#This Row],[Average_During]]-Table1[[#This Row],[Average_Before]])/Table1[[#This Row],[Average_Before]]*100</f>
        <v>6.5258577649351421</v>
      </c>
    </row>
    <row r="19" spans="1:24">
      <c r="A19" s="38" t="s">
        <v>128</v>
      </c>
      <c r="B19" s="38" t="s">
        <v>24</v>
      </c>
      <c r="C19" s="39">
        <v>45705</v>
      </c>
      <c r="D19" s="40" t="s">
        <v>25</v>
      </c>
      <c r="E19" s="40" t="s">
        <v>35</v>
      </c>
      <c r="F19" s="40">
        <v>4796</v>
      </c>
      <c r="G19" s="40">
        <v>427</v>
      </c>
      <c r="H19" s="40">
        <v>339</v>
      </c>
      <c r="I19" s="40">
        <v>30752</v>
      </c>
      <c r="J19" s="40">
        <v>33870</v>
      </c>
      <c r="K19" s="40">
        <v>298</v>
      </c>
      <c r="L19" s="38" t="s">
        <v>45</v>
      </c>
      <c r="M19" s="38" t="s">
        <v>42</v>
      </c>
      <c r="N19" s="38" t="s">
        <v>18</v>
      </c>
      <c r="O19" s="41">
        <f>((Posts!$F12+Posts!$G12+Posts!$H12)/Posts!$I12)*100</f>
        <v>8.4525482181632388</v>
      </c>
      <c r="P19" s="24">
        <f>SUM(Table2[[#This Row],[Likes]],Table2[[#This Row],[Shares]],Table2[[#This Row],[Comments]])</f>
        <v>4545</v>
      </c>
      <c r="Q1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9" s="25">
        <f>Table2[[#This Row],[Net_Engagement]]/Table2[[#This Row],[Total_Budget]]</f>
        <v>2.0199999999999999E-2</v>
      </c>
      <c r="S1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9" s="32" t="str">
        <f t="shared" si="0"/>
        <v>Before</v>
      </c>
      <c r="V19" s="16">
        <f t="shared" ca="1" si="1"/>
        <v>9.309486702107554</v>
      </c>
      <c r="W19" s="16">
        <f t="shared" ca="1" si="2"/>
        <v>7.8006229922547989</v>
      </c>
      <c r="X19" s="16">
        <f ca="1">(Table1[[#This Row],[Average_During]]-Table1[[#This Row],[Average_Before]])/Table1[[#This Row],[Average_Before]]*100</f>
        <v>-16.207807778608963</v>
      </c>
    </row>
    <row r="20" spans="1:24">
      <c r="A20" s="42" t="s">
        <v>253</v>
      </c>
      <c r="B20" s="42" t="s">
        <v>14</v>
      </c>
      <c r="C20" s="43">
        <v>45832</v>
      </c>
      <c r="D20" s="44" t="s">
        <v>25</v>
      </c>
      <c r="E20" s="44" t="s">
        <v>37</v>
      </c>
      <c r="F20" s="44">
        <v>4902</v>
      </c>
      <c r="G20" s="44">
        <v>422</v>
      </c>
      <c r="H20" s="44">
        <v>376</v>
      </c>
      <c r="I20" s="44">
        <v>31674</v>
      </c>
      <c r="J20" s="44">
        <v>53225</v>
      </c>
      <c r="K20" s="44">
        <v>147</v>
      </c>
      <c r="L20" s="42" t="s">
        <v>42</v>
      </c>
      <c r="M20" s="42" t="s">
        <v>381</v>
      </c>
      <c r="N20" s="42" t="s">
        <v>55</v>
      </c>
      <c r="O20" s="45">
        <f>((Posts!$F13+Posts!$G13+Posts!$H13)/Posts!$I13)*100</f>
        <v>5.4191936281527369</v>
      </c>
      <c r="P20" s="28">
        <f>SUM(Table2[[#This Row],[Likes]],Table2[[#This Row],[Shares]],Table2[[#This Row],[Comments]])</f>
        <v>2045</v>
      </c>
      <c r="Q2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0" s="29">
        <f>Table2[[#This Row],[Net_Engagement]]/Table2[[#This Row],[Total_Budget]]</f>
        <v>1.1685714285714285E-2</v>
      </c>
      <c r="S2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0" s="32" t="str">
        <f t="shared" si="0"/>
        <v>Before</v>
      </c>
      <c r="V20" s="16">
        <f t="shared" ca="1" si="1"/>
        <v>9.1876068567652975</v>
      </c>
      <c r="W20" s="16">
        <f t="shared" ca="1" si="2"/>
        <v>9.3249979125317406</v>
      </c>
      <c r="X20" s="16">
        <f ca="1">(Table1[[#This Row],[Average_During]]-Table1[[#This Row],[Average_Before]])/Table1[[#This Row],[Average_Before]]*100</f>
        <v>1.495395459431039</v>
      </c>
    </row>
    <row r="21" spans="1:24">
      <c r="A21" s="38" t="s">
        <v>290</v>
      </c>
      <c r="B21" s="38" t="s">
        <v>24</v>
      </c>
      <c r="C21" s="39">
        <v>45792</v>
      </c>
      <c r="D21" s="40" t="s">
        <v>15</v>
      </c>
      <c r="E21" s="40" t="s">
        <v>51</v>
      </c>
      <c r="F21" s="40">
        <v>4782</v>
      </c>
      <c r="G21" s="40">
        <v>210</v>
      </c>
      <c r="H21" s="40">
        <v>311</v>
      </c>
      <c r="I21" s="40">
        <v>29793</v>
      </c>
      <c r="J21" s="40">
        <v>37543</v>
      </c>
      <c r="K21" s="40">
        <v>145</v>
      </c>
      <c r="L21" s="38" t="s">
        <v>42</v>
      </c>
      <c r="M21" s="38" t="s">
        <v>381</v>
      </c>
      <c r="N21" s="38" t="s">
        <v>18</v>
      </c>
      <c r="O21" s="41">
        <f>((Posts!$F14+Posts!$G14+Posts!$H14)/Posts!$I14)*100</f>
        <v>7.4550393727863558</v>
      </c>
      <c r="P21" s="24">
        <f>SUM(Table2[[#This Row],[Likes]],Table2[[#This Row],[Shares]],Table2[[#This Row],[Comments]])</f>
        <v>4472</v>
      </c>
      <c r="Q2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1" s="25">
        <f>Table2[[#This Row],[Net_Engagement]]/Table2[[#This Row],[Total_Budget]]</f>
        <v>2.7949999999999999E-2</v>
      </c>
      <c r="S2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1" s="32" t="str">
        <f t="shared" si="0"/>
        <v>Before</v>
      </c>
      <c r="V21" s="16">
        <f t="shared" ca="1" si="1"/>
        <v>9.1958495116853509</v>
      </c>
      <c r="W21" s="16">
        <f t="shared" ca="1" si="2"/>
        <v>9.3996466918154784</v>
      </c>
      <c r="X21" s="16">
        <f ca="1">(Table1[[#This Row],[Average_During]]-Table1[[#This Row],[Average_Before]])/Table1[[#This Row],[Average_Before]]*100</f>
        <v>2.2161865510212877</v>
      </c>
    </row>
    <row r="22" spans="1:24">
      <c r="A22" s="42" t="s">
        <v>107</v>
      </c>
      <c r="B22" s="42" t="s">
        <v>31</v>
      </c>
      <c r="C22" s="43">
        <v>45384</v>
      </c>
      <c r="D22" s="44" t="s">
        <v>57</v>
      </c>
      <c r="E22" s="44" t="s">
        <v>51</v>
      </c>
      <c r="F22" s="44">
        <v>4563</v>
      </c>
      <c r="G22" s="44">
        <v>488</v>
      </c>
      <c r="H22" s="44">
        <v>356</v>
      </c>
      <c r="I22" s="44">
        <v>30619</v>
      </c>
      <c r="J22" s="44">
        <v>23328</v>
      </c>
      <c r="K22" s="44">
        <v>267</v>
      </c>
      <c r="L22" s="42" t="s">
        <v>21</v>
      </c>
      <c r="M22" s="42" t="s">
        <v>45</v>
      </c>
      <c r="N22" s="42" t="s">
        <v>59</v>
      </c>
      <c r="O22" s="45">
        <f>((Posts!$F15+Posts!$G15+Posts!$H15)/Posts!$I15)*100</f>
        <v>8.5063484278785886</v>
      </c>
      <c r="P22" s="28">
        <f>SUM(Table2[[#This Row],[Likes]],Table2[[#This Row],[Shares]],Table2[[#This Row],[Comments]])</f>
        <v>2424</v>
      </c>
      <c r="Q2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22" s="29">
        <f>Table2[[#This Row],[Net_Engagement]]/Table2[[#This Row],[Total_Budget]]</f>
        <v>1.0773333333333333E-2</v>
      </c>
      <c r="S2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2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22" s="32" t="str">
        <f t="shared" si="0"/>
        <v>Before</v>
      </c>
      <c r="V22" s="16">
        <f t="shared" ca="1" si="1"/>
        <v>9.1834244585386475</v>
      </c>
      <c r="W22" s="16">
        <f t="shared" ca="1" si="2"/>
        <v>9.6399264192403589</v>
      </c>
      <c r="X22" s="16">
        <f ca="1">(Table1[[#This Row],[Average_During]]-Table1[[#This Row],[Average_Before]])/Table1[[#This Row],[Average_Before]]*100</f>
        <v>4.9709339121013922</v>
      </c>
    </row>
    <row r="23" spans="1:24">
      <c r="A23" s="38" t="s">
        <v>130</v>
      </c>
      <c r="B23" s="38" t="s">
        <v>24</v>
      </c>
      <c r="C23" s="39">
        <v>45495</v>
      </c>
      <c r="D23" s="40" t="s">
        <v>25</v>
      </c>
      <c r="E23" s="40" t="s">
        <v>29</v>
      </c>
      <c r="F23" s="40">
        <v>3336</v>
      </c>
      <c r="G23" s="40">
        <v>229</v>
      </c>
      <c r="H23" s="40">
        <v>337</v>
      </c>
      <c r="I23" s="40">
        <v>22117</v>
      </c>
      <c r="J23" s="40">
        <v>26205</v>
      </c>
      <c r="K23" s="40">
        <v>160</v>
      </c>
      <c r="L23" s="38" t="s">
        <v>379</v>
      </c>
      <c r="M23" s="38" t="s">
        <v>42</v>
      </c>
      <c r="N23" s="38" t="s">
        <v>18</v>
      </c>
      <c r="O23" s="41">
        <f>((Posts!$F16+Posts!$G16+Posts!$H16)/Posts!$I16)*100</f>
        <v>11.27440520644404</v>
      </c>
      <c r="P23" s="24">
        <f>SUM(Table2[[#This Row],[Likes]],Table2[[#This Row],[Shares]],Table2[[#This Row],[Comments]])</f>
        <v>5595</v>
      </c>
      <c r="Q2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3" s="25">
        <f>Table2[[#This Row],[Net_Engagement]]/Table2[[#This Row],[Total_Budget]]</f>
        <v>2.7975E-2</v>
      </c>
      <c r="S2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3" s="32" t="str">
        <f t="shared" si="0"/>
        <v>Before</v>
      </c>
      <c r="V23" s="16">
        <f t="shared" ca="1" si="1"/>
        <v>9.2006735846575989</v>
      </c>
      <c r="W23" s="16">
        <f t="shared" ca="1" si="2"/>
        <v>9.4671919414263854</v>
      </c>
      <c r="X23" s="16">
        <f ca="1">(Table1[[#This Row],[Average_During]]-Table1[[#This Row],[Average_Before]])/Table1[[#This Row],[Average_Before]]*100</f>
        <v>2.8967265745979072</v>
      </c>
    </row>
    <row r="24" spans="1:24">
      <c r="A24" s="42" t="s">
        <v>217</v>
      </c>
      <c r="B24" s="42" t="s">
        <v>24</v>
      </c>
      <c r="C24" s="43">
        <v>45606</v>
      </c>
      <c r="D24" s="44" t="s">
        <v>15</v>
      </c>
      <c r="E24" s="44" t="s">
        <v>20</v>
      </c>
      <c r="F24" s="44">
        <v>4823</v>
      </c>
      <c r="G24" s="44">
        <v>489</v>
      </c>
      <c r="H24" s="44">
        <v>302</v>
      </c>
      <c r="I24" s="44">
        <v>32470</v>
      </c>
      <c r="J24" s="44">
        <v>31861</v>
      </c>
      <c r="K24" s="44">
        <v>178</v>
      </c>
      <c r="L24" s="42" t="s">
        <v>45</v>
      </c>
      <c r="M24" s="42" t="s">
        <v>381</v>
      </c>
      <c r="N24" s="42" t="s">
        <v>22</v>
      </c>
      <c r="O24" s="45">
        <f>((Posts!$F17+Posts!$G17+Posts!$H17)/Posts!$I17)*100</f>
        <v>9.3810966751068872</v>
      </c>
      <c r="P24" s="28">
        <f>SUM(Table2[[#This Row],[Likes]],Table2[[#This Row],[Shares]],Table2[[#This Row],[Comments]])</f>
        <v>3362</v>
      </c>
      <c r="Q2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4" s="29">
        <f>Table2[[#This Row],[Net_Engagement]]/Table2[[#This Row],[Total_Budget]]</f>
        <v>1.921142857142857E-2</v>
      </c>
      <c r="S2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4" s="32" t="str">
        <f t="shared" si="0"/>
        <v>Before</v>
      </c>
      <c r="V24" s="16">
        <f t="shared" ca="1" si="1"/>
        <v>9.2893379775759843</v>
      </c>
      <c r="W24" s="16">
        <f t="shared" ca="1" si="2"/>
        <v>8.1887021541684479</v>
      </c>
      <c r="X24" s="16">
        <f ca="1">(Table1[[#This Row],[Average_During]]-Table1[[#This Row],[Average_Before]])/Table1[[#This Row],[Average_Before]]*100</f>
        <v>-11.848377420053167</v>
      </c>
    </row>
    <row r="25" spans="1:24">
      <c r="A25" s="38" t="s">
        <v>279</v>
      </c>
      <c r="B25" s="38" t="s">
        <v>24</v>
      </c>
      <c r="C25" s="39">
        <v>45639</v>
      </c>
      <c r="D25" s="40" t="s">
        <v>25</v>
      </c>
      <c r="E25" s="40" t="s">
        <v>26</v>
      </c>
      <c r="F25" s="40">
        <v>4984</v>
      </c>
      <c r="G25" s="40">
        <v>300</v>
      </c>
      <c r="H25" s="40">
        <v>338</v>
      </c>
      <c r="I25" s="40">
        <v>32900</v>
      </c>
      <c r="J25" s="40">
        <v>31691</v>
      </c>
      <c r="K25" s="40">
        <v>160</v>
      </c>
      <c r="L25" s="38" t="s">
        <v>379</v>
      </c>
      <c r="M25" s="38" t="s">
        <v>42</v>
      </c>
      <c r="N25" s="38" t="s">
        <v>18</v>
      </c>
      <c r="O25" s="41">
        <f>((Posts!$F18+Posts!$G18+Posts!$H18)/Posts!$I18)*100</f>
        <v>4.7214969538729328</v>
      </c>
      <c r="P25" s="24">
        <f>SUM(Table2[[#This Row],[Likes]],Table2[[#This Row],[Shares]],Table2[[#This Row],[Comments]])</f>
        <v>3166</v>
      </c>
      <c r="Q2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5" s="25">
        <f>Table2[[#This Row],[Net_Engagement]]/Table2[[#This Row],[Total_Budget]]</f>
        <v>1.97875E-2</v>
      </c>
      <c r="S2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5" s="32" t="str">
        <f t="shared" si="0"/>
        <v>Before</v>
      </c>
      <c r="V25" s="16">
        <f t="shared" ca="1" si="1"/>
        <v>9.0828306583125489</v>
      </c>
      <c r="W25" s="16">
        <f t="shared" ca="1" si="2"/>
        <v>10.910010833569263</v>
      </c>
      <c r="X25" s="16">
        <f ca="1">(Table1[[#This Row],[Average_During]]-Table1[[#This Row],[Average_Before]])/Table1[[#This Row],[Average_Before]]*100</f>
        <v>20.116858323065735</v>
      </c>
    </row>
    <row r="26" spans="1:24">
      <c r="A26" s="42" t="s">
        <v>274</v>
      </c>
      <c r="B26" s="42" t="s">
        <v>24</v>
      </c>
      <c r="C26" s="43">
        <v>45324</v>
      </c>
      <c r="D26" s="44" t="s">
        <v>15</v>
      </c>
      <c r="E26" s="44" t="s">
        <v>49</v>
      </c>
      <c r="F26" s="44">
        <v>3818</v>
      </c>
      <c r="G26" s="44">
        <v>115</v>
      </c>
      <c r="H26" s="44">
        <v>286</v>
      </c>
      <c r="I26" s="44">
        <v>25127</v>
      </c>
      <c r="J26" s="44">
        <v>22277</v>
      </c>
      <c r="K26" s="44">
        <v>263</v>
      </c>
      <c r="L26" s="42" t="s">
        <v>42</v>
      </c>
      <c r="M26" s="42" t="s">
        <v>381</v>
      </c>
      <c r="N26" s="42" t="s">
        <v>18</v>
      </c>
      <c r="O26" s="45">
        <f>((Posts!$F19+Posts!$G19+Posts!$H19)/Posts!$I19)*100</f>
        <v>14.080798066794721</v>
      </c>
      <c r="P26" s="28">
        <f>SUM(Table2[[#This Row],[Likes]],Table2[[#This Row],[Shares]],Table2[[#This Row],[Comments]])</f>
        <v>4425</v>
      </c>
      <c r="Q2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6" s="29">
        <f>Table2[[#This Row],[Net_Engagement]]/Table2[[#This Row],[Total_Budget]]</f>
        <v>2.5285714285714286E-2</v>
      </c>
      <c r="S2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6" s="32" t="str">
        <f t="shared" si="0"/>
        <v>Before</v>
      </c>
      <c r="V26" s="16">
        <f t="shared" ca="1" si="1"/>
        <v>9.1456550018644176</v>
      </c>
      <c r="W26" s="16">
        <f t="shared" ca="1" si="2"/>
        <v>10.30193740108416</v>
      </c>
      <c r="X26" s="16">
        <f ca="1">(Table1[[#This Row],[Average_During]]-Table1[[#This Row],[Average_Before]])/Table1[[#This Row],[Average_Before]]*100</f>
        <v>12.642969792584838</v>
      </c>
    </row>
    <row r="27" spans="1:24">
      <c r="A27" s="38" t="s">
        <v>223</v>
      </c>
      <c r="B27" s="38" t="s">
        <v>24</v>
      </c>
      <c r="C27" s="39">
        <v>45496</v>
      </c>
      <c r="D27" s="40" t="s">
        <v>15</v>
      </c>
      <c r="E27" s="40" t="s">
        <v>41</v>
      </c>
      <c r="F27" s="40">
        <v>3204</v>
      </c>
      <c r="G27" s="40">
        <v>398</v>
      </c>
      <c r="H27" s="40">
        <v>85</v>
      </c>
      <c r="I27" s="40">
        <v>22020</v>
      </c>
      <c r="J27" s="40">
        <v>58353</v>
      </c>
      <c r="K27" s="40">
        <v>286</v>
      </c>
      <c r="L27" s="38" t="s">
        <v>45</v>
      </c>
      <c r="M27" s="38" t="s">
        <v>381</v>
      </c>
      <c r="N27" s="38" t="s">
        <v>22</v>
      </c>
      <c r="O27" s="41">
        <f>((Posts!$F20+Posts!$G20+Posts!$H20)/Posts!$I20)*100</f>
        <v>6.4255640042732365</v>
      </c>
      <c r="P27" s="24">
        <f>SUM(Table2[[#This Row],[Likes]],Table2[[#This Row],[Shares]],Table2[[#This Row],[Comments]])</f>
        <v>2861</v>
      </c>
      <c r="Q2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7" s="25">
        <f>Table2[[#This Row],[Net_Engagement]]/Table2[[#This Row],[Total_Budget]]</f>
        <v>1.4305E-2</v>
      </c>
      <c r="S2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7" s="32" t="str">
        <f t="shared" si="0"/>
        <v>Before</v>
      </c>
      <c r="V27" s="16">
        <f t="shared" ca="1" si="1"/>
        <v>9.1235443077335319</v>
      </c>
      <c r="W27" s="16">
        <f t="shared" ca="1" si="2"/>
        <v>10.344830340952221</v>
      </c>
      <c r="X27" s="16">
        <f ca="1">(Table1[[#This Row],[Average_During]]-Table1[[#This Row],[Average_Before]])/Table1[[#This Row],[Average_Before]]*100</f>
        <v>13.386091983829921</v>
      </c>
    </row>
    <row r="28" spans="1:24">
      <c r="A28" s="42" t="s">
        <v>151</v>
      </c>
      <c r="B28" s="42" t="s">
        <v>31</v>
      </c>
      <c r="C28" s="43">
        <v>45493</v>
      </c>
      <c r="D28" s="44" t="s">
        <v>57</v>
      </c>
      <c r="E28" s="44" t="s">
        <v>32</v>
      </c>
      <c r="F28" s="44">
        <v>4955</v>
      </c>
      <c r="G28" s="44">
        <v>299</v>
      </c>
      <c r="H28" s="44">
        <v>345</v>
      </c>
      <c r="I28" s="44">
        <v>33644</v>
      </c>
      <c r="J28" s="44">
        <v>43547</v>
      </c>
      <c r="K28" s="44">
        <v>194</v>
      </c>
      <c r="L28" s="42" t="s">
        <v>21</v>
      </c>
      <c r="M28" s="42" t="s">
        <v>45</v>
      </c>
      <c r="N28" s="42" t="s">
        <v>59</v>
      </c>
      <c r="O28" s="45">
        <f>((Posts!$F21+Posts!$G21+Posts!$H21)/Posts!$I21)*100</f>
        <v>15.347655981879333</v>
      </c>
      <c r="P28" s="28">
        <f>SUM(Table2[[#This Row],[Likes]],Table2[[#This Row],[Shares]],Table2[[#This Row],[Comments]])</f>
        <v>3523</v>
      </c>
      <c r="Q2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8" s="29">
        <f>Table2[[#This Row],[Net_Engagement]]/Table2[[#This Row],[Total_Budget]]</f>
        <v>1.7614999999999999E-2</v>
      </c>
      <c r="S2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8" s="32" t="str">
        <f t="shared" si="0"/>
        <v>Before</v>
      </c>
      <c r="V28" s="16">
        <f t="shared" ca="1" si="1"/>
        <v>9.2515864972818491</v>
      </c>
      <c r="W28" s="16">
        <f t="shared" ca="1" si="2"/>
        <v>8.8087787825197257</v>
      </c>
      <c r="X28" s="16">
        <f ca="1">(Table1[[#This Row],[Average_During]]-Table1[[#This Row],[Average_Before]])/Table1[[#This Row],[Average_Before]]*100</f>
        <v>-4.7862895179353506</v>
      </c>
    </row>
    <row r="29" spans="1:24">
      <c r="A29" s="38" t="s">
        <v>177</v>
      </c>
      <c r="B29" s="38" t="s">
        <v>24</v>
      </c>
      <c r="C29" s="39">
        <v>45387</v>
      </c>
      <c r="D29" s="40" t="s">
        <v>25</v>
      </c>
      <c r="E29" s="40" t="s">
        <v>26</v>
      </c>
      <c r="F29" s="40">
        <v>4965</v>
      </c>
      <c r="G29" s="40">
        <v>175</v>
      </c>
      <c r="H29" s="40">
        <v>307</v>
      </c>
      <c r="I29" s="40">
        <v>32793</v>
      </c>
      <c r="J29" s="40">
        <v>43412</v>
      </c>
      <c r="K29" s="40">
        <v>296</v>
      </c>
      <c r="L29" s="38" t="s">
        <v>45</v>
      </c>
      <c r="M29" s="38" t="s">
        <v>42</v>
      </c>
      <c r="N29" s="38" t="s">
        <v>18</v>
      </c>
      <c r="O29" s="41">
        <f>((Posts!$F22+Posts!$G22+Posts!$H22)/Posts!$I22)*100</f>
        <v>4.3543867212761374</v>
      </c>
      <c r="P29" s="24">
        <f>SUM(Table2[[#This Row],[Likes]],Table2[[#This Row],[Shares]],Table2[[#This Row],[Comments]])</f>
        <v>4071</v>
      </c>
      <c r="Q2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9" s="25">
        <f>Table2[[#This Row],[Net_Engagement]]/Table2[[#This Row],[Total_Budget]]</f>
        <v>2.3262857142857144E-2</v>
      </c>
      <c r="S2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9" s="32" t="str">
        <f t="shared" si="0"/>
        <v>Before</v>
      </c>
      <c r="V29" s="16">
        <f t="shared" ca="1" si="1"/>
        <v>9.1208368814715133</v>
      </c>
      <c r="W29" s="16">
        <f t="shared" ca="1" si="2"/>
        <v>10.203720313824252</v>
      </c>
      <c r="X29" s="16">
        <f ca="1">(Table1[[#This Row],[Average_During]]-Table1[[#This Row],[Average_Before]])/Table1[[#This Row],[Average_Before]]*100</f>
        <v>11.872632373818222</v>
      </c>
    </row>
    <row r="30" spans="1:24">
      <c r="A30" s="42" t="s">
        <v>286</v>
      </c>
      <c r="B30" s="42" t="s">
        <v>24</v>
      </c>
      <c r="C30" s="43">
        <v>45481</v>
      </c>
      <c r="D30" s="44" t="s">
        <v>25</v>
      </c>
      <c r="E30" s="44" t="s">
        <v>41</v>
      </c>
      <c r="F30" s="44">
        <v>2981</v>
      </c>
      <c r="G30" s="44">
        <v>258</v>
      </c>
      <c r="H30" s="44">
        <v>168</v>
      </c>
      <c r="I30" s="44">
        <v>20677</v>
      </c>
      <c r="J30" s="44">
        <v>68290</v>
      </c>
      <c r="K30" s="44">
        <v>130</v>
      </c>
      <c r="L30" s="42" t="s">
        <v>45</v>
      </c>
      <c r="M30" s="42" t="s">
        <v>42</v>
      </c>
      <c r="N30" s="42" t="s">
        <v>18</v>
      </c>
      <c r="O30" s="45">
        <f>((Posts!$F23+Posts!$G23+Posts!$H23)/Posts!$I23)*100</f>
        <v>19.548583208133888</v>
      </c>
      <c r="P30" s="28">
        <f>SUM(Table2[[#This Row],[Likes]],Table2[[#This Row],[Shares]],Table2[[#This Row],[Comments]])</f>
        <v>3993</v>
      </c>
      <c r="Q3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0" s="29">
        <f>Table2[[#This Row],[Net_Engagement]]/Table2[[#This Row],[Total_Budget]]</f>
        <v>1.9965E-2</v>
      </c>
      <c r="S3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0" s="32" t="str">
        <f t="shared" si="0"/>
        <v>Before</v>
      </c>
      <c r="V30" s="16">
        <f t="shared" ca="1" si="1"/>
        <v>9.245209946885927</v>
      </c>
      <c r="W30" s="16">
        <f t="shared" ca="1" si="2"/>
        <v>8.8314116247173438</v>
      </c>
      <c r="X30" s="16">
        <f ca="1">(Table1[[#This Row],[Average_During]]-Table1[[#This Row],[Average_Before]])/Table1[[#This Row],[Average_Before]]*100</f>
        <v>-4.4758131458979289</v>
      </c>
    </row>
    <row r="31" spans="1:24">
      <c r="A31" s="38" t="s">
        <v>212</v>
      </c>
      <c r="B31" s="38" t="s">
        <v>31</v>
      </c>
      <c r="C31" s="39">
        <v>45400</v>
      </c>
      <c r="D31" s="40" t="s">
        <v>15</v>
      </c>
      <c r="E31" s="40" t="s">
        <v>20</v>
      </c>
      <c r="F31" s="40">
        <v>4023</v>
      </c>
      <c r="G31" s="40">
        <v>293</v>
      </c>
      <c r="H31" s="40">
        <v>91</v>
      </c>
      <c r="I31" s="40">
        <v>26795</v>
      </c>
      <c r="J31" s="40">
        <v>28924</v>
      </c>
      <c r="K31" s="40">
        <v>278</v>
      </c>
      <c r="L31" s="38" t="s">
        <v>21</v>
      </c>
      <c r="M31" s="38" t="s">
        <v>380</v>
      </c>
      <c r="N31" s="38" t="s">
        <v>22</v>
      </c>
      <c r="O31" s="41">
        <f>((Posts!$F24+Posts!$G24+Posts!$H24)/Posts!$I24)*100</f>
        <v>8.0047619047619047</v>
      </c>
      <c r="P31" s="24">
        <f>SUM(Table2[[#This Row],[Likes]],Table2[[#This Row],[Shares]],Table2[[#This Row],[Comments]])</f>
        <v>2773</v>
      </c>
      <c r="Q3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1" s="25">
        <f>Table2[[#This Row],[Net_Engagement]]/Table2[[#This Row],[Total_Budget]]</f>
        <v>1.3865000000000001E-2</v>
      </c>
      <c r="S3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1" s="32" t="str">
        <f t="shared" si="0"/>
        <v>Before</v>
      </c>
      <c r="V31" s="16">
        <f t="shared" ca="1" si="1"/>
        <v>9.144489421348279</v>
      </c>
      <c r="W31" s="16">
        <f t="shared" ca="1" si="2"/>
        <v>9.6155377410906286</v>
      </c>
      <c r="X31" s="16">
        <f ca="1">(Table1[[#This Row],[Average_During]]-Table1[[#This Row],[Average_Before]])/Table1[[#This Row],[Average_Before]]*100</f>
        <v>5.1511713561903543</v>
      </c>
    </row>
    <row r="32" spans="1:24">
      <c r="A32" s="42" t="s">
        <v>124</v>
      </c>
      <c r="B32" s="42" t="s">
        <v>24</v>
      </c>
      <c r="C32" s="43">
        <v>45507</v>
      </c>
      <c r="D32" s="44" t="s">
        <v>15</v>
      </c>
      <c r="E32" s="44" t="s">
        <v>51</v>
      </c>
      <c r="F32" s="44">
        <v>4247</v>
      </c>
      <c r="G32" s="44">
        <v>390</v>
      </c>
      <c r="H32" s="44">
        <v>213</v>
      </c>
      <c r="I32" s="44">
        <v>29785</v>
      </c>
      <c r="J32" s="44">
        <v>57768</v>
      </c>
      <c r="K32" s="44">
        <v>122</v>
      </c>
      <c r="L32" s="42" t="s">
        <v>42</v>
      </c>
      <c r="M32" s="42" t="s">
        <v>381</v>
      </c>
      <c r="N32" s="42" t="s">
        <v>18</v>
      </c>
      <c r="O32" s="45">
        <f>((Posts!$F25+Posts!$G25+Posts!$H25)/Posts!$I25)*100</f>
        <v>11.026748397882418</v>
      </c>
      <c r="P32" s="28">
        <f>SUM(Table2[[#This Row],[Likes]],Table2[[#This Row],[Shares]],Table2[[#This Row],[Comments]])</f>
        <v>4530</v>
      </c>
      <c r="Q3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2" s="29">
        <f>Table2[[#This Row],[Net_Engagement]]/Table2[[#This Row],[Total_Budget]]</f>
        <v>2.265E-2</v>
      </c>
      <c r="S3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2" s="32" t="str">
        <f t="shared" si="0"/>
        <v>Before</v>
      </c>
      <c r="V32" s="16">
        <f t="shared" ca="1" si="1"/>
        <v>9.1803833170402545</v>
      </c>
      <c r="W32" s="16">
        <f t="shared" ca="1" si="2"/>
        <v>9.2112875572779931</v>
      </c>
      <c r="X32" s="16">
        <f ca="1">(Table1[[#This Row],[Average_During]]-Table1[[#This Row],[Average_Before]])/Table1[[#This Row],[Average_Before]]*100</f>
        <v>0.33663344078863722</v>
      </c>
    </row>
    <row r="33" spans="1:24">
      <c r="A33" s="38" t="s">
        <v>73</v>
      </c>
      <c r="B33" s="38" t="s">
        <v>24</v>
      </c>
      <c r="C33" s="39">
        <v>45574</v>
      </c>
      <c r="D33" s="40" t="s">
        <v>25</v>
      </c>
      <c r="E33" s="40" t="s">
        <v>16</v>
      </c>
      <c r="F33" s="40">
        <v>4929</v>
      </c>
      <c r="G33" s="40">
        <v>182</v>
      </c>
      <c r="H33" s="40">
        <v>95</v>
      </c>
      <c r="I33" s="40">
        <v>32181</v>
      </c>
      <c r="J33" s="40">
        <v>31084</v>
      </c>
      <c r="K33" s="40">
        <v>289</v>
      </c>
      <c r="L33" s="38" t="s">
        <v>21</v>
      </c>
      <c r="M33" s="38" t="s">
        <v>379</v>
      </c>
      <c r="N33" s="38" t="s">
        <v>18</v>
      </c>
      <c r="O33" s="41">
        <f>((Posts!$F26+Posts!$G26+Posts!$H26)/Posts!$I26)*100</f>
        <v>8.1036535115831878</v>
      </c>
      <c r="P33" s="24">
        <f>SUM(Table2[[#This Row],[Likes]],Table2[[#This Row],[Shares]],Table2[[#This Row],[Comments]])</f>
        <v>3261</v>
      </c>
      <c r="Q3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3" s="25">
        <f>Table2[[#This Row],[Net_Engagement]]/Table2[[#This Row],[Total_Budget]]</f>
        <v>1.6305E-2</v>
      </c>
      <c r="S3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3" s="32" t="str">
        <f t="shared" si="0"/>
        <v>Before</v>
      </c>
      <c r="V33" s="16">
        <f t="shared" ca="1" si="1"/>
        <v>9.2329010819966566</v>
      </c>
      <c r="W33" s="16">
        <f t="shared" ca="1" si="2"/>
        <v>8.4467419117939606</v>
      </c>
      <c r="X33" s="16">
        <f ca="1">(Table1[[#This Row],[Average_During]]-Table1[[#This Row],[Average_Before]])/Table1[[#This Row],[Average_Before]]*100</f>
        <v>-8.5147578558556969</v>
      </c>
    </row>
    <row r="34" spans="1:24">
      <c r="A34" s="42" t="s">
        <v>207</v>
      </c>
      <c r="B34" s="42" t="s">
        <v>31</v>
      </c>
      <c r="C34" s="43">
        <v>45684</v>
      </c>
      <c r="D34" s="44" t="s">
        <v>15</v>
      </c>
      <c r="E34" s="44" t="s">
        <v>29</v>
      </c>
      <c r="F34" s="44">
        <v>4294</v>
      </c>
      <c r="G34" s="44">
        <v>423</v>
      </c>
      <c r="H34" s="44">
        <v>93</v>
      </c>
      <c r="I34" s="44">
        <v>29828</v>
      </c>
      <c r="J34" s="44">
        <v>73144</v>
      </c>
      <c r="K34" s="44">
        <v>298</v>
      </c>
      <c r="L34" s="42" t="s">
        <v>21</v>
      </c>
      <c r="M34" s="42" t="s">
        <v>380</v>
      </c>
      <c r="N34" s="42" t="s">
        <v>22</v>
      </c>
      <c r="O34" s="45">
        <f>((Posts!$F27+Posts!$G27+Posts!$H27)/Posts!$I27)*100</f>
        <v>5.1734114498571477</v>
      </c>
      <c r="P34" s="28">
        <f>SUM(Table2[[#This Row],[Likes]],Table2[[#This Row],[Shares]],Table2[[#This Row],[Comments]])</f>
        <v>5206</v>
      </c>
      <c r="Q3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4" s="29">
        <f>Table2[[#This Row],[Net_Engagement]]/Table2[[#This Row],[Total_Budget]]</f>
        <v>2.6030000000000001E-2</v>
      </c>
      <c r="S3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4" s="32" t="str">
        <f t="shared" si="0"/>
        <v>During</v>
      </c>
      <c r="V34" s="16">
        <f t="shared" ca="1" si="1"/>
        <v>9.2034970480529292</v>
      </c>
      <c r="W34" s="16">
        <f t="shared" ca="1" si="2"/>
        <v>8.8781057230971658</v>
      </c>
      <c r="X34" s="16">
        <f ca="1">(Table1[[#This Row],[Average_During]]-Table1[[#This Row],[Average_Before]])/Table1[[#This Row],[Average_Before]]*100</f>
        <v>-3.5355183280533833</v>
      </c>
    </row>
    <row r="35" spans="1:24">
      <c r="A35" s="38" t="s">
        <v>198</v>
      </c>
      <c r="B35" s="38" t="s">
        <v>24</v>
      </c>
      <c r="C35" s="39">
        <v>45737</v>
      </c>
      <c r="D35" s="40" t="s">
        <v>25</v>
      </c>
      <c r="E35" s="40" t="s">
        <v>26</v>
      </c>
      <c r="F35" s="40">
        <v>4609</v>
      </c>
      <c r="G35" s="40">
        <v>427</v>
      </c>
      <c r="H35" s="40">
        <v>395</v>
      </c>
      <c r="I35" s="40">
        <v>33698</v>
      </c>
      <c r="J35" s="40">
        <v>29259</v>
      </c>
      <c r="K35" s="40">
        <v>216</v>
      </c>
      <c r="L35" s="38" t="s">
        <v>21</v>
      </c>
      <c r="M35" s="38" t="s">
        <v>379</v>
      </c>
      <c r="N35" s="38" t="s">
        <v>18</v>
      </c>
      <c r="O35" s="41">
        <f>((Posts!$F28+Posts!$G28+Posts!$H28)/Posts!$I28)*100</f>
        <v>11.363049929041415</v>
      </c>
      <c r="P35" s="24">
        <f>SUM(Table2[[#This Row],[Likes]],Table2[[#This Row],[Shares]],Table2[[#This Row],[Comments]])</f>
        <v>1689</v>
      </c>
      <c r="Q3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5" s="25">
        <f>Table2[[#This Row],[Net_Engagement]]/Table2[[#This Row],[Total_Budget]]</f>
        <v>8.4449999999999994E-3</v>
      </c>
      <c r="S3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5" s="32" t="str">
        <f t="shared" si="0"/>
        <v>Before</v>
      </c>
      <c r="V35" s="16">
        <f t="shared" ca="1" si="1"/>
        <v>9.1730581842482497</v>
      </c>
      <c r="W35" s="16">
        <f t="shared" ca="1" si="2"/>
        <v>9.4661835733264077</v>
      </c>
      <c r="X35" s="16">
        <f ca="1">(Table1[[#This Row],[Average_During]]-Table1[[#This Row],[Average_Before]])/Table1[[#This Row],[Average_Before]]*100</f>
        <v>3.1955034317944886</v>
      </c>
    </row>
    <row r="36" spans="1:24">
      <c r="A36" s="42" t="s">
        <v>111</v>
      </c>
      <c r="B36" s="42" t="s">
        <v>24</v>
      </c>
      <c r="C36" s="43">
        <v>45302</v>
      </c>
      <c r="D36" s="44" t="s">
        <v>15</v>
      </c>
      <c r="E36" s="44" t="s">
        <v>35</v>
      </c>
      <c r="F36" s="44">
        <v>4218</v>
      </c>
      <c r="G36" s="44">
        <v>247</v>
      </c>
      <c r="H36" s="44">
        <v>183</v>
      </c>
      <c r="I36" s="44">
        <v>28914</v>
      </c>
      <c r="J36" s="44">
        <v>18310</v>
      </c>
      <c r="K36" s="44">
        <v>135</v>
      </c>
      <c r="L36" s="42" t="s">
        <v>45</v>
      </c>
      <c r="M36" s="42" t="s">
        <v>381</v>
      </c>
      <c r="N36" s="42" t="s">
        <v>22</v>
      </c>
      <c r="O36" s="45">
        <f>((Posts!$F29+Posts!$G29+Posts!$H29)/Posts!$I29)*100</f>
        <v>8.2056760461178744</v>
      </c>
      <c r="P36" s="28">
        <f>SUM(Table2[[#This Row],[Likes]],Table2[[#This Row],[Shares]],Table2[[#This Row],[Comments]])</f>
        <v>3916</v>
      </c>
      <c r="Q3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6" s="29">
        <f>Table2[[#This Row],[Net_Engagement]]/Table2[[#This Row],[Total_Budget]]</f>
        <v>1.958E-2</v>
      </c>
      <c r="S3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6" s="32" t="str">
        <f t="shared" si="0"/>
        <v>Before</v>
      </c>
      <c r="V36" s="16">
        <f t="shared" ca="1" si="1"/>
        <v>9.1894877242268223</v>
      </c>
      <c r="W36" s="16">
        <f t="shared" ca="1" si="2"/>
        <v>9.1488503053578434</v>
      </c>
      <c r="X36" s="16">
        <f ca="1">(Table1[[#This Row],[Average_During]]-Table1[[#This Row],[Average_Before]])/Table1[[#This Row],[Average_Before]]*100</f>
        <v>-0.44221636818605131</v>
      </c>
    </row>
    <row r="37" spans="1:24">
      <c r="A37" s="38" t="s">
        <v>150</v>
      </c>
      <c r="B37" s="38" t="s">
        <v>14</v>
      </c>
      <c r="C37" s="39">
        <v>45469</v>
      </c>
      <c r="D37" s="40" t="s">
        <v>15</v>
      </c>
      <c r="E37" s="40" t="s">
        <v>26</v>
      </c>
      <c r="F37" s="40">
        <v>3253</v>
      </c>
      <c r="G37" s="40">
        <v>483</v>
      </c>
      <c r="H37" s="40">
        <v>336</v>
      </c>
      <c r="I37" s="40">
        <v>25397</v>
      </c>
      <c r="J37" s="40">
        <v>51485</v>
      </c>
      <c r="K37" s="40">
        <v>131</v>
      </c>
      <c r="L37" s="38" t="s">
        <v>21</v>
      </c>
      <c r="M37" s="38" t="s">
        <v>381</v>
      </c>
      <c r="N37" s="38" t="s">
        <v>22</v>
      </c>
      <c r="O37" s="41">
        <f>((Posts!$F30+Posts!$G30+Posts!$H30)/Posts!$I30)*100</f>
        <v>6.9526910553533803</v>
      </c>
      <c r="P37" s="24">
        <f>SUM(Table2[[#This Row],[Likes]],Table2[[#This Row],[Shares]],Table2[[#This Row],[Comments]])</f>
        <v>2739</v>
      </c>
      <c r="Q3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37" s="25">
        <f>Table2[[#This Row],[Net_Engagement]]/Table2[[#This Row],[Total_Budget]]</f>
        <v>1.7118749999999999E-2</v>
      </c>
      <c r="S3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3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37" s="32" t="str">
        <f t="shared" si="0"/>
        <v>Before</v>
      </c>
      <c r="V37" s="16">
        <f t="shared" ca="1" si="1"/>
        <v>9.2534812527775312</v>
      </c>
      <c r="W37" s="16">
        <f t="shared" ca="1" si="2"/>
        <v>8.3917224295243287</v>
      </c>
      <c r="X37" s="16">
        <f ca="1">(Table1[[#This Row],[Average_During]]-Table1[[#This Row],[Average_Before]])/Table1[[#This Row],[Average_Before]]*100</f>
        <v>-9.3128067125497935</v>
      </c>
    </row>
    <row r="38" spans="1:24">
      <c r="A38" s="42" t="s">
        <v>88</v>
      </c>
      <c r="B38" s="42" t="s">
        <v>14</v>
      </c>
      <c r="C38" s="43">
        <v>45693</v>
      </c>
      <c r="D38" s="44" t="s">
        <v>25</v>
      </c>
      <c r="E38" s="44" t="s">
        <v>32</v>
      </c>
      <c r="F38" s="44">
        <v>3074</v>
      </c>
      <c r="G38" s="44">
        <v>371</v>
      </c>
      <c r="H38" s="44">
        <v>348</v>
      </c>
      <c r="I38" s="44">
        <v>24104</v>
      </c>
      <c r="J38" s="44">
        <v>57803</v>
      </c>
      <c r="K38" s="44">
        <v>213</v>
      </c>
      <c r="L38" s="42" t="s">
        <v>42</v>
      </c>
      <c r="M38" s="42" t="s">
        <v>381</v>
      </c>
      <c r="N38" s="42" t="s">
        <v>55</v>
      </c>
      <c r="O38" s="45">
        <f>((Posts!$F31+Posts!$G31+Posts!$H31)/Posts!$I31)*100</f>
        <v>10.399399962497656</v>
      </c>
      <c r="P38" s="28">
        <f>SUM(Table2[[#This Row],[Likes]],Table2[[#This Row],[Shares]],Table2[[#This Row],[Comments]])</f>
        <v>4880</v>
      </c>
      <c r="Q3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8" s="29">
        <f>Table2[[#This Row],[Net_Engagement]]/Table2[[#This Row],[Total_Budget]]</f>
        <v>2.4400000000000002E-2</v>
      </c>
      <c r="S3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8" s="32" t="str">
        <f t="shared" si="0"/>
        <v>During</v>
      </c>
      <c r="V38" s="16">
        <f t="shared" ca="1" si="1"/>
        <v>9.2165685657741605</v>
      </c>
      <c r="W38" s="16">
        <f t="shared" ca="1" si="2"/>
        <v>8.9700161612878428</v>
      </c>
      <c r="X38" s="16">
        <f ca="1">(Table1[[#This Row],[Average_During]]-Table1[[#This Row],[Average_Before]])/Table1[[#This Row],[Average_Before]]*100</f>
        <v>-2.675099769798198</v>
      </c>
    </row>
    <row r="39" spans="1:24">
      <c r="A39" s="38" t="s">
        <v>330</v>
      </c>
      <c r="B39" s="38" t="s">
        <v>24</v>
      </c>
      <c r="C39" s="39">
        <v>45517</v>
      </c>
      <c r="D39" s="40" t="s">
        <v>15</v>
      </c>
      <c r="E39" s="40" t="s">
        <v>20</v>
      </c>
      <c r="F39" s="40">
        <v>3418</v>
      </c>
      <c r="G39" s="40">
        <v>107</v>
      </c>
      <c r="H39" s="40">
        <v>221</v>
      </c>
      <c r="I39" s="40">
        <v>23927</v>
      </c>
      <c r="J39" s="40">
        <v>26182</v>
      </c>
      <c r="K39" s="40">
        <v>155</v>
      </c>
      <c r="L39" s="38" t="s">
        <v>45</v>
      </c>
      <c r="M39" s="38" t="s">
        <v>381</v>
      </c>
      <c r="N39" s="38" t="s">
        <v>22</v>
      </c>
      <c r="O39" s="41">
        <f>((Posts!$F32+Posts!$G32+Posts!$H32)/Posts!$I32)*100</f>
        <v>8.0484684812735416</v>
      </c>
      <c r="P39" s="24">
        <f>SUM(Table2[[#This Row],[Likes]],Table2[[#This Row],[Shares]],Table2[[#This Row],[Comments]])</f>
        <v>1746</v>
      </c>
      <c r="Q3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39" s="25">
        <f>Table2[[#This Row],[Net_Engagement]]/Table2[[#This Row],[Total_Budget]]</f>
        <v>7.7600000000000004E-3</v>
      </c>
      <c r="S3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3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39" s="32" t="str">
        <f t="shared" si="0"/>
        <v>Before</v>
      </c>
      <c r="V39" s="16">
        <f t="shared" ca="1" si="1"/>
        <v>9.1710889457103342</v>
      </c>
      <c r="W39" s="16">
        <f t="shared" ca="1" si="2"/>
        <v>9.4793698422495005</v>
      </c>
      <c r="X39" s="16">
        <f ca="1">(Table1[[#This Row],[Average_During]]-Table1[[#This Row],[Average_Before]])/Table1[[#This Row],[Average_Before]]*100</f>
        <v>3.3614426636147825</v>
      </c>
    </row>
    <row r="40" spans="1:24">
      <c r="A40" s="42" t="s">
        <v>201</v>
      </c>
      <c r="B40" s="42" t="s">
        <v>14</v>
      </c>
      <c r="C40" s="43">
        <v>45803</v>
      </c>
      <c r="D40" s="44" t="s">
        <v>15</v>
      </c>
      <c r="E40" s="44" t="s">
        <v>16</v>
      </c>
      <c r="F40" s="44">
        <v>3086</v>
      </c>
      <c r="G40" s="44">
        <v>148</v>
      </c>
      <c r="H40" s="44">
        <v>310</v>
      </c>
      <c r="I40" s="44">
        <v>22824</v>
      </c>
      <c r="J40" s="44">
        <v>58103</v>
      </c>
      <c r="K40" s="44">
        <v>275</v>
      </c>
      <c r="L40" s="42" t="s">
        <v>21</v>
      </c>
      <c r="M40" s="42" t="s">
        <v>381</v>
      </c>
      <c r="N40" s="42" t="s">
        <v>22</v>
      </c>
      <c r="O40" s="45">
        <f>((Posts!$F33+Posts!$G33+Posts!$H33)/Posts!$I33)*100</f>
        <v>7.5198893116568657</v>
      </c>
      <c r="P40" s="28">
        <f>SUM(Table2[[#This Row],[Likes]],Table2[[#This Row],[Shares]],Table2[[#This Row],[Comments]])</f>
        <v>2051</v>
      </c>
      <c r="Q4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40" s="29">
        <f>Table2[[#This Row],[Net_Engagement]]/Table2[[#This Row],[Total_Budget]]</f>
        <v>1.281875E-2</v>
      </c>
      <c r="S4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4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40" s="32" t="str">
        <f t="shared" si="0"/>
        <v>Before</v>
      </c>
      <c r="V40" s="16">
        <f t="shared" ca="1" si="1"/>
        <v>9.2140253228817333</v>
      </c>
      <c r="W40" s="16">
        <f t="shared" ca="1" si="2"/>
        <v>9.0009429696874275</v>
      </c>
      <c r="X40" s="16">
        <f ca="1">(Table1[[#This Row],[Average_During]]-Table1[[#This Row],[Average_Before]])/Table1[[#This Row],[Average_Before]]*100</f>
        <v>-2.3125870152011174</v>
      </c>
    </row>
    <row r="41" spans="1:24">
      <c r="A41" s="38" t="s">
        <v>210</v>
      </c>
      <c r="B41" s="38" t="s">
        <v>24</v>
      </c>
      <c r="C41" s="39">
        <v>45619</v>
      </c>
      <c r="D41" s="40" t="s">
        <v>15</v>
      </c>
      <c r="E41" s="40" t="s">
        <v>26</v>
      </c>
      <c r="F41" s="40">
        <v>4318</v>
      </c>
      <c r="G41" s="40">
        <v>371</v>
      </c>
      <c r="H41" s="40">
        <v>329</v>
      </c>
      <c r="I41" s="40">
        <v>32347</v>
      </c>
      <c r="J41" s="40">
        <v>68956</v>
      </c>
      <c r="K41" s="40">
        <v>259</v>
      </c>
      <c r="L41" s="38" t="s">
        <v>45</v>
      </c>
      <c r="M41" s="38" t="s">
        <v>381</v>
      </c>
      <c r="N41" s="38" t="s">
        <v>22</v>
      </c>
      <c r="O41" s="41">
        <f>((Posts!$F34+Posts!$G34+Posts!$H34)/Posts!$I34)*100</f>
        <v>16.177247444144061</v>
      </c>
      <c r="P41" s="24">
        <f>SUM(Table2[[#This Row],[Likes]],Table2[[#This Row],[Shares]],Table2[[#This Row],[Comments]])</f>
        <v>3969</v>
      </c>
      <c r="Q4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41" s="25">
        <f>Table2[[#This Row],[Net_Engagement]]/Table2[[#This Row],[Total_Budget]]</f>
        <v>1.9845000000000002E-2</v>
      </c>
      <c r="S4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4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41" s="32" t="str">
        <f t="shared" si="0"/>
        <v>Before</v>
      </c>
      <c r="V41" s="16">
        <f t="shared" ca="1" si="1"/>
        <v>9.3300781786847562</v>
      </c>
      <c r="W41" s="16">
        <f t="shared" ca="1" si="2"/>
        <v>7.6465943582911438</v>
      </c>
      <c r="X41" s="16">
        <f ca="1">(Table1[[#This Row],[Average_During]]-Table1[[#This Row],[Average_Before]])/Table1[[#This Row],[Average_Before]]*100</f>
        <v>-18.04361965840387</v>
      </c>
    </row>
    <row r="42" spans="1:24">
      <c r="A42" s="42" t="s">
        <v>294</v>
      </c>
      <c r="B42" s="42" t="s">
        <v>24</v>
      </c>
      <c r="C42" s="43">
        <v>45691</v>
      </c>
      <c r="D42" s="44" t="s">
        <v>15</v>
      </c>
      <c r="E42" s="44" t="s">
        <v>35</v>
      </c>
      <c r="F42" s="44">
        <v>4995</v>
      </c>
      <c r="G42" s="44">
        <v>231</v>
      </c>
      <c r="H42" s="44">
        <v>94</v>
      </c>
      <c r="I42" s="44">
        <v>34431</v>
      </c>
      <c r="J42" s="44">
        <v>32560</v>
      </c>
      <c r="K42" s="44">
        <v>262</v>
      </c>
      <c r="L42" s="42" t="s">
        <v>42</v>
      </c>
      <c r="M42" s="42" t="s">
        <v>381</v>
      </c>
      <c r="N42" s="42" t="s">
        <v>18</v>
      </c>
      <c r="O42" s="45">
        <f>((Posts!$F35+Posts!$G35+Posts!$H35)/Posts!$I35)*100</f>
        <v>4.4299315445747114</v>
      </c>
      <c r="P42" s="28">
        <f>SUM(Table2[[#This Row],[Likes]],Table2[[#This Row],[Shares]],Table2[[#This Row],[Comments]])</f>
        <v>4483</v>
      </c>
      <c r="Q4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42" s="29">
        <f>Table2[[#This Row],[Net_Engagement]]/Table2[[#This Row],[Total_Budget]]</f>
        <v>2.2415000000000001E-2</v>
      </c>
      <c r="S4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4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42" s="32" t="str">
        <f t="shared" si="0"/>
        <v>During</v>
      </c>
      <c r="V42" s="16">
        <f t="shared" ca="1" si="1"/>
        <v>9.056880948213724</v>
      </c>
      <c r="W42" s="16">
        <f t="shared" ca="1" si="2"/>
        <v>10.678221691335448</v>
      </c>
      <c r="X42" s="16">
        <f ca="1">(Table1[[#This Row],[Average_During]]-Table1[[#This Row],[Average_Before]])/Table1[[#This Row],[Average_Before]]*100</f>
        <v>17.901756160784014</v>
      </c>
    </row>
    <row r="43" spans="1:24">
      <c r="A43" s="38" t="s">
        <v>60</v>
      </c>
      <c r="B43" s="38" t="s">
        <v>14</v>
      </c>
      <c r="C43" s="39">
        <v>45478</v>
      </c>
      <c r="D43" s="40" t="s">
        <v>15</v>
      </c>
      <c r="E43" s="40" t="s">
        <v>51</v>
      </c>
      <c r="F43" s="40">
        <v>3753</v>
      </c>
      <c r="G43" s="40">
        <v>411</v>
      </c>
      <c r="H43" s="40">
        <v>308</v>
      </c>
      <c r="I43" s="40">
        <v>29138</v>
      </c>
      <c r="J43" s="40">
        <v>27678</v>
      </c>
      <c r="K43" s="40">
        <v>90</v>
      </c>
      <c r="L43" s="38" t="s">
        <v>21</v>
      </c>
      <c r="M43" s="38" t="s">
        <v>381</v>
      </c>
      <c r="N43" s="38" t="s">
        <v>22</v>
      </c>
      <c r="O43" s="41">
        <f>((Posts!$F36+Posts!$G36+Posts!$H36)/Posts!$I36)*100</f>
        <v>9.7668038408779143</v>
      </c>
      <c r="P43" s="24">
        <f>SUM(Table2[[#This Row],[Likes]],Table2[[#This Row],[Shares]],Table2[[#This Row],[Comments]])</f>
        <v>4207</v>
      </c>
      <c r="Q4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43" s="25">
        <f>Table2[[#This Row],[Net_Engagement]]/Table2[[#This Row],[Total_Budget]]</f>
        <v>1.8697777777777778E-2</v>
      </c>
      <c r="S4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4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43" s="32" t="str">
        <f t="shared" si="0"/>
        <v>Before</v>
      </c>
      <c r="V43" s="16">
        <f t="shared" ca="1" si="1"/>
        <v>9.1051139745820659</v>
      </c>
      <c r="W43" s="16">
        <f t="shared" ca="1" si="2"/>
        <v>10.316302937186808</v>
      </c>
      <c r="X43" s="16">
        <f ca="1">(Table1[[#This Row],[Average_During]]-Table1[[#This Row],[Average_Before]])/Table1[[#This Row],[Average_Before]]*100</f>
        <v>13.302293260533704</v>
      </c>
    </row>
    <row r="44" spans="1:24">
      <c r="A44" s="42" t="s">
        <v>92</v>
      </c>
      <c r="B44" s="42" t="s">
        <v>24</v>
      </c>
      <c r="C44" s="43">
        <v>45539</v>
      </c>
      <c r="D44" s="44" t="s">
        <v>25</v>
      </c>
      <c r="E44" s="44" t="s">
        <v>26</v>
      </c>
      <c r="F44" s="44">
        <v>2613</v>
      </c>
      <c r="G44" s="44">
        <v>455</v>
      </c>
      <c r="H44" s="44">
        <v>228</v>
      </c>
      <c r="I44" s="44">
        <v>21645</v>
      </c>
      <c r="J44" s="44">
        <v>61334</v>
      </c>
      <c r="K44" s="44">
        <v>261</v>
      </c>
      <c r="L44" s="42" t="s">
        <v>21</v>
      </c>
      <c r="M44" s="42" t="s">
        <v>379</v>
      </c>
      <c r="N44" s="42" t="s">
        <v>18</v>
      </c>
      <c r="O44" s="45">
        <f>((Posts!$F37+Posts!$G37+Posts!$H37)/Posts!$I37)*100</f>
        <v>6.3600055728416844</v>
      </c>
      <c r="P44" s="28">
        <f>SUM(Table2[[#This Row],[Likes]],Table2[[#This Row],[Shares]],Table2[[#This Row],[Comments]])</f>
        <v>5728</v>
      </c>
      <c r="Q4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44" s="29">
        <f>Table2[[#This Row],[Net_Engagement]]/Table2[[#This Row],[Total_Budget]]</f>
        <v>2.8639999999999999E-2</v>
      </c>
      <c r="S4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4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44" s="32" t="str">
        <f t="shared" si="0"/>
        <v>Before</v>
      </c>
      <c r="V44" s="16">
        <f t="shared" ca="1" si="1"/>
        <v>9.3493426806519615</v>
      </c>
      <c r="W44" s="16">
        <f t="shared" ca="1" si="2"/>
        <v>7.2914167945158024</v>
      </c>
      <c r="X44" s="16">
        <f ca="1">(Table1[[#This Row],[Average_During]]-Table1[[#This Row],[Average_Before]])/Table1[[#This Row],[Average_Before]]*100</f>
        <v>-22.011449964230565</v>
      </c>
    </row>
    <row r="45" spans="1:24">
      <c r="A45" s="38" t="s">
        <v>311</v>
      </c>
      <c r="B45" s="38" t="s">
        <v>24</v>
      </c>
      <c r="C45" s="39">
        <v>45693</v>
      </c>
      <c r="D45" s="40" t="s">
        <v>25</v>
      </c>
      <c r="E45" s="40" t="s">
        <v>16</v>
      </c>
      <c r="F45" s="40">
        <v>3029</v>
      </c>
      <c r="G45" s="40">
        <v>440</v>
      </c>
      <c r="H45" s="40">
        <v>66</v>
      </c>
      <c r="I45" s="40">
        <v>23815</v>
      </c>
      <c r="J45" s="40">
        <v>47895</v>
      </c>
      <c r="K45" s="40">
        <v>210</v>
      </c>
      <c r="L45" s="38" t="s">
        <v>21</v>
      </c>
      <c r="M45" s="38" t="s">
        <v>379</v>
      </c>
      <c r="N45" s="38" t="s">
        <v>18</v>
      </c>
      <c r="O45" s="41">
        <f>((Posts!$F38+Posts!$G38+Posts!$H38)/Posts!$I38)*100</f>
        <v>10.772626931567329</v>
      </c>
      <c r="P45" s="24">
        <f>SUM(Table2[[#This Row],[Likes]],Table2[[#This Row],[Shares]],Table2[[#This Row],[Comments]])</f>
        <v>2059</v>
      </c>
      <c r="Q4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45" s="25">
        <f>Table2[[#This Row],[Net_Engagement]]/Table2[[#This Row],[Total_Budget]]</f>
        <v>1.286875E-2</v>
      </c>
      <c r="S4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4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45" s="32" t="str">
        <f t="shared" si="0"/>
        <v>During</v>
      </c>
      <c r="V45" s="16">
        <f t="shared" ca="1" si="1"/>
        <v>9.3458265658408664</v>
      </c>
      <c r="W45" s="16">
        <f t="shared" ca="1" si="2"/>
        <v>7.4837802506016633</v>
      </c>
      <c r="X45" s="16">
        <f ca="1">(Table1[[#This Row],[Average_During]]-Table1[[#This Row],[Average_Before]])/Table1[[#This Row],[Average_Before]]*100</f>
        <v>-19.923826984389052</v>
      </c>
    </row>
    <row r="46" spans="1:24">
      <c r="A46" s="42" t="s">
        <v>123</v>
      </c>
      <c r="B46" s="42" t="s">
        <v>24</v>
      </c>
      <c r="C46" s="43">
        <v>45660</v>
      </c>
      <c r="D46" s="44" t="s">
        <v>25</v>
      </c>
      <c r="E46" s="44" t="s">
        <v>37</v>
      </c>
      <c r="F46" s="44">
        <v>4845</v>
      </c>
      <c r="G46" s="44">
        <v>158</v>
      </c>
      <c r="H46" s="44">
        <v>84</v>
      </c>
      <c r="I46" s="44">
        <v>34578</v>
      </c>
      <c r="J46" s="44">
        <v>51480</v>
      </c>
      <c r="K46" s="44">
        <v>180</v>
      </c>
      <c r="L46" s="42" t="s">
        <v>45</v>
      </c>
      <c r="M46" s="42" t="s">
        <v>42</v>
      </c>
      <c r="N46" s="42" t="s">
        <v>18</v>
      </c>
      <c r="O46" s="45">
        <f>((Posts!$F39+Posts!$G39+Posts!$H39)/Posts!$I39)*100</f>
        <v>3.9122543637545095</v>
      </c>
      <c r="P46" s="28">
        <f>SUM(Table2[[#This Row],[Likes]],Table2[[#This Row],[Shares]],Table2[[#This Row],[Comments]])</f>
        <v>4198</v>
      </c>
      <c r="Q4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46" s="29">
        <f>Table2[[#This Row],[Net_Engagement]]/Table2[[#This Row],[Total_Budget]]</f>
        <v>2.62375E-2</v>
      </c>
      <c r="S4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4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46" s="32" t="str">
        <f t="shared" si="0"/>
        <v>Before</v>
      </c>
      <c r="V46" s="16">
        <f t="shared" ca="1" si="1"/>
        <v>9.1275063216334402</v>
      </c>
      <c r="W46" s="16">
        <f t="shared" ca="1" si="2"/>
        <v>10.065031199435579</v>
      </c>
      <c r="X46" s="16">
        <f ca="1">(Table1[[#This Row],[Average_During]]-Table1[[#This Row],[Average_Before]])/Table1[[#This Row],[Average_Before]]*100</f>
        <v>10.271424031556965</v>
      </c>
    </row>
    <row r="47" spans="1:24">
      <c r="A47" s="38" t="s">
        <v>289</v>
      </c>
      <c r="B47" s="38" t="s">
        <v>14</v>
      </c>
      <c r="C47" s="39">
        <v>45357</v>
      </c>
      <c r="D47" s="40" t="s">
        <v>15</v>
      </c>
      <c r="E47" s="40" t="s">
        <v>35</v>
      </c>
      <c r="F47" s="40">
        <v>3529</v>
      </c>
      <c r="G47" s="40">
        <v>263</v>
      </c>
      <c r="H47" s="40">
        <v>107</v>
      </c>
      <c r="I47" s="40">
        <v>26570</v>
      </c>
      <c r="J47" s="40">
        <v>19367</v>
      </c>
      <c r="K47" s="40">
        <v>96</v>
      </c>
      <c r="L47" s="38" t="s">
        <v>21</v>
      </c>
      <c r="M47" s="38" t="s">
        <v>381</v>
      </c>
      <c r="N47" s="38" t="s">
        <v>22</v>
      </c>
      <c r="O47" s="41">
        <f>((Posts!$F40+Posts!$G40+Posts!$H40)/Posts!$I40)*100</f>
        <v>3.9913595142645857</v>
      </c>
      <c r="P47" s="24">
        <f>SUM(Table2[[#This Row],[Likes]],Table2[[#This Row],[Shares]],Table2[[#This Row],[Comments]])</f>
        <v>3503</v>
      </c>
      <c r="Q4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47" s="25">
        <f>Table2[[#This Row],[Net_Engagement]]/Table2[[#This Row],[Total_Budget]]</f>
        <v>2.189375E-2</v>
      </c>
      <c r="S4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4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47" s="32" t="str">
        <f t="shared" si="0"/>
        <v>Before</v>
      </c>
      <c r="V47" s="16">
        <f t="shared" ca="1" si="1"/>
        <v>9.1258964968600775</v>
      </c>
      <c r="W47" s="16">
        <f t="shared" ca="1" si="2"/>
        <v>10.345272677087227</v>
      </c>
      <c r="X47" s="16">
        <f ca="1">(Table1[[#This Row],[Average_During]]-Table1[[#This Row],[Average_Before]])/Table1[[#This Row],[Average_Before]]*100</f>
        <v>13.361713894593224</v>
      </c>
    </row>
    <row r="48" spans="1:24">
      <c r="A48" s="42" t="s">
        <v>86</v>
      </c>
      <c r="B48" s="42" t="s">
        <v>14</v>
      </c>
      <c r="C48" s="43">
        <v>45334</v>
      </c>
      <c r="D48" s="44" t="s">
        <v>15</v>
      </c>
      <c r="E48" s="44" t="s">
        <v>20</v>
      </c>
      <c r="F48" s="44">
        <v>2923</v>
      </c>
      <c r="G48" s="44">
        <v>330</v>
      </c>
      <c r="H48" s="44">
        <v>250</v>
      </c>
      <c r="I48" s="44">
        <v>23993</v>
      </c>
      <c r="J48" s="44">
        <v>74590</v>
      </c>
      <c r="K48" s="44">
        <v>92</v>
      </c>
      <c r="L48" s="42" t="s">
        <v>21</v>
      </c>
      <c r="M48" s="42" t="s">
        <v>381</v>
      </c>
      <c r="N48" s="42" t="s">
        <v>22</v>
      </c>
      <c r="O48" s="45">
        <f>((Posts!$F41+Posts!$G41+Posts!$H41)/Posts!$I41)*100</f>
        <v>14.436927106067218</v>
      </c>
      <c r="P48" s="28">
        <f>SUM(Table2[[#This Row],[Likes]],Table2[[#This Row],[Shares]],Table2[[#This Row],[Comments]])</f>
        <v>3907</v>
      </c>
      <c r="Q4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48" s="29">
        <f>Table2[[#This Row],[Net_Engagement]]/Table2[[#This Row],[Total_Budget]]</f>
        <v>2.2325714285714286E-2</v>
      </c>
      <c r="S4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4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48" s="32" t="str">
        <f t="shared" si="0"/>
        <v>Before</v>
      </c>
      <c r="V48" s="16">
        <f t="shared" ca="1" si="1"/>
        <v>9.2586251964746822</v>
      </c>
      <c r="W48" s="16">
        <f t="shared" ca="1" si="2"/>
        <v>8.9891446695128696</v>
      </c>
      <c r="X48" s="16">
        <f ca="1">(Table1[[#This Row],[Average_During]]-Table1[[#This Row],[Average_Before]])/Table1[[#This Row],[Average_Before]]*100</f>
        <v>-2.9105890047738412</v>
      </c>
    </row>
    <row r="49" spans="1:24">
      <c r="A49" s="38" t="s">
        <v>142</v>
      </c>
      <c r="B49" s="38" t="s">
        <v>24</v>
      </c>
      <c r="C49" s="39">
        <v>45591</v>
      </c>
      <c r="D49" s="40" t="s">
        <v>15</v>
      </c>
      <c r="E49" s="40" t="s">
        <v>16</v>
      </c>
      <c r="F49" s="40">
        <v>3036</v>
      </c>
      <c r="G49" s="40">
        <v>293</v>
      </c>
      <c r="H49" s="40">
        <v>115</v>
      </c>
      <c r="I49" s="40">
        <v>23776</v>
      </c>
      <c r="J49" s="40">
        <v>46386</v>
      </c>
      <c r="K49" s="40">
        <v>282</v>
      </c>
      <c r="L49" s="38" t="s">
        <v>42</v>
      </c>
      <c r="M49" s="38" t="s">
        <v>381</v>
      </c>
      <c r="N49" s="38" t="s">
        <v>18</v>
      </c>
      <c r="O49" s="41">
        <f>((Posts!$F42+Posts!$G42+Posts!$H42)/Posts!$I42)*100</f>
        <v>10.863928268508422</v>
      </c>
      <c r="P49" s="24">
        <f>SUM(Table2[[#This Row],[Likes]],Table2[[#This Row],[Shares]],Table2[[#This Row],[Comments]])</f>
        <v>3793</v>
      </c>
      <c r="Q4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49" s="25">
        <f>Table2[[#This Row],[Net_Engagement]]/Table2[[#This Row],[Total_Budget]]</f>
        <v>1.6857777777777777E-2</v>
      </c>
      <c r="S4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4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49" s="32" t="str">
        <f t="shared" si="0"/>
        <v>Before</v>
      </c>
      <c r="V49" s="16">
        <f t="shared" ca="1" si="1"/>
        <v>9.2879925114765793</v>
      </c>
      <c r="W49" s="16">
        <f t="shared" ca="1" si="2"/>
        <v>8.3441012576681377</v>
      </c>
      <c r="X49" s="16">
        <f ca="1">(Table1[[#This Row],[Average_During]]-Table1[[#This Row],[Average_Before]])/Table1[[#This Row],[Average_Before]]*100</f>
        <v>-10.162489393075367</v>
      </c>
    </row>
    <row r="50" spans="1:24">
      <c r="A50" s="42" t="s">
        <v>80</v>
      </c>
      <c r="B50" s="42" t="s">
        <v>24</v>
      </c>
      <c r="C50" s="43">
        <v>45818</v>
      </c>
      <c r="D50" s="44" t="s">
        <v>15</v>
      </c>
      <c r="E50" s="44" t="s">
        <v>20</v>
      </c>
      <c r="F50" s="44">
        <v>3615</v>
      </c>
      <c r="G50" s="44">
        <v>192</v>
      </c>
      <c r="H50" s="44">
        <v>162</v>
      </c>
      <c r="I50" s="44">
        <v>27492</v>
      </c>
      <c r="J50" s="44">
        <v>35341</v>
      </c>
      <c r="K50" s="44">
        <v>125</v>
      </c>
      <c r="L50" s="42" t="s">
        <v>42</v>
      </c>
      <c r="M50" s="42" t="s">
        <v>381</v>
      </c>
      <c r="N50" s="42" t="s">
        <v>18</v>
      </c>
      <c r="O50" s="45">
        <f>((Posts!$F43+Posts!$G43+Posts!$H43)/Posts!$I43)*100</f>
        <v>9.3795286825853346</v>
      </c>
      <c r="P50" s="28">
        <f>SUM(Table2[[#This Row],[Likes]],Table2[[#This Row],[Shares]],Table2[[#This Row],[Comments]])</f>
        <v>4726</v>
      </c>
      <c r="Q5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50" s="29">
        <f>Table2[[#This Row],[Net_Engagement]]/Table2[[#This Row],[Total_Budget]]</f>
        <v>2.3630000000000002E-2</v>
      </c>
      <c r="S5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5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50" s="32" t="str">
        <f t="shared" si="0"/>
        <v>Before</v>
      </c>
      <c r="V50" s="16">
        <f t="shared" ca="1" si="1"/>
        <v>9.1050324192779541</v>
      </c>
      <c r="W50" s="16">
        <f t="shared" ca="1" si="2"/>
        <v>10.572232119280743</v>
      </c>
      <c r="X50" s="16">
        <f ca="1">(Table1[[#This Row],[Average_During]]-Table1[[#This Row],[Average_Before]])/Table1[[#This Row],[Average_Before]]*100</f>
        <v>16.114162283445673</v>
      </c>
    </row>
    <row r="51" spans="1:24">
      <c r="A51" s="38" t="s">
        <v>134</v>
      </c>
      <c r="B51" s="38" t="s">
        <v>24</v>
      </c>
      <c r="C51" s="39">
        <v>45609</v>
      </c>
      <c r="D51" s="40" t="s">
        <v>25</v>
      </c>
      <c r="E51" s="40" t="s">
        <v>41</v>
      </c>
      <c r="F51" s="40">
        <v>4628</v>
      </c>
      <c r="G51" s="40">
        <v>257</v>
      </c>
      <c r="H51" s="40">
        <v>397</v>
      </c>
      <c r="I51" s="40">
        <v>36686</v>
      </c>
      <c r="J51" s="40">
        <v>54683</v>
      </c>
      <c r="K51" s="40">
        <v>98</v>
      </c>
      <c r="L51" s="38" t="s">
        <v>45</v>
      </c>
      <c r="M51" s="38" t="s">
        <v>42</v>
      </c>
      <c r="N51" s="38" t="s">
        <v>18</v>
      </c>
      <c r="O51" s="41">
        <f>((Posts!$F44+Posts!$G44+Posts!$H44)/Posts!$I44)*100</f>
        <v>11.750707750379519</v>
      </c>
      <c r="P51" s="24">
        <f>SUM(Table2[[#This Row],[Likes]],Table2[[#This Row],[Shares]],Table2[[#This Row],[Comments]])</f>
        <v>5038</v>
      </c>
      <c r="Q5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51" s="25">
        <f>Table2[[#This Row],[Net_Engagement]]/Table2[[#This Row],[Total_Budget]]</f>
        <v>2.5190000000000001E-2</v>
      </c>
      <c r="S5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5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51" s="32" t="str">
        <f t="shared" si="0"/>
        <v>Before</v>
      </c>
      <c r="V51" s="16">
        <f t="shared" ca="1" si="1"/>
        <v>9.1156702371843732</v>
      </c>
      <c r="W51" s="16">
        <f t="shared" ca="1" si="2"/>
        <v>10.423972395967983</v>
      </c>
      <c r="X51" s="16">
        <f ca="1">(Table1[[#This Row],[Average_During]]-Table1[[#This Row],[Average_Before]])/Table1[[#This Row],[Average_Before]]*100</f>
        <v>14.352232197330068</v>
      </c>
    </row>
    <row r="52" spans="1:24">
      <c r="A52" s="42" t="s">
        <v>119</v>
      </c>
      <c r="B52" s="42" t="s">
        <v>31</v>
      </c>
      <c r="C52" s="43">
        <v>45304</v>
      </c>
      <c r="D52" s="44" t="s">
        <v>57</v>
      </c>
      <c r="E52" s="44" t="s">
        <v>26</v>
      </c>
      <c r="F52" s="44">
        <v>4781</v>
      </c>
      <c r="G52" s="44">
        <v>191</v>
      </c>
      <c r="H52" s="44">
        <v>122</v>
      </c>
      <c r="I52" s="44">
        <v>35535</v>
      </c>
      <c r="J52" s="44">
        <v>50777</v>
      </c>
      <c r="K52" s="44">
        <v>128</v>
      </c>
      <c r="L52" s="42" t="s">
        <v>21</v>
      </c>
      <c r="M52" s="42" t="s">
        <v>45</v>
      </c>
      <c r="N52" s="42" t="s">
        <v>59</v>
      </c>
      <c r="O52" s="45">
        <f>((Posts!$F45+Posts!$G45+Posts!$H45)/Posts!$I45)*100</f>
        <v>3.9937155714174879</v>
      </c>
      <c r="P52" s="28">
        <f>SUM(Table2[[#This Row],[Likes]],Table2[[#This Row],[Shares]],Table2[[#This Row],[Comments]])</f>
        <v>4703</v>
      </c>
      <c r="Q5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52" s="29">
        <f>Table2[[#This Row],[Net_Engagement]]/Table2[[#This Row],[Total_Budget]]</f>
        <v>2.6874285714285715E-2</v>
      </c>
      <c r="S5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5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52" s="32" t="str">
        <f t="shared" si="0"/>
        <v>Before</v>
      </c>
      <c r="V52" s="16">
        <f t="shared" ca="1" si="1"/>
        <v>9.2209056430799698</v>
      </c>
      <c r="W52" s="16">
        <f t="shared" ca="1" si="2"/>
        <v>8.9670742845812921</v>
      </c>
      <c r="X52" s="16">
        <f ca="1">(Table1[[#This Row],[Average_During]]-Table1[[#This Row],[Average_Before]])/Table1[[#This Row],[Average_Before]]*100</f>
        <v>-2.7527812161180836</v>
      </c>
    </row>
    <row r="53" spans="1:24">
      <c r="A53" s="38" t="s">
        <v>135</v>
      </c>
      <c r="B53" s="38" t="s">
        <v>14</v>
      </c>
      <c r="C53" s="39">
        <v>45373</v>
      </c>
      <c r="D53" s="40" t="s">
        <v>25</v>
      </c>
      <c r="E53" s="40" t="s">
        <v>16</v>
      </c>
      <c r="F53" s="40">
        <v>2319</v>
      </c>
      <c r="G53" s="40">
        <v>484</v>
      </c>
      <c r="H53" s="40">
        <v>193</v>
      </c>
      <c r="I53" s="40">
        <v>21202</v>
      </c>
      <c r="J53" s="40">
        <v>18091</v>
      </c>
      <c r="K53" s="40">
        <v>241</v>
      </c>
      <c r="L53" s="38" t="s">
        <v>42</v>
      </c>
      <c r="M53" s="38" t="s">
        <v>381</v>
      </c>
      <c r="N53" s="38" t="s">
        <v>55</v>
      </c>
      <c r="O53" s="41">
        <f>((Posts!$F46+Posts!$G46+Posts!$H46)/Posts!$I46)*100</f>
        <v>11.613367267898639</v>
      </c>
      <c r="P53" s="24">
        <f>SUM(Table2[[#This Row],[Likes]],Table2[[#This Row],[Shares]],Table2[[#This Row],[Comments]])</f>
        <v>3296</v>
      </c>
      <c r="Q5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53" s="25">
        <f>Table2[[#This Row],[Net_Engagement]]/Table2[[#This Row],[Total_Budget]]</f>
        <v>1.6480000000000002E-2</v>
      </c>
      <c r="S5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5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53" s="32" t="str">
        <f t="shared" si="0"/>
        <v>Before</v>
      </c>
      <c r="V53" s="16">
        <f t="shared" ca="1" si="1"/>
        <v>9.1255183370600719</v>
      </c>
      <c r="W53" s="16">
        <f t="shared" ca="1" si="2"/>
        <v>10.432020684495955</v>
      </c>
      <c r="X53" s="16">
        <f ca="1">(Table1[[#This Row],[Average_During]]-Table1[[#This Row],[Average_Before]])/Table1[[#This Row],[Average_Before]]*100</f>
        <v>14.317020679581397</v>
      </c>
    </row>
    <row r="54" spans="1:24">
      <c r="A54" s="42" t="s">
        <v>54</v>
      </c>
      <c r="B54" s="42" t="s">
        <v>14</v>
      </c>
      <c r="C54" s="43">
        <v>45325</v>
      </c>
      <c r="D54" s="44" t="s">
        <v>25</v>
      </c>
      <c r="E54" s="44" t="s">
        <v>32</v>
      </c>
      <c r="F54" s="44">
        <v>4281</v>
      </c>
      <c r="G54" s="44">
        <v>101</v>
      </c>
      <c r="H54" s="44">
        <v>163</v>
      </c>
      <c r="I54" s="44">
        <v>32278</v>
      </c>
      <c r="J54" s="44">
        <v>53382</v>
      </c>
      <c r="K54" s="44">
        <v>235</v>
      </c>
      <c r="L54" s="42" t="s">
        <v>42</v>
      </c>
      <c r="M54" s="42" t="s">
        <v>381</v>
      </c>
      <c r="N54" s="42" t="s">
        <v>55</v>
      </c>
      <c r="O54" s="45">
        <f>((Posts!$F47+Posts!$G47+Posts!$H47)/Posts!$I47)*100</f>
        <v>14.600091693410578</v>
      </c>
      <c r="P54" s="28">
        <f>SUM(Table2[[#This Row],[Likes]],Table2[[#This Row],[Shares]],Table2[[#This Row],[Comments]])</f>
        <v>3386</v>
      </c>
      <c r="Q5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54" s="29">
        <f>Table2[[#This Row],[Net_Engagement]]/Table2[[#This Row],[Total_Budget]]</f>
        <v>1.6930000000000001E-2</v>
      </c>
      <c r="S5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5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54" s="32" t="str">
        <f t="shared" si="0"/>
        <v>Before</v>
      </c>
      <c r="V54" s="16">
        <f t="shared" ca="1" si="1"/>
        <v>9.2102850866860795</v>
      </c>
      <c r="W54" s="16">
        <f t="shared" ca="1" si="2"/>
        <v>9.2481890085709129</v>
      </c>
      <c r="X54" s="16">
        <f ca="1">(Table1[[#This Row],[Average_During]]-Table1[[#This Row],[Average_Before]])/Table1[[#This Row],[Average_Before]]*100</f>
        <v>0.41153907320008332</v>
      </c>
    </row>
    <row r="55" spans="1:24">
      <c r="A55" s="38" t="s">
        <v>239</v>
      </c>
      <c r="B55" s="38" t="s">
        <v>24</v>
      </c>
      <c r="C55" s="39">
        <v>45484</v>
      </c>
      <c r="D55" s="40" t="s">
        <v>25</v>
      </c>
      <c r="E55" s="40" t="s">
        <v>37</v>
      </c>
      <c r="F55" s="40">
        <v>4247</v>
      </c>
      <c r="G55" s="40">
        <v>179</v>
      </c>
      <c r="H55" s="40">
        <v>175</v>
      </c>
      <c r="I55" s="40">
        <v>32991</v>
      </c>
      <c r="J55" s="40">
        <v>70120</v>
      </c>
      <c r="K55" s="40">
        <v>276</v>
      </c>
      <c r="L55" s="38" t="s">
        <v>45</v>
      </c>
      <c r="M55" s="38" t="s">
        <v>42</v>
      </c>
      <c r="N55" s="38" t="s">
        <v>18</v>
      </c>
      <c r="O55" s="41">
        <f>((Posts!$F48+Posts!$G48+Posts!$H48)/Posts!$I48)*100</f>
        <v>9.8072192379135501</v>
      </c>
      <c r="P55" s="24">
        <f>SUM(Table2[[#This Row],[Likes]],Table2[[#This Row],[Shares]],Table2[[#This Row],[Comments]])</f>
        <v>5523</v>
      </c>
      <c r="Q5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55" s="25">
        <f>Table2[[#This Row],[Net_Engagement]]/Table2[[#This Row],[Total_Budget]]</f>
        <v>3.4518750000000001E-2</v>
      </c>
      <c r="S5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5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55" s="32" t="str">
        <f t="shared" si="0"/>
        <v>Before</v>
      </c>
      <c r="V55" s="16">
        <f t="shared" ca="1" si="1"/>
        <v>9.1189430647854479</v>
      </c>
      <c r="W55" s="16">
        <f t="shared" ca="1" si="2"/>
        <v>10.09427156330373</v>
      </c>
      <c r="X55" s="16">
        <f ca="1">(Table1[[#This Row],[Average_During]]-Table1[[#This Row],[Average_Before]])/Table1[[#This Row],[Average_Before]]*100</f>
        <v>10.695630969390526</v>
      </c>
    </row>
    <row r="56" spans="1:24">
      <c r="A56" s="42" t="s">
        <v>96</v>
      </c>
      <c r="B56" s="42" t="s">
        <v>14</v>
      </c>
      <c r="C56" s="43">
        <v>45707</v>
      </c>
      <c r="D56" s="44" t="s">
        <v>25</v>
      </c>
      <c r="E56" s="44" t="s">
        <v>49</v>
      </c>
      <c r="F56" s="44">
        <v>2422</v>
      </c>
      <c r="G56" s="44">
        <v>455</v>
      </c>
      <c r="H56" s="44">
        <v>376</v>
      </c>
      <c r="I56" s="44">
        <v>23428</v>
      </c>
      <c r="J56" s="44">
        <v>46775</v>
      </c>
      <c r="K56" s="44">
        <v>259</v>
      </c>
      <c r="L56" s="42" t="s">
        <v>42</v>
      </c>
      <c r="M56" s="42" t="s">
        <v>381</v>
      </c>
      <c r="N56" s="42" t="s">
        <v>55</v>
      </c>
      <c r="O56" s="45">
        <f>((Posts!$F49+Posts!$G49+Posts!$H49)/Posts!$I49)*100</f>
        <v>15.735977431131762</v>
      </c>
      <c r="P56" s="28">
        <f>SUM(Table2[[#This Row],[Likes]],Table2[[#This Row],[Shares]],Table2[[#This Row],[Comments]])</f>
        <v>2492</v>
      </c>
      <c r="Q5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56" s="29">
        <f>Table2[[#This Row],[Net_Engagement]]/Table2[[#This Row],[Total_Budget]]</f>
        <v>1.2460000000000001E-2</v>
      </c>
      <c r="S5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5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56" s="32" t="str">
        <f t="shared" si="0"/>
        <v>Before</v>
      </c>
      <c r="V56" s="16">
        <f t="shared" ca="1" si="1"/>
        <v>9.1980402025812342</v>
      </c>
      <c r="W56" s="16">
        <f t="shared" ca="1" si="2"/>
        <v>9.083902804496276</v>
      </c>
      <c r="X56" s="16">
        <f ca="1">(Table1[[#This Row],[Average_During]]-Table1[[#This Row],[Average_Before]])/Table1[[#This Row],[Average_Before]]*100</f>
        <v>-1.2408882280480578</v>
      </c>
    </row>
    <row r="57" spans="1:24">
      <c r="A57" s="38" t="s">
        <v>149</v>
      </c>
      <c r="B57" s="38" t="s">
        <v>14</v>
      </c>
      <c r="C57" s="39">
        <v>45617</v>
      </c>
      <c r="D57" s="40" t="s">
        <v>15</v>
      </c>
      <c r="E57" s="40" t="s">
        <v>32</v>
      </c>
      <c r="F57" s="40">
        <v>4581</v>
      </c>
      <c r="G57" s="40">
        <v>181</v>
      </c>
      <c r="H57" s="40">
        <v>112</v>
      </c>
      <c r="I57" s="40">
        <v>35221</v>
      </c>
      <c r="J57" s="40">
        <v>28797</v>
      </c>
      <c r="K57" s="40">
        <v>164</v>
      </c>
      <c r="L57" s="38" t="s">
        <v>45</v>
      </c>
      <c r="M57" s="38" t="s">
        <v>42</v>
      </c>
      <c r="N57" s="38" t="s">
        <v>18</v>
      </c>
      <c r="O57" s="41">
        <f>((Posts!$F50+Posts!$G50+Posts!$H50)/Posts!$I50)*100</f>
        <v>10.87862256289851</v>
      </c>
      <c r="P57" s="24">
        <f>SUM(Table2[[#This Row],[Likes]],Table2[[#This Row],[Shares]],Table2[[#This Row],[Comments]])</f>
        <v>3253</v>
      </c>
      <c r="Q5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57" s="25">
        <f>Table2[[#This Row],[Net_Engagement]]/Table2[[#This Row],[Total_Budget]]</f>
        <v>1.4457777777777778E-2</v>
      </c>
      <c r="S5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5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57" s="32" t="str">
        <f t="shared" si="0"/>
        <v>Before</v>
      </c>
      <c r="V57" s="16">
        <f t="shared" ca="1" si="1"/>
        <v>9.1029714143122327</v>
      </c>
      <c r="W57" s="16">
        <f t="shared" ca="1" si="2"/>
        <v>9.9056444065029101</v>
      </c>
      <c r="X57" s="16">
        <f ca="1">(Table1[[#This Row],[Average_During]]-Table1[[#This Row],[Average_Before]])/Table1[[#This Row],[Average_Before]]*100</f>
        <v>8.817703095592142</v>
      </c>
    </row>
    <row r="58" spans="1:24">
      <c r="A58" s="42" t="s">
        <v>136</v>
      </c>
      <c r="B58" s="42" t="s">
        <v>24</v>
      </c>
      <c r="C58" s="43">
        <v>45367</v>
      </c>
      <c r="D58" s="44" t="s">
        <v>25</v>
      </c>
      <c r="E58" s="44" t="s">
        <v>29</v>
      </c>
      <c r="F58" s="44">
        <v>2895</v>
      </c>
      <c r="G58" s="44">
        <v>292</v>
      </c>
      <c r="H58" s="44">
        <v>90</v>
      </c>
      <c r="I58" s="44">
        <v>24223</v>
      </c>
      <c r="J58" s="44">
        <v>54626</v>
      </c>
      <c r="K58" s="44">
        <v>114</v>
      </c>
      <c r="L58" s="42" t="s">
        <v>45</v>
      </c>
      <c r="M58" s="42" t="s">
        <v>42</v>
      </c>
      <c r="N58" s="42" t="s">
        <v>18</v>
      </c>
      <c r="O58" s="45">
        <f>((Posts!$F51+Posts!$G51+Posts!$H51)/Posts!$I51)*100</f>
        <v>20.241060666934512</v>
      </c>
      <c r="P58" s="28">
        <f>SUM(Table2[[#This Row],[Likes]],Table2[[#This Row],[Shares]],Table2[[#This Row],[Comments]])</f>
        <v>3311</v>
      </c>
      <c r="Q5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58" s="29">
        <f>Table2[[#This Row],[Net_Engagement]]/Table2[[#This Row],[Total_Budget]]</f>
        <v>2.069375E-2</v>
      </c>
      <c r="S5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5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58" s="32" t="str">
        <f t="shared" si="0"/>
        <v>Before</v>
      </c>
      <c r="V58" s="16">
        <f t="shared" ca="1" si="1"/>
        <v>9.2257328660548517</v>
      </c>
      <c r="W58" s="16">
        <f t="shared" ca="1" si="2"/>
        <v>8.3132071458253591</v>
      </c>
      <c r="X58" s="16">
        <f ca="1">(Table1[[#This Row],[Average_During]]-Table1[[#This Row],[Average_Before]])/Table1[[#This Row],[Average_Before]]*100</f>
        <v>-9.8910919433516042</v>
      </c>
    </row>
    <row r="59" spans="1:24">
      <c r="A59" s="38" t="s">
        <v>118</v>
      </c>
      <c r="B59" s="38" t="s">
        <v>24</v>
      </c>
      <c r="C59" s="39">
        <v>45678</v>
      </c>
      <c r="D59" s="40" t="s">
        <v>25</v>
      </c>
      <c r="E59" s="40" t="s">
        <v>16</v>
      </c>
      <c r="F59" s="40">
        <v>2494</v>
      </c>
      <c r="G59" s="40">
        <v>494</v>
      </c>
      <c r="H59" s="40">
        <v>55</v>
      </c>
      <c r="I59" s="40">
        <v>22580</v>
      </c>
      <c r="J59" s="40">
        <v>22214</v>
      </c>
      <c r="K59" s="40">
        <v>109</v>
      </c>
      <c r="L59" s="38" t="s">
        <v>379</v>
      </c>
      <c r="M59" s="38" t="s">
        <v>42</v>
      </c>
      <c r="N59" s="38" t="s">
        <v>18</v>
      </c>
      <c r="O59" s="41">
        <f>((Posts!$F52+Posts!$G52+Posts!$H52)/Posts!$I52)*100</f>
        <v>10.249760265016128</v>
      </c>
      <c r="P59" s="24">
        <f>SUM(Table2[[#This Row],[Likes]],Table2[[#This Row],[Shares]],Table2[[#This Row],[Comments]])</f>
        <v>3460</v>
      </c>
      <c r="Q5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59" s="25">
        <f>Table2[[#This Row],[Net_Engagement]]/Table2[[#This Row],[Total_Budget]]</f>
        <v>2.1624999999999998E-2</v>
      </c>
      <c r="S5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5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59" s="32" t="str">
        <f t="shared" si="0"/>
        <v>During</v>
      </c>
      <c r="V59" s="16">
        <f t="shared" ca="1" si="1"/>
        <v>9.1197116226964301</v>
      </c>
      <c r="W59" s="16">
        <f t="shared" ca="1" si="2"/>
        <v>9.0224481676630415</v>
      </c>
      <c r="X59" s="16">
        <f ca="1">(Table1[[#This Row],[Average_During]]-Table1[[#This Row],[Average_Before]])/Table1[[#This Row],[Average_Before]]*100</f>
        <v>-1.066518976228666</v>
      </c>
    </row>
    <row r="60" spans="1:24">
      <c r="A60" s="42" t="s">
        <v>282</v>
      </c>
      <c r="B60" s="42" t="s">
        <v>24</v>
      </c>
      <c r="C60" s="43">
        <v>45759</v>
      </c>
      <c r="D60" s="44" t="s">
        <v>25</v>
      </c>
      <c r="E60" s="44" t="s">
        <v>49</v>
      </c>
      <c r="F60" s="44">
        <v>4315</v>
      </c>
      <c r="G60" s="44">
        <v>208</v>
      </c>
      <c r="H60" s="44">
        <v>273</v>
      </c>
      <c r="I60" s="44">
        <v>35780</v>
      </c>
      <c r="J60" s="44">
        <v>44349</v>
      </c>
      <c r="K60" s="44">
        <v>133</v>
      </c>
      <c r="L60" s="42" t="s">
        <v>21</v>
      </c>
      <c r="M60" s="42" t="s">
        <v>379</v>
      </c>
      <c r="N60" s="42" t="s">
        <v>18</v>
      </c>
      <c r="O60" s="45">
        <f>((Posts!$F53+Posts!$G53+Posts!$H53)/Posts!$I53)*100</f>
        <v>15.227535227535228</v>
      </c>
      <c r="P60" s="28">
        <f>SUM(Table2[[#This Row],[Likes]],Table2[[#This Row],[Shares]],Table2[[#This Row],[Comments]])</f>
        <v>1341</v>
      </c>
      <c r="Q6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60" s="29">
        <f>Table2[[#This Row],[Net_Engagement]]/Table2[[#This Row],[Total_Budget]]</f>
        <v>8.3812499999999998E-3</v>
      </c>
      <c r="S6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6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60" s="32" t="str">
        <f t="shared" si="0"/>
        <v>Before</v>
      </c>
      <c r="V60" s="16">
        <f t="shared" ca="1" si="1"/>
        <v>9.0955207210923081</v>
      </c>
      <c r="W60" s="16">
        <f t="shared" ca="1" si="2"/>
        <v>9.2647140661740934</v>
      </c>
      <c r="X60" s="16">
        <f ca="1">(Table1[[#This Row],[Average_During]]-Table1[[#This Row],[Average_Before]])/Table1[[#This Row],[Average_Before]]*100</f>
        <v>1.8601831634491219</v>
      </c>
    </row>
    <row r="61" spans="1:24">
      <c r="A61" s="38" t="s">
        <v>13</v>
      </c>
      <c r="B61" s="38" t="s">
        <v>14</v>
      </c>
      <c r="C61" s="39">
        <v>45781</v>
      </c>
      <c r="D61" s="40" t="s">
        <v>15</v>
      </c>
      <c r="E61" s="40" t="s">
        <v>16</v>
      </c>
      <c r="F61" s="40">
        <v>2414</v>
      </c>
      <c r="G61" s="40">
        <v>245</v>
      </c>
      <c r="H61" s="40">
        <v>137</v>
      </c>
      <c r="I61" s="40">
        <v>21181</v>
      </c>
      <c r="J61" s="40">
        <v>45292</v>
      </c>
      <c r="K61" s="40">
        <v>133</v>
      </c>
      <c r="L61" s="38" t="s">
        <v>45</v>
      </c>
      <c r="M61" s="38" t="s">
        <v>42</v>
      </c>
      <c r="N61" s="38" t="s">
        <v>18</v>
      </c>
      <c r="O61" s="41">
        <f>((Posts!$F54+Posts!$G54+Posts!$H54)/Posts!$I54)*100</f>
        <v>5.8723551855705862</v>
      </c>
      <c r="P61" s="24">
        <f>SUM(Table2[[#This Row],[Likes]],Table2[[#This Row],[Shares]],Table2[[#This Row],[Comments]])</f>
        <v>5062</v>
      </c>
      <c r="Q6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61" s="25">
        <f>Table2[[#This Row],[Net_Engagement]]/Table2[[#This Row],[Total_Budget]]</f>
        <v>3.1637499999999999E-2</v>
      </c>
      <c r="S6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6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61" s="32" t="str">
        <f t="shared" si="0"/>
        <v>Before</v>
      </c>
      <c r="V61" s="16">
        <f t="shared" ca="1" si="1"/>
        <v>9.0758406804563538</v>
      </c>
      <c r="W61" s="16">
        <f t="shared" ca="1" si="2"/>
        <v>9.1755137794978125</v>
      </c>
      <c r="X61" s="16">
        <f ca="1">(Table1[[#This Row],[Average_During]]-Table1[[#This Row],[Average_Before]])/Table1[[#This Row],[Average_Before]]*100</f>
        <v>1.0982244240590495</v>
      </c>
    </row>
    <row r="62" spans="1:24">
      <c r="A62" s="42" t="s">
        <v>30</v>
      </c>
      <c r="B62" s="42" t="s">
        <v>31</v>
      </c>
      <c r="C62" s="43">
        <v>45388</v>
      </c>
      <c r="D62" s="44" t="s">
        <v>15</v>
      </c>
      <c r="E62" s="44" t="s">
        <v>32</v>
      </c>
      <c r="F62" s="44">
        <v>2748</v>
      </c>
      <c r="G62" s="44">
        <v>145</v>
      </c>
      <c r="H62" s="44">
        <v>315</v>
      </c>
      <c r="I62" s="44">
        <v>24401</v>
      </c>
      <c r="J62" s="44">
        <v>61182</v>
      </c>
      <c r="K62" s="44">
        <v>200</v>
      </c>
      <c r="L62" s="42" t="s">
        <v>21</v>
      </c>
      <c r="M62" s="42" t="s">
        <v>380</v>
      </c>
      <c r="N62" s="42" t="s">
        <v>22</v>
      </c>
      <c r="O62" s="45">
        <f>((Posts!$F55+Posts!$G55+Posts!$H55)/Posts!$I55)*100</f>
        <v>9.5101162290142049</v>
      </c>
      <c r="P62" s="28">
        <f>SUM(Table2[[#This Row],[Likes]],Table2[[#This Row],[Shares]],Table2[[#This Row],[Comments]])</f>
        <v>3925</v>
      </c>
      <c r="Q6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62" s="29">
        <f>Table2[[#This Row],[Net_Engagement]]/Table2[[#This Row],[Total_Budget]]</f>
        <v>2.242857142857143E-2</v>
      </c>
      <c r="S6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6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62" s="32" t="str">
        <f t="shared" si="0"/>
        <v>Before</v>
      </c>
      <c r="V62" s="16">
        <f t="shared" ca="1" si="1"/>
        <v>9.0441729121593681</v>
      </c>
      <c r="W62" s="16">
        <f t="shared" ca="1" si="2"/>
        <v>9.7982635031586405</v>
      </c>
      <c r="X62" s="16">
        <f ca="1">(Table1[[#This Row],[Average_During]]-Table1[[#This Row],[Average_Before]])/Table1[[#This Row],[Average_Before]]*100</f>
        <v>8.3378612762416449</v>
      </c>
    </row>
    <row r="63" spans="1:24">
      <c r="A63" s="38" t="s">
        <v>277</v>
      </c>
      <c r="B63" s="38" t="s">
        <v>31</v>
      </c>
      <c r="C63" s="39">
        <v>45305</v>
      </c>
      <c r="D63" s="40" t="s">
        <v>15</v>
      </c>
      <c r="E63" s="40" t="s">
        <v>35</v>
      </c>
      <c r="F63" s="40">
        <v>4502</v>
      </c>
      <c r="G63" s="40">
        <v>238</v>
      </c>
      <c r="H63" s="40">
        <v>386</v>
      </c>
      <c r="I63" s="40">
        <v>39198</v>
      </c>
      <c r="J63" s="40">
        <v>25050</v>
      </c>
      <c r="K63" s="40">
        <v>297</v>
      </c>
      <c r="L63" s="38" t="s">
        <v>21</v>
      </c>
      <c r="M63" s="38" t="s">
        <v>380</v>
      </c>
      <c r="N63" s="38" t="s">
        <v>22</v>
      </c>
      <c r="O63" s="41">
        <f>((Posts!$F56+Posts!$G56+Posts!$H56)/Posts!$I56)*100</f>
        <v>4.7817327065144388</v>
      </c>
      <c r="P63" s="24">
        <f>SUM(Table2[[#This Row],[Likes]],Table2[[#This Row],[Shares]],Table2[[#This Row],[Comments]])</f>
        <v>2357</v>
      </c>
      <c r="Q6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63" s="25">
        <f>Table2[[#This Row],[Net_Engagement]]/Table2[[#This Row],[Total_Budget]]</f>
        <v>1.1785E-2</v>
      </c>
      <c r="S6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6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63" s="32" t="str">
        <f t="shared" si="0"/>
        <v>Before</v>
      </c>
      <c r="V63" s="16">
        <f t="shared" ca="1" si="1"/>
        <v>9.0342750251718069</v>
      </c>
      <c r="W63" s="16">
        <f t="shared" ca="1" si="2"/>
        <v>9.9041854327643364</v>
      </c>
      <c r="X63" s="16">
        <f ca="1">(Table1[[#This Row],[Average_During]]-Table1[[#This Row],[Average_Before]])/Table1[[#This Row],[Average_Before]]*100</f>
        <v>9.6290007241171658</v>
      </c>
    </row>
    <row r="64" spans="1:24">
      <c r="A64" s="42" t="s">
        <v>43</v>
      </c>
      <c r="B64" s="42" t="s">
        <v>24</v>
      </c>
      <c r="C64" s="43">
        <v>45630</v>
      </c>
      <c r="D64" s="44" t="s">
        <v>15</v>
      </c>
      <c r="E64" s="44" t="s">
        <v>29</v>
      </c>
      <c r="F64" s="44">
        <v>2357</v>
      </c>
      <c r="G64" s="44">
        <v>274</v>
      </c>
      <c r="H64" s="44">
        <v>172</v>
      </c>
      <c r="I64" s="44">
        <v>21566</v>
      </c>
      <c r="J64" s="44">
        <v>66829</v>
      </c>
      <c r="K64" s="44">
        <v>284</v>
      </c>
      <c r="L64" s="42" t="s">
        <v>42</v>
      </c>
      <c r="M64" s="42" t="s">
        <v>381</v>
      </c>
      <c r="N64" s="42" t="s">
        <v>18</v>
      </c>
      <c r="O64" s="45">
        <f>((Posts!$F57+Posts!$G57+Posts!$H57)/Posts!$I57)*100</f>
        <v>13.885094758408743</v>
      </c>
      <c r="P64" s="28">
        <f>SUM(Table2[[#This Row],[Likes]],Table2[[#This Row],[Shares]],Table2[[#This Row],[Comments]])</f>
        <v>1356</v>
      </c>
      <c r="Q6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64" s="29">
        <f>Table2[[#This Row],[Net_Engagement]]/Table2[[#This Row],[Total_Budget]]</f>
        <v>8.4749999999999999E-3</v>
      </c>
      <c r="S6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6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64" s="32" t="str">
        <f t="shared" si="0"/>
        <v>Before</v>
      </c>
      <c r="V64" s="16">
        <f t="shared" ca="1" si="1"/>
        <v>9.0419782865632055</v>
      </c>
      <c r="W64" s="16">
        <f t="shared" ca="1" si="2"/>
        <v>10.051020651671308</v>
      </c>
      <c r="X64" s="16">
        <f ca="1">(Table1[[#This Row],[Average_During]]-Table1[[#This Row],[Average_Before]])/Table1[[#This Row],[Average_Before]]*100</f>
        <v>11.159530946978562</v>
      </c>
    </row>
    <row r="65" spans="1:24">
      <c r="A65" s="38" t="s">
        <v>332</v>
      </c>
      <c r="B65" s="38" t="s">
        <v>24</v>
      </c>
      <c r="C65" s="39">
        <v>45599</v>
      </c>
      <c r="D65" s="40" t="s">
        <v>25</v>
      </c>
      <c r="E65" s="40" t="s">
        <v>20</v>
      </c>
      <c r="F65" s="40">
        <v>3061</v>
      </c>
      <c r="G65" s="40">
        <v>320</v>
      </c>
      <c r="H65" s="40">
        <v>76</v>
      </c>
      <c r="I65" s="40">
        <v>26640</v>
      </c>
      <c r="J65" s="40">
        <v>24306</v>
      </c>
      <c r="K65" s="40">
        <v>112</v>
      </c>
      <c r="L65" s="38" t="s">
        <v>379</v>
      </c>
      <c r="M65" s="38" t="s">
        <v>42</v>
      </c>
      <c r="N65" s="38" t="s">
        <v>18</v>
      </c>
      <c r="O65" s="41">
        <f>((Posts!$F58+Posts!$G58+Posts!$H58)/Posts!$I58)*100</f>
        <v>10.600966926007748</v>
      </c>
      <c r="P65" s="24">
        <f>SUM(Table2[[#This Row],[Likes]],Table2[[#This Row],[Shares]],Table2[[#This Row],[Comments]])</f>
        <v>4700</v>
      </c>
      <c r="Q6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65" s="25">
        <f>Table2[[#This Row],[Net_Engagement]]/Table2[[#This Row],[Total_Budget]]</f>
        <v>2.35E-2</v>
      </c>
      <c r="S6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6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65" s="32" t="str">
        <f t="shared" si="0"/>
        <v>Before</v>
      </c>
      <c r="V65" s="16">
        <f t="shared" ca="1" si="1"/>
        <v>9.0911423598049907</v>
      </c>
      <c r="W65" s="16">
        <f t="shared" ca="1" si="2"/>
        <v>9.1096464694518176</v>
      </c>
      <c r="X65" s="16">
        <f ca="1">(Table1[[#This Row],[Average_During]]-Table1[[#This Row],[Average_Before]])/Table1[[#This Row],[Average_Before]]*100</f>
        <v>0.20353998336490384</v>
      </c>
    </row>
    <row r="66" spans="1:24">
      <c r="A66" s="42" t="s">
        <v>227</v>
      </c>
      <c r="B66" s="42" t="s">
        <v>31</v>
      </c>
      <c r="C66" s="43">
        <v>45795</v>
      </c>
      <c r="D66" s="44" t="s">
        <v>57</v>
      </c>
      <c r="E66" s="44" t="s">
        <v>29</v>
      </c>
      <c r="F66" s="44">
        <v>4210</v>
      </c>
      <c r="G66" s="44">
        <v>319</v>
      </c>
      <c r="H66" s="44">
        <v>350</v>
      </c>
      <c r="I66" s="44">
        <v>37762</v>
      </c>
      <c r="J66" s="44">
        <v>55162</v>
      </c>
      <c r="K66" s="44">
        <v>204</v>
      </c>
      <c r="L66" s="42" t="s">
        <v>21</v>
      </c>
      <c r="M66" s="42" t="s">
        <v>45</v>
      </c>
      <c r="N66" s="42" t="s">
        <v>59</v>
      </c>
      <c r="O66" s="45">
        <f>((Posts!$F59+Posts!$G59+Posts!$H59)/Posts!$I59)*100</f>
        <v>8.8283323127168813</v>
      </c>
      <c r="P66" s="28">
        <f>SUM(Table2[[#This Row],[Likes]],Table2[[#This Row],[Shares]],Table2[[#This Row],[Comments]])</f>
        <v>1925</v>
      </c>
      <c r="Q6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66" s="29">
        <f>Table2[[#This Row],[Net_Engagement]]/Table2[[#This Row],[Total_Budget]]</f>
        <v>1.203125E-2</v>
      </c>
      <c r="S6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6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66" s="32" t="str">
        <f t="shared" si="0"/>
        <v>Before</v>
      </c>
      <c r="V66" s="16">
        <f t="shared" ca="1" si="1"/>
        <v>9.1193423810335812</v>
      </c>
      <c r="W66" s="16">
        <f t="shared" ca="1" si="2"/>
        <v>8.6459388598127731</v>
      </c>
      <c r="X66" s="16">
        <f ca="1">(Table1[[#This Row],[Average_During]]-Table1[[#This Row],[Average_Before]])/Table1[[#This Row],[Average_Before]]*100</f>
        <v>-5.1912024073730718</v>
      </c>
    </row>
    <row r="67" spans="1:24">
      <c r="A67" s="38" t="s">
        <v>261</v>
      </c>
      <c r="B67" s="38" t="s">
        <v>24</v>
      </c>
      <c r="C67" s="39">
        <v>45786</v>
      </c>
      <c r="D67" s="40" t="s">
        <v>25</v>
      </c>
      <c r="E67" s="40" t="s">
        <v>32</v>
      </c>
      <c r="F67" s="40">
        <v>2778</v>
      </c>
      <c r="G67" s="40">
        <v>241</v>
      </c>
      <c r="H67" s="40">
        <v>317</v>
      </c>
      <c r="I67" s="40">
        <v>26247</v>
      </c>
      <c r="J67" s="40">
        <v>20677</v>
      </c>
      <c r="K67" s="40">
        <v>282</v>
      </c>
      <c r="L67" s="38" t="s">
        <v>379</v>
      </c>
      <c r="M67" s="38" t="s">
        <v>42</v>
      </c>
      <c r="N67" s="38" t="s">
        <v>18</v>
      </c>
      <c r="O67" s="41">
        <f>((Posts!$F60+Posts!$G60+Posts!$H60)/Posts!$I60)*100</f>
        <v>2.5027528414923199</v>
      </c>
      <c r="P67" s="24">
        <f>SUM(Table2[[#This Row],[Likes]],Table2[[#This Row],[Shares]],Table2[[#This Row],[Comments]])</f>
        <v>5307</v>
      </c>
      <c r="Q6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67" s="25">
        <f>Table2[[#This Row],[Net_Engagement]]/Table2[[#This Row],[Total_Budget]]</f>
        <v>2.6535E-2</v>
      </c>
      <c r="S6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6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67" s="32" t="str">
        <f t="shared" si="0"/>
        <v>Before</v>
      </c>
      <c r="V67" s="16">
        <f t="shared" ca="1" si="1"/>
        <v>8.9538176283865116</v>
      </c>
      <c r="W67" s="16">
        <f t="shared" ca="1" si="2"/>
        <v>10.853825884160292</v>
      </c>
      <c r="X67" s="16">
        <f ca="1">(Table1[[#This Row],[Average_During]]-Table1[[#This Row],[Average_Before]])/Table1[[#This Row],[Average_Before]]*100</f>
        <v>21.220091078805726</v>
      </c>
    </row>
    <row r="68" spans="1:24">
      <c r="A68" s="42" t="s">
        <v>254</v>
      </c>
      <c r="B68" s="42" t="s">
        <v>24</v>
      </c>
      <c r="C68" s="43">
        <v>45574</v>
      </c>
      <c r="D68" s="44" t="s">
        <v>15</v>
      </c>
      <c r="E68" s="44" t="s">
        <v>29</v>
      </c>
      <c r="F68" s="44">
        <v>2659</v>
      </c>
      <c r="G68" s="44">
        <v>167</v>
      </c>
      <c r="H68" s="44">
        <v>73</v>
      </c>
      <c r="I68" s="44">
        <v>23090</v>
      </c>
      <c r="J68" s="44">
        <v>25872</v>
      </c>
      <c r="K68" s="44">
        <v>293</v>
      </c>
      <c r="L68" s="42" t="s">
        <v>45</v>
      </c>
      <c r="M68" s="42" t="s">
        <v>381</v>
      </c>
      <c r="N68" s="42" t="s">
        <v>22</v>
      </c>
      <c r="O68" s="45">
        <f>((Posts!$F61+Posts!$G61+Posts!$H61)/Posts!$I61)*100</f>
        <v>11.124541239039184</v>
      </c>
      <c r="P68" s="28">
        <f>SUM(Table2[[#This Row],[Likes]],Table2[[#This Row],[Shares]],Table2[[#This Row],[Comments]])</f>
        <v>5407</v>
      </c>
      <c r="Q6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68" s="29">
        <f>Table2[[#This Row],[Net_Engagement]]/Table2[[#This Row],[Total_Budget]]</f>
        <v>3.0897142857142856E-2</v>
      </c>
      <c r="S6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6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68" s="32" t="str">
        <f t="shared" si="0"/>
        <v>Before</v>
      </c>
      <c r="V68" s="16">
        <f t="shared" ca="1" si="1"/>
        <v>9.109004911579472</v>
      </c>
      <c r="W68" s="16">
        <f t="shared" ca="1" si="2"/>
        <v>9.1884796107291571</v>
      </c>
      <c r="X68" s="16">
        <f ca="1">(Table1[[#This Row],[Average_During]]-Table1[[#This Row],[Average_Before]])/Table1[[#This Row],[Average_Before]]*100</f>
        <v>0.87248497416722126</v>
      </c>
    </row>
    <row r="69" spans="1:24">
      <c r="A69" s="38" t="s">
        <v>258</v>
      </c>
      <c r="B69" s="38" t="s">
        <v>24</v>
      </c>
      <c r="C69" s="39">
        <v>45579</v>
      </c>
      <c r="D69" s="40" t="s">
        <v>25</v>
      </c>
      <c r="E69" s="40" t="s">
        <v>20</v>
      </c>
      <c r="F69" s="40">
        <v>4303</v>
      </c>
      <c r="G69" s="40">
        <v>306</v>
      </c>
      <c r="H69" s="40">
        <v>302</v>
      </c>
      <c r="I69" s="40">
        <v>39575</v>
      </c>
      <c r="J69" s="40">
        <v>33762</v>
      </c>
      <c r="K69" s="40">
        <v>265</v>
      </c>
      <c r="L69" s="38" t="s">
        <v>21</v>
      </c>
      <c r="M69" s="38" t="s">
        <v>379</v>
      </c>
      <c r="N69" s="38" t="s">
        <v>18</v>
      </c>
      <c r="O69" s="41">
        <f>((Posts!$F62+Posts!$G62+Posts!$H62)/Posts!$I62)*100</f>
        <v>8.8087436599488314</v>
      </c>
      <c r="P69" s="24">
        <f>SUM(Table2[[#This Row],[Likes]],Table2[[#This Row],[Shares]],Table2[[#This Row],[Comments]])</f>
        <v>3811</v>
      </c>
      <c r="Q6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69" s="25">
        <f>Table2[[#This Row],[Net_Engagement]]/Table2[[#This Row],[Total_Budget]]</f>
        <v>2.381875E-2</v>
      </c>
      <c r="S6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6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69" s="32" t="str">
        <f t="shared" si="0"/>
        <v>Before</v>
      </c>
      <c r="V69" s="16">
        <f t="shared" ca="1" si="1"/>
        <v>9.0056673801933851</v>
      </c>
      <c r="W69" s="16">
        <f t="shared" ca="1" si="2"/>
        <v>10.425463914943149</v>
      </c>
      <c r="X69" s="16">
        <f ca="1">(Table1[[#This Row],[Average_During]]-Table1[[#This Row],[Average_Before]])/Table1[[#This Row],[Average_Before]]*100</f>
        <v>15.765589320702583</v>
      </c>
    </row>
    <row r="70" spans="1:24">
      <c r="A70" s="42" t="s">
        <v>267</v>
      </c>
      <c r="B70" s="42" t="s">
        <v>31</v>
      </c>
      <c r="C70" s="43">
        <v>45738</v>
      </c>
      <c r="D70" s="44" t="s">
        <v>15</v>
      </c>
      <c r="E70" s="44" t="s">
        <v>32</v>
      </c>
      <c r="F70" s="44">
        <v>4308</v>
      </c>
      <c r="G70" s="44">
        <v>171</v>
      </c>
      <c r="H70" s="44">
        <v>106</v>
      </c>
      <c r="I70" s="44">
        <v>36955</v>
      </c>
      <c r="J70" s="44">
        <v>23949</v>
      </c>
      <c r="K70" s="44">
        <v>294</v>
      </c>
      <c r="L70" s="42" t="s">
        <v>21</v>
      </c>
      <c r="M70" s="42" t="s">
        <v>380</v>
      </c>
      <c r="N70" s="42" t="s">
        <v>22</v>
      </c>
      <c r="O70" s="45">
        <f>((Posts!$F63+Posts!$G63+Posts!$H63)/Posts!$I63)*100</f>
        <v>4.3619068768968834</v>
      </c>
      <c r="P70" s="28">
        <f>SUM(Table2[[#This Row],[Likes]],Table2[[#This Row],[Shares]],Table2[[#This Row],[Comments]])</f>
        <v>2074</v>
      </c>
      <c r="Q7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70" s="29">
        <f>Table2[[#This Row],[Net_Engagement]]/Table2[[#This Row],[Total_Budget]]</f>
        <v>1.0370000000000001E-2</v>
      </c>
      <c r="S7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7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70" s="32" t="str">
        <f t="shared" si="0"/>
        <v>Before</v>
      </c>
      <c r="V70" s="16">
        <f t="shared" ca="1" si="1"/>
        <v>9.1669114540917285</v>
      </c>
      <c r="W70" s="16">
        <f t="shared" ca="1" si="2"/>
        <v>8.3313897569909212</v>
      </c>
      <c r="X70" s="16">
        <f ca="1">(Table1[[#This Row],[Average_During]]-Table1[[#This Row],[Average_Before]])/Table1[[#This Row],[Average_Before]]*100</f>
        <v>-9.1145387547936352</v>
      </c>
    </row>
    <row r="71" spans="1:24">
      <c r="A71" s="38" t="s">
        <v>302</v>
      </c>
      <c r="B71" s="38" t="s">
        <v>24</v>
      </c>
      <c r="C71" s="39">
        <v>45626</v>
      </c>
      <c r="D71" s="40" t="s">
        <v>25</v>
      </c>
      <c r="E71" s="40" t="s">
        <v>20</v>
      </c>
      <c r="F71" s="40">
        <v>4963</v>
      </c>
      <c r="G71" s="40">
        <v>255</v>
      </c>
      <c r="H71" s="40">
        <v>193</v>
      </c>
      <c r="I71" s="40">
        <v>44386</v>
      </c>
      <c r="J71" s="40">
        <v>28415</v>
      </c>
      <c r="K71" s="40">
        <v>174</v>
      </c>
      <c r="L71" s="38" t="s">
        <v>379</v>
      </c>
      <c r="M71" s="38" t="s">
        <v>42</v>
      </c>
      <c r="N71" s="38" t="s">
        <v>18</v>
      </c>
      <c r="O71" s="41">
        <f>((Posts!$F64+Posts!$G64+Posts!$H64)/Posts!$I64)*100</f>
        <v>3.6351938233874859</v>
      </c>
      <c r="P71" s="24">
        <f>SUM(Table2[[#This Row],[Likes]],Table2[[#This Row],[Shares]],Table2[[#This Row],[Comments]])</f>
        <v>5538</v>
      </c>
      <c r="Q7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71" s="25">
        <f>Table2[[#This Row],[Net_Engagement]]/Table2[[#This Row],[Total_Budget]]</f>
        <v>2.7689999999999999E-2</v>
      </c>
      <c r="S7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7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71" s="32" t="str">
        <f t="shared" si="0"/>
        <v>Before</v>
      </c>
      <c r="V71" s="16">
        <f t="shared" ca="1" si="1"/>
        <v>9.1580580549697697</v>
      </c>
      <c r="W71" s="16">
        <f t="shared" ca="1" si="2"/>
        <v>8.7291312736466651</v>
      </c>
      <c r="X71" s="16">
        <f ca="1">(Table1[[#This Row],[Average_During]]-Table1[[#This Row],[Average_Before]])/Table1[[#This Row],[Average_Before]]*100</f>
        <v>-4.6835997189419487</v>
      </c>
    </row>
    <row r="72" spans="1:24">
      <c r="A72" s="42" t="s">
        <v>28</v>
      </c>
      <c r="B72" s="42" t="s">
        <v>14</v>
      </c>
      <c r="C72" s="43">
        <v>45629</v>
      </c>
      <c r="D72" s="44" t="s">
        <v>15</v>
      </c>
      <c r="E72" s="44" t="s">
        <v>29</v>
      </c>
      <c r="F72" s="44">
        <v>3173</v>
      </c>
      <c r="G72" s="44">
        <v>229</v>
      </c>
      <c r="H72" s="44">
        <v>197</v>
      </c>
      <c r="I72" s="44">
        <v>29604</v>
      </c>
      <c r="J72" s="44">
        <v>21809</v>
      </c>
      <c r="K72" s="44">
        <v>272</v>
      </c>
      <c r="L72" s="42" t="s">
        <v>45</v>
      </c>
      <c r="M72" s="42" t="s">
        <v>42</v>
      </c>
      <c r="N72" s="42" t="s">
        <v>18</v>
      </c>
      <c r="O72" s="45">
        <f>((Posts!$F65+Posts!$G65+Posts!$H65)/Posts!$I65)*100</f>
        <v>9.2093661212893121</v>
      </c>
      <c r="P72" s="28">
        <f>SUM(Table2[[#This Row],[Likes]],Table2[[#This Row],[Shares]],Table2[[#This Row],[Comments]])</f>
        <v>4648</v>
      </c>
      <c r="Q7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72" s="29">
        <f>Table2[[#This Row],[Net_Engagement]]/Table2[[#This Row],[Total_Budget]]</f>
        <v>2.9049999999999999E-2</v>
      </c>
      <c r="S7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7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72" s="32" t="str">
        <f t="shared" si="0"/>
        <v>Before</v>
      </c>
      <c r="V72" s="16">
        <f t="shared" ca="1" si="1"/>
        <v>9.2049574301382737</v>
      </c>
      <c r="W72" s="16">
        <f t="shared" ca="1" si="2"/>
        <v>8.4470725497944166</v>
      </c>
      <c r="X72" s="16">
        <f ca="1">(Table1[[#This Row],[Average_During]]-Table1[[#This Row],[Average_Before]])/Table1[[#This Row],[Average_Before]]*100</f>
        <v>-8.2334425345894573</v>
      </c>
    </row>
    <row r="73" spans="1:24">
      <c r="A73" s="38" t="s">
        <v>336</v>
      </c>
      <c r="B73" s="38" t="s">
        <v>24</v>
      </c>
      <c r="C73" s="39">
        <v>45736</v>
      </c>
      <c r="D73" s="40" t="s">
        <v>25</v>
      </c>
      <c r="E73" s="40" t="s">
        <v>51</v>
      </c>
      <c r="F73" s="40">
        <v>3393</v>
      </c>
      <c r="G73" s="40">
        <v>104</v>
      </c>
      <c r="H73" s="40">
        <v>79</v>
      </c>
      <c r="I73" s="40">
        <v>30025</v>
      </c>
      <c r="J73" s="40">
        <v>21593</v>
      </c>
      <c r="K73" s="40">
        <v>165</v>
      </c>
      <c r="L73" s="38" t="s">
        <v>379</v>
      </c>
      <c r="M73" s="38" t="s">
        <v>42</v>
      </c>
      <c r="N73" s="38" t="s">
        <v>18</v>
      </c>
      <c r="O73" s="41">
        <f>((Posts!$F66+Posts!$G66+Posts!$H66)/Posts!$I66)*100</f>
        <v>3.5777344113000655</v>
      </c>
      <c r="P73" s="24">
        <f>SUM(Table2[[#This Row],[Likes]],Table2[[#This Row],[Shares]],Table2[[#This Row],[Comments]])</f>
        <v>1661</v>
      </c>
      <c r="Q7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73" s="25">
        <f>Table2[[#This Row],[Net_Engagement]]/Table2[[#This Row],[Total_Budget]]</f>
        <v>1.038125E-2</v>
      </c>
      <c r="S7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7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73" s="32" t="str">
        <f t="shared" si="0"/>
        <v>Before</v>
      </c>
      <c r="V73" s="16">
        <f t="shared" ca="1" si="1"/>
        <v>9.0454095768117959</v>
      </c>
      <c r="W73" s="16">
        <f t="shared" ca="1" si="2"/>
        <v>10.502164972579543</v>
      </c>
      <c r="X73" s="16">
        <f ca="1">(Table1[[#This Row],[Average_During]]-Table1[[#This Row],[Average_Before]])/Table1[[#This Row],[Average_Before]]*100</f>
        <v>16.104913585142537</v>
      </c>
    </row>
    <row r="74" spans="1:24">
      <c r="A74" s="42" t="s">
        <v>83</v>
      </c>
      <c r="B74" s="42" t="s">
        <v>14</v>
      </c>
      <c r="C74" s="43">
        <v>45702</v>
      </c>
      <c r="D74" s="44" t="s">
        <v>15</v>
      </c>
      <c r="E74" s="44" t="s">
        <v>41</v>
      </c>
      <c r="F74" s="44">
        <v>4891</v>
      </c>
      <c r="G74" s="44">
        <v>450</v>
      </c>
      <c r="H74" s="44">
        <v>387</v>
      </c>
      <c r="I74" s="44">
        <v>48746</v>
      </c>
      <c r="J74" s="44">
        <v>37312</v>
      </c>
      <c r="K74" s="44">
        <v>154</v>
      </c>
      <c r="L74" s="42" t="s">
        <v>45</v>
      </c>
      <c r="M74" s="42" t="s">
        <v>42</v>
      </c>
      <c r="N74" s="42" t="s">
        <v>18</v>
      </c>
      <c r="O74" s="45">
        <f>((Posts!$F67+Posts!$G67+Posts!$H67)/Posts!$I67)*100</f>
        <v>9.0267383317458165</v>
      </c>
      <c r="P74" s="28">
        <f>SUM(Table2[[#This Row],[Likes]],Table2[[#This Row],[Shares]],Table2[[#This Row],[Comments]])</f>
        <v>1901</v>
      </c>
      <c r="Q7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74" s="29">
        <f>Table2[[#This Row],[Net_Engagement]]/Table2[[#This Row],[Total_Budget]]</f>
        <v>1.0862857142857143E-2</v>
      </c>
      <c r="S7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7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74" s="32" t="str">
        <f t="shared" ref="U74:U137" si="3">IF(AND(C74&gt;=$S$9,C74&lt;=$T$9),"During","Before")</f>
        <v>Before</v>
      </c>
      <c r="V74" s="16">
        <f t="shared" ref="V74:V137" ca="1" si="4">AVERAGEIF($U$9:$U$308,"Before",O74)</f>
        <v>9.148276328663858</v>
      </c>
      <c r="W74" s="16">
        <f t="shared" ref="W74:W137" ca="1" si="5">IFERROR(AVERAGEIF($U$9:$U$308,"During",O74),0)</f>
        <v>9.5046781056243912</v>
      </c>
      <c r="X74" s="16">
        <f ca="1">(Table1[[#This Row],[Average_During]]-Table1[[#This Row],[Average_Before]])/Table1[[#This Row],[Average_Before]]*100</f>
        <v>3.8958352825858187</v>
      </c>
    </row>
    <row r="75" spans="1:24">
      <c r="A75" s="38" t="s">
        <v>182</v>
      </c>
      <c r="B75" s="38" t="s">
        <v>14</v>
      </c>
      <c r="C75" s="39">
        <v>45647</v>
      </c>
      <c r="D75" s="40" t="s">
        <v>25</v>
      </c>
      <c r="E75" s="40" t="s">
        <v>26</v>
      </c>
      <c r="F75" s="40">
        <v>4563</v>
      </c>
      <c r="G75" s="40">
        <v>398</v>
      </c>
      <c r="H75" s="40">
        <v>163</v>
      </c>
      <c r="I75" s="40">
        <v>43679</v>
      </c>
      <c r="J75" s="40">
        <v>48760</v>
      </c>
      <c r="K75" s="40">
        <v>92</v>
      </c>
      <c r="L75" s="38" t="s">
        <v>42</v>
      </c>
      <c r="M75" s="38" t="s">
        <v>381</v>
      </c>
      <c r="N75" s="38" t="s">
        <v>55</v>
      </c>
      <c r="O75" s="41">
        <f>((Posts!$F68+Posts!$G68+Posts!$H68)/Posts!$I68)*100</f>
        <v>17.658969920637514</v>
      </c>
      <c r="P75" s="24">
        <f>SUM(Table2[[#This Row],[Likes]],Table2[[#This Row],[Shares]],Table2[[#This Row],[Comments]])</f>
        <v>2156</v>
      </c>
      <c r="Q7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75" s="25">
        <f>Table2[[#This Row],[Net_Engagement]]/Table2[[#This Row],[Total_Budget]]</f>
        <v>1.078E-2</v>
      </c>
      <c r="S7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7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75" s="32" t="str">
        <f t="shared" si="3"/>
        <v>Before</v>
      </c>
      <c r="V75" s="16">
        <f t="shared" ca="1" si="4"/>
        <v>9.1154638066425271</v>
      </c>
      <c r="W75" s="16">
        <f t="shared" ca="1" si="5"/>
        <v>9.9306695924212853</v>
      </c>
      <c r="X75" s="16">
        <f ca="1">(Table1[[#This Row],[Average_During]]-Table1[[#This Row],[Average_Before]])/Table1[[#This Row],[Average_Before]]*100</f>
        <v>8.9431081409671105</v>
      </c>
    </row>
    <row r="76" spans="1:24">
      <c r="A76" s="42" t="s">
        <v>306</v>
      </c>
      <c r="B76" s="42" t="s">
        <v>14</v>
      </c>
      <c r="C76" s="43">
        <v>45442</v>
      </c>
      <c r="D76" s="44" t="s">
        <v>25</v>
      </c>
      <c r="E76" s="44" t="s">
        <v>37</v>
      </c>
      <c r="F76" s="44">
        <v>2448</v>
      </c>
      <c r="G76" s="44">
        <v>464</v>
      </c>
      <c r="H76" s="44">
        <v>98</v>
      </c>
      <c r="I76" s="44">
        <v>25737</v>
      </c>
      <c r="J76" s="44">
        <v>48545</v>
      </c>
      <c r="K76" s="44">
        <v>246</v>
      </c>
      <c r="L76" s="42" t="s">
        <v>42</v>
      </c>
      <c r="M76" s="42" t="s">
        <v>381</v>
      </c>
      <c r="N76" s="42" t="s">
        <v>55</v>
      </c>
      <c r="O76" s="45">
        <f>((Posts!$F69+Posts!$G69+Posts!$H69)/Posts!$I69)*100</f>
        <v>18.517978620019438</v>
      </c>
      <c r="P76" s="28">
        <f>SUM(Table2[[#This Row],[Likes]],Table2[[#This Row],[Shares]],Table2[[#This Row],[Comments]])</f>
        <v>2167</v>
      </c>
      <c r="Q7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76" s="29">
        <f>Table2[[#This Row],[Net_Engagement]]/Table2[[#This Row],[Total_Budget]]</f>
        <v>1.0834999999999999E-2</v>
      </c>
      <c r="S7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7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76" s="32" t="str">
        <f t="shared" si="3"/>
        <v>Before</v>
      </c>
      <c r="V76" s="16">
        <f t="shared" ca="1" si="4"/>
        <v>9.2389373664978809</v>
      </c>
      <c r="W76" s="16">
        <f t="shared" ca="1" si="5"/>
        <v>7.8592698840241422</v>
      </c>
      <c r="X76" s="16">
        <f ca="1">(Table1[[#This Row],[Average_During]]-Table1[[#This Row],[Average_Before]])/Table1[[#This Row],[Average_Before]]*100</f>
        <v>-14.933183630800137</v>
      </c>
    </row>
    <row r="77" spans="1:24">
      <c r="A77" s="38" t="s">
        <v>179</v>
      </c>
      <c r="B77" s="38" t="s">
        <v>24</v>
      </c>
      <c r="C77" s="39">
        <v>45725</v>
      </c>
      <c r="D77" s="40" t="s">
        <v>15</v>
      </c>
      <c r="E77" s="40" t="s">
        <v>51</v>
      </c>
      <c r="F77" s="40">
        <v>2754</v>
      </c>
      <c r="G77" s="40">
        <v>215</v>
      </c>
      <c r="H77" s="40">
        <v>264</v>
      </c>
      <c r="I77" s="40">
        <v>27762</v>
      </c>
      <c r="J77" s="40">
        <v>70203</v>
      </c>
      <c r="K77" s="40">
        <v>289</v>
      </c>
      <c r="L77" s="38" t="s">
        <v>42</v>
      </c>
      <c r="M77" s="38" t="s">
        <v>381</v>
      </c>
      <c r="N77" s="38" t="s">
        <v>18</v>
      </c>
      <c r="O77" s="41">
        <f>((Posts!$F70+Posts!$G70+Posts!$H70)/Posts!$I70)*100</f>
        <v>4.6406515707509168</v>
      </c>
      <c r="P77" s="24">
        <f>SUM(Table2[[#This Row],[Likes]],Table2[[#This Row],[Shares]],Table2[[#This Row],[Comments]])</f>
        <v>2943</v>
      </c>
      <c r="Q7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77" s="25">
        <f>Table2[[#This Row],[Net_Engagement]]/Table2[[#This Row],[Total_Budget]]</f>
        <v>1.839375E-2</v>
      </c>
      <c r="S7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7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77" s="32" t="str">
        <f t="shared" si="3"/>
        <v>Before</v>
      </c>
      <c r="V77" s="16">
        <f t="shared" ca="1" si="4"/>
        <v>9.0232176057602516</v>
      </c>
      <c r="W77" s="16">
        <f t="shared" ca="1" si="5"/>
        <v>10.041664431381134</v>
      </c>
      <c r="X77" s="16">
        <f ca="1">(Table1[[#This Row],[Average_During]]-Table1[[#This Row],[Average_Before]])/Table1[[#This Row],[Average_Before]]*100</f>
        <v>11.286958489959563</v>
      </c>
    </row>
    <row r="78" spans="1:24">
      <c r="A78" s="42" t="s">
        <v>85</v>
      </c>
      <c r="B78" s="42" t="s">
        <v>31</v>
      </c>
      <c r="C78" s="43">
        <v>45487</v>
      </c>
      <c r="D78" s="44" t="s">
        <v>15</v>
      </c>
      <c r="E78" s="44" t="s">
        <v>51</v>
      </c>
      <c r="F78" s="44">
        <v>3806</v>
      </c>
      <c r="G78" s="44">
        <v>114</v>
      </c>
      <c r="H78" s="44">
        <v>278</v>
      </c>
      <c r="I78" s="44">
        <v>36148</v>
      </c>
      <c r="J78" s="44">
        <v>24209</v>
      </c>
      <c r="K78" s="44">
        <v>201</v>
      </c>
      <c r="L78" s="42" t="s">
        <v>21</v>
      </c>
      <c r="M78" s="42" t="s">
        <v>380</v>
      </c>
      <c r="N78" s="42" t="s">
        <v>22</v>
      </c>
      <c r="O78" s="45">
        <f>((Posts!$F71+Posts!$G71+Posts!$H71)/Posts!$I71)*100</f>
        <v>10.657378184897237</v>
      </c>
      <c r="P78" s="28">
        <f>SUM(Table2[[#This Row],[Likes]],Table2[[#This Row],[Shares]],Table2[[#This Row],[Comments]])</f>
        <v>2939</v>
      </c>
      <c r="Q7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78" s="29">
        <f>Table2[[#This Row],[Net_Engagement]]/Table2[[#This Row],[Total_Budget]]</f>
        <v>1.4695E-2</v>
      </c>
      <c r="S7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7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78" s="32" t="str">
        <f t="shared" si="3"/>
        <v>Before</v>
      </c>
      <c r="V78" s="16">
        <f t="shared" ca="1" si="4"/>
        <v>9.0607321557631444</v>
      </c>
      <c r="W78" s="16">
        <f t="shared" ca="1" si="5"/>
        <v>9.8272204510511507</v>
      </c>
      <c r="X78" s="16">
        <f ca="1">(Table1[[#This Row],[Average_During]]-Table1[[#This Row],[Average_Before]])/Table1[[#This Row],[Average_Before]]*100</f>
        <v>8.4594520852321615</v>
      </c>
    </row>
    <row r="79" spans="1:24">
      <c r="A79" s="38" t="s">
        <v>185</v>
      </c>
      <c r="B79" s="38" t="s">
        <v>24</v>
      </c>
      <c r="C79" s="39">
        <v>45805</v>
      </c>
      <c r="D79" s="40" t="s">
        <v>25</v>
      </c>
      <c r="E79" s="40" t="s">
        <v>41</v>
      </c>
      <c r="F79" s="40">
        <v>4287</v>
      </c>
      <c r="G79" s="40">
        <v>273</v>
      </c>
      <c r="H79" s="40">
        <v>122</v>
      </c>
      <c r="I79" s="40">
        <v>40792</v>
      </c>
      <c r="J79" s="40">
        <v>23878</v>
      </c>
      <c r="K79" s="40">
        <v>277</v>
      </c>
      <c r="L79" s="38" t="s">
        <v>379</v>
      </c>
      <c r="M79" s="38" t="s">
        <v>42</v>
      </c>
      <c r="N79" s="38" t="s">
        <v>18</v>
      </c>
      <c r="O79" s="41">
        <f>((Posts!$F72+Posts!$G72+Posts!$H72)/Posts!$I72)*100</f>
        <v>16.07525766064882</v>
      </c>
      <c r="P79" s="24">
        <f>SUM(Table2[[#This Row],[Likes]],Table2[[#This Row],[Shares]],Table2[[#This Row],[Comments]])</f>
        <v>3043</v>
      </c>
      <c r="Q7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79" s="25">
        <f>Table2[[#This Row],[Net_Engagement]]/Table2[[#This Row],[Total_Budget]]</f>
        <v>1.5214999999999999E-2</v>
      </c>
      <c r="S7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7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79" s="32" t="str">
        <f t="shared" si="3"/>
        <v>Before</v>
      </c>
      <c r="V79" s="16">
        <f t="shared" ca="1" si="4"/>
        <v>9.1874764851874549</v>
      </c>
      <c r="W79" s="16">
        <f t="shared" ca="1" si="5"/>
        <v>8.1452682041975404</v>
      </c>
      <c r="X79" s="16">
        <f ca="1">(Table1[[#This Row],[Average_During]]-Table1[[#This Row],[Average_Before]])/Table1[[#This Row],[Average_Before]]*100</f>
        <v>-11.34379263631552</v>
      </c>
    </row>
    <row r="80" spans="1:24">
      <c r="A80" s="42" t="s">
        <v>326</v>
      </c>
      <c r="B80" s="42" t="s">
        <v>14</v>
      </c>
      <c r="C80" s="43">
        <v>45413</v>
      </c>
      <c r="D80" s="44" t="s">
        <v>15</v>
      </c>
      <c r="E80" s="44" t="s">
        <v>37</v>
      </c>
      <c r="F80" s="44">
        <v>3359</v>
      </c>
      <c r="G80" s="44">
        <v>137</v>
      </c>
      <c r="H80" s="44">
        <v>387</v>
      </c>
      <c r="I80" s="44">
        <v>33861</v>
      </c>
      <c r="J80" s="44">
        <v>47257</v>
      </c>
      <c r="K80" s="44">
        <v>198</v>
      </c>
      <c r="L80" s="42" t="s">
        <v>21</v>
      </c>
      <c r="M80" s="42" t="s">
        <v>381</v>
      </c>
      <c r="N80" s="42" t="s">
        <v>22</v>
      </c>
      <c r="O80" s="45">
        <f>((Posts!$F73+Posts!$G73+Posts!$H73)/Posts!$I73)*100</f>
        <v>8.1549489395129608</v>
      </c>
      <c r="P80" s="28">
        <f>SUM(Table2[[#This Row],[Likes]],Table2[[#This Row],[Shares]],Table2[[#This Row],[Comments]])</f>
        <v>5094</v>
      </c>
      <c r="Q8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80" s="29">
        <f>Table2[[#This Row],[Net_Engagement]]/Table2[[#This Row],[Total_Budget]]</f>
        <v>2.9108571428571428E-2</v>
      </c>
      <c r="S8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8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80" s="32" t="str">
        <f t="shared" si="3"/>
        <v>Before</v>
      </c>
      <c r="V80" s="16">
        <f t="shared" ca="1" si="4"/>
        <v>9.1075614800150024</v>
      </c>
      <c r="W80" s="16">
        <f t="shared" ca="1" si="5"/>
        <v>8.7366917289679904</v>
      </c>
      <c r="X80" s="16">
        <f ca="1">(Table1[[#This Row],[Average_During]]-Table1[[#This Row],[Average_Before]])/Table1[[#This Row],[Average_Before]]*100</f>
        <v>-4.0721081253288567</v>
      </c>
    </row>
    <row r="81" spans="1:24">
      <c r="A81" s="38" t="s">
        <v>67</v>
      </c>
      <c r="B81" s="38" t="s">
        <v>14</v>
      </c>
      <c r="C81" s="39">
        <v>45625</v>
      </c>
      <c r="D81" s="40" t="s">
        <v>15</v>
      </c>
      <c r="E81" s="40" t="s">
        <v>35</v>
      </c>
      <c r="F81" s="40">
        <v>2824</v>
      </c>
      <c r="G81" s="40">
        <v>425</v>
      </c>
      <c r="H81" s="40">
        <v>274</v>
      </c>
      <c r="I81" s="40">
        <v>31004</v>
      </c>
      <c r="J81" s="40">
        <v>53488</v>
      </c>
      <c r="K81" s="40">
        <v>268</v>
      </c>
      <c r="L81" s="38" t="s">
        <v>45</v>
      </c>
      <c r="M81" s="38" t="s">
        <v>42</v>
      </c>
      <c r="N81" s="38" t="s">
        <v>18</v>
      </c>
      <c r="O81" s="41">
        <f>((Posts!$F74+Posts!$G74+Posts!$H74)/Posts!$I74)*100</f>
        <v>5.2042268944371441</v>
      </c>
      <c r="P81" s="24">
        <f>SUM(Table2[[#This Row],[Likes]],Table2[[#This Row],[Shares]],Table2[[#This Row],[Comments]])</f>
        <v>2731</v>
      </c>
      <c r="Q8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81" s="25">
        <f>Table2[[#This Row],[Net_Engagement]]/Table2[[#This Row],[Total_Budget]]</f>
        <v>1.3655E-2</v>
      </c>
      <c r="S8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8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81" s="32" t="str">
        <f t="shared" si="3"/>
        <v>Before</v>
      </c>
      <c r="V81" s="16">
        <f t="shared" ca="1" si="4"/>
        <v>9.0907875717161133</v>
      </c>
      <c r="W81" s="16">
        <f t="shared" ca="1" si="5"/>
        <v>9.0009215637660809</v>
      </c>
      <c r="X81" s="16">
        <f ca="1">(Table1[[#This Row],[Average_During]]-Table1[[#This Row],[Average_Before]])/Table1[[#This Row],[Average_Before]]*100</f>
        <v>-0.98853930136515067</v>
      </c>
    </row>
    <row r="82" spans="1:24">
      <c r="A82" s="42" t="s">
        <v>229</v>
      </c>
      <c r="B82" s="42" t="s">
        <v>31</v>
      </c>
      <c r="C82" s="43">
        <v>45708</v>
      </c>
      <c r="D82" s="44" t="s">
        <v>57</v>
      </c>
      <c r="E82" s="44" t="s">
        <v>37</v>
      </c>
      <c r="F82" s="44">
        <v>4957</v>
      </c>
      <c r="G82" s="44">
        <v>262</v>
      </c>
      <c r="H82" s="44">
        <v>365</v>
      </c>
      <c r="I82" s="44">
        <v>49199</v>
      </c>
      <c r="J82" s="44">
        <v>40314</v>
      </c>
      <c r="K82" s="44">
        <v>216</v>
      </c>
      <c r="L82" s="42" t="s">
        <v>21</v>
      </c>
      <c r="M82" s="42" t="s">
        <v>45</v>
      </c>
      <c r="N82" s="42" t="s">
        <v>59</v>
      </c>
      <c r="O82" s="45">
        <f>((Posts!$F75+Posts!$G75+Posts!$H75)/Posts!$I75)*100</f>
        <v>4.0418432004799225</v>
      </c>
      <c r="P82" s="28">
        <f>SUM(Table2[[#This Row],[Likes]],Table2[[#This Row],[Shares]],Table2[[#This Row],[Comments]])</f>
        <v>4996</v>
      </c>
      <c r="Q8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82" s="29">
        <f>Table2[[#This Row],[Net_Engagement]]/Table2[[#This Row],[Total_Budget]]</f>
        <v>3.1224999999999999E-2</v>
      </c>
      <c r="S8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8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82" s="32" t="str">
        <f t="shared" si="3"/>
        <v>Before</v>
      </c>
      <c r="V82" s="16">
        <f t="shared" ca="1" si="4"/>
        <v>9.1066696188800478</v>
      </c>
      <c r="W82" s="16">
        <f t="shared" ca="1" si="5"/>
        <v>9.0333527856986091</v>
      </c>
      <c r="X82" s="16">
        <f ca="1">(Table1[[#This Row],[Average_During]]-Table1[[#This Row],[Average_Before]])/Table1[[#This Row],[Average_Before]]*100</f>
        <v>-0.80508941522856381</v>
      </c>
    </row>
    <row r="83" spans="1:24">
      <c r="A83" s="38" t="s">
        <v>50</v>
      </c>
      <c r="B83" s="38" t="s">
        <v>24</v>
      </c>
      <c r="C83" s="39">
        <v>45418</v>
      </c>
      <c r="D83" s="40" t="s">
        <v>15</v>
      </c>
      <c r="E83" s="40" t="s">
        <v>51</v>
      </c>
      <c r="F83" s="40">
        <v>3476</v>
      </c>
      <c r="G83" s="40">
        <v>355</v>
      </c>
      <c r="H83" s="40">
        <v>396</v>
      </c>
      <c r="I83" s="40">
        <v>37492</v>
      </c>
      <c r="J83" s="40">
        <v>27285</v>
      </c>
      <c r="K83" s="40">
        <v>179</v>
      </c>
      <c r="L83" s="38" t="s">
        <v>42</v>
      </c>
      <c r="M83" s="38" t="s">
        <v>381</v>
      </c>
      <c r="N83" s="38" t="s">
        <v>18</v>
      </c>
      <c r="O83" s="41">
        <f>((Posts!$F76+Posts!$G76+Posts!$H76)/Posts!$I76)*100</f>
        <v>5.1660428636136073</v>
      </c>
      <c r="P83" s="24">
        <f>SUM(Table2[[#This Row],[Likes]],Table2[[#This Row],[Shares]],Table2[[#This Row],[Comments]])</f>
        <v>2589</v>
      </c>
      <c r="Q8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83" s="25">
        <f>Table2[[#This Row],[Net_Engagement]]/Table2[[#This Row],[Total_Budget]]</f>
        <v>1.6181250000000001E-2</v>
      </c>
      <c r="S8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8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83" s="32" t="str">
        <f t="shared" si="3"/>
        <v>Before</v>
      </c>
      <c r="V83" s="16">
        <f t="shared" ca="1" si="4"/>
        <v>9.1239475875622436</v>
      </c>
      <c r="W83" s="16">
        <f t="shared" ca="1" si="5"/>
        <v>9.1188663718057708</v>
      </c>
      <c r="X83" s="16">
        <f ca="1">(Table1[[#This Row],[Average_During]]-Table1[[#This Row],[Average_Before]])/Table1[[#This Row],[Average_Before]]*100</f>
        <v>-5.5690979235780681E-2</v>
      </c>
    </row>
    <row r="84" spans="1:24">
      <c r="A84" s="42" t="s">
        <v>202</v>
      </c>
      <c r="B84" s="42" t="s">
        <v>14</v>
      </c>
      <c r="C84" s="43">
        <v>45610</v>
      </c>
      <c r="D84" s="44" t="s">
        <v>15</v>
      </c>
      <c r="E84" s="44" t="s">
        <v>32</v>
      </c>
      <c r="F84" s="44">
        <v>2422</v>
      </c>
      <c r="G84" s="44">
        <v>318</v>
      </c>
      <c r="H84" s="44">
        <v>118</v>
      </c>
      <c r="I84" s="44">
        <v>25386</v>
      </c>
      <c r="J84" s="44">
        <v>20873</v>
      </c>
      <c r="K84" s="44">
        <v>100</v>
      </c>
      <c r="L84" s="42" t="s">
        <v>45</v>
      </c>
      <c r="M84" s="42" t="s">
        <v>42</v>
      </c>
      <c r="N84" s="42" t="s">
        <v>18</v>
      </c>
      <c r="O84" s="45">
        <f>((Posts!$F77+Posts!$G77+Posts!$H77)/Posts!$I77)*100</f>
        <v>7.6115349799560317</v>
      </c>
      <c r="P84" s="28">
        <f>SUM(Table2[[#This Row],[Likes]],Table2[[#This Row],[Shares]],Table2[[#This Row],[Comments]])</f>
        <v>5087</v>
      </c>
      <c r="Q8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84" s="29">
        <f>Table2[[#This Row],[Net_Engagement]]/Table2[[#This Row],[Total_Budget]]</f>
        <v>2.5434999999999999E-2</v>
      </c>
      <c r="S8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8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84" s="32" t="str">
        <f t="shared" si="3"/>
        <v>Before</v>
      </c>
      <c r="V84" s="16">
        <f t="shared" ca="1" si="4"/>
        <v>9.1128846942616839</v>
      </c>
      <c r="W84" s="16">
        <f t="shared" ca="1" si="5"/>
        <v>9.4870420500683821</v>
      </c>
      <c r="X84" s="16">
        <f ca="1">(Table1[[#This Row],[Average_During]]-Table1[[#This Row],[Average_Before]])/Table1[[#This Row],[Average_Before]]*100</f>
        <v>4.1058058821078065</v>
      </c>
    </row>
    <row r="85" spans="1:24">
      <c r="A85" s="38" t="s">
        <v>320</v>
      </c>
      <c r="B85" s="38" t="s">
        <v>24</v>
      </c>
      <c r="C85" s="39">
        <v>45563</v>
      </c>
      <c r="D85" s="40" t="s">
        <v>25</v>
      </c>
      <c r="E85" s="40" t="s">
        <v>29</v>
      </c>
      <c r="F85" s="40">
        <v>4471</v>
      </c>
      <c r="G85" s="40">
        <v>317</v>
      </c>
      <c r="H85" s="40">
        <v>249</v>
      </c>
      <c r="I85" s="40">
        <v>44862</v>
      </c>
      <c r="J85" s="40">
        <v>33365</v>
      </c>
      <c r="K85" s="40">
        <v>184</v>
      </c>
      <c r="L85" s="38" t="s">
        <v>21</v>
      </c>
      <c r="M85" s="38" t="s">
        <v>379</v>
      </c>
      <c r="N85" s="38" t="s">
        <v>18</v>
      </c>
      <c r="O85" s="41">
        <f>((Posts!$F78+Posts!$G78+Posts!$H78)/Posts!$I78)*100</f>
        <v>9.6080290300434807</v>
      </c>
      <c r="P85" s="24">
        <f>SUM(Table2[[#This Row],[Likes]],Table2[[#This Row],[Shares]],Table2[[#This Row],[Comments]])</f>
        <v>4850</v>
      </c>
      <c r="Q8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85" s="25">
        <f>Table2[[#This Row],[Net_Engagement]]/Table2[[#This Row],[Total_Budget]]</f>
        <v>2.4250000000000001E-2</v>
      </c>
      <c r="S8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8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85" s="32" t="str">
        <f t="shared" si="3"/>
        <v>Before</v>
      </c>
      <c r="V85" s="16">
        <f t="shared" ca="1" si="4"/>
        <v>9.0931337622204005</v>
      </c>
      <c r="W85" s="16">
        <f t="shared" ca="1" si="5"/>
        <v>9.8158533822360798</v>
      </c>
      <c r="X85" s="16">
        <f ca="1">(Table1[[#This Row],[Average_During]]-Table1[[#This Row],[Average_Before]])/Table1[[#This Row],[Average_Before]]*100</f>
        <v>7.9479708416738664</v>
      </c>
    </row>
    <row r="86" spans="1:24">
      <c r="A86" s="42" t="s">
        <v>264</v>
      </c>
      <c r="B86" s="42" t="s">
        <v>24</v>
      </c>
      <c r="C86" s="43">
        <v>45636</v>
      </c>
      <c r="D86" s="44" t="s">
        <v>15</v>
      </c>
      <c r="E86" s="44" t="s">
        <v>49</v>
      </c>
      <c r="F86" s="44">
        <v>4673</v>
      </c>
      <c r="G86" s="44">
        <v>270</v>
      </c>
      <c r="H86" s="44">
        <v>93</v>
      </c>
      <c r="I86" s="44">
        <v>45260</v>
      </c>
      <c r="J86" s="44">
        <v>57513</v>
      </c>
      <c r="K86" s="44">
        <v>103</v>
      </c>
      <c r="L86" s="42" t="s">
        <v>42</v>
      </c>
      <c r="M86" s="42" t="s">
        <v>381</v>
      </c>
      <c r="N86" s="42" t="s">
        <v>18</v>
      </c>
      <c r="O86" s="45">
        <f>((Posts!$F79+Posts!$G79+Posts!$H79)/Posts!$I79)*100</f>
        <v>13.476527900797167</v>
      </c>
      <c r="P86" s="28">
        <f>SUM(Table2[[#This Row],[Likes]],Table2[[#This Row],[Shares]],Table2[[#This Row],[Comments]])</f>
        <v>3464</v>
      </c>
      <c r="Q8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86" s="29">
        <f>Table2[[#This Row],[Net_Engagement]]/Table2[[#This Row],[Total_Budget]]</f>
        <v>1.7319999999999999E-2</v>
      </c>
      <c r="S8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8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86" s="32" t="str">
        <f t="shared" si="3"/>
        <v>Before</v>
      </c>
      <c r="V86" s="16">
        <f t="shared" ca="1" si="4"/>
        <v>9.209348215070321</v>
      </c>
      <c r="W86" s="16">
        <f t="shared" ca="1" si="5"/>
        <v>8.3773197025357433</v>
      </c>
      <c r="X86" s="16">
        <f ca="1">(Table1[[#This Row],[Average_During]]-Table1[[#This Row],[Average_Before]])/Table1[[#This Row],[Average_Before]]*100</f>
        <v>-9.034608021152172</v>
      </c>
    </row>
    <row r="87" spans="1:24">
      <c r="A87" s="38" t="s">
        <v>100</v>
      </c>
      <c r="B87" s="38" t="s">
        <v>31</v>
      </c>
      <c r="C87" s="39">
        <v>45398</v>
      </c>
      <c r="D87" s="40" t="s">
        <v>15</v>
      </c>
      <c r="E87" s="40" t="s">
        <v>16</v>
      </c>
      <c r="F87" s="40">
        <v>4674</v>
      </c>
      <c r="G87" s="40">
        <v>326</v>
      </c>
      <c r="H87" s="40">
        <v>62</v>
      </c>
      <c r="I87" s="40">
        <v>45503</v>
      </c>
      <c r="J87" s="40">
        <v>46814</v>
      </c>
      <c r="K87" s="40">
        <v>116</v>
      </c>
      <c r="L87" s="38" t="s">
        <v>21</v>
      </c>
      <c r="M87" s="38" t="s">
        <v>380</v>
      </c>
      <c r="N87" s="38" t="s">
        <v>22</v>
      </c>
      <c r="O87" s="41">
        <f>((Posts!$F80+Posts!$G80+Posts!$H80)/Posts!$I80)*100</f>
        <v>14.335162515829463</v>
      </c>
      <c r="P87" s="24">
        <f>SUM(Table2[[#This Row],[Likes]],Table2[[#This Row],[Shares]],Table2[[#This Row],[Comments]])</f>
        <v>1606</v>
      </c>
      <c r="Q8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87" s="25">
        <f>Table2[[#This Row],[Net_Engagement]]/Table2[[#This Row],[Total_Budget]]</f>
        <v>8.0300000000000007E-3</v>
      </c>
      <c r="S8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8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87" s="32" t="str">
        <f t="shared" si="3"/>
        <v>Before</v>
      </c>
      <c r="V87" s="16">
        <f t="shared" ca="1" si="4"/>
        <v>9.0643551335200421</v>
      </c>
      <c r="W87" s="16">
        <f t="shared" ca="1" si="5"/>
        <v>9.8747551161874796</v>
      </c>
      <c r="X87" s="16">
        <f ca="1">(Table1[[#This Row],[Average_During]]-Table1[[#This Row],[Average_Before]])/Table1[[#This Row],[Average_Before]]*100</f>
        <v>8.9405144737828426</v>
      </c>
    </row>
    <row r="88" spans="1:24">
      <c r="A88" s="42" t="s">
        <v>335</v>
      </c>
      <c r="B88" s="42" t="s">
        <v>14</v>
      </c>
      <c r="C88" s="43">
        <v>45724</v>
      </c>
      <c r="D88" s="44" t="s">
        <v>25</v>
      </c>
      <c r="E88" s="44" t="s">
        <v>41</v>
      </c>
      <c r="F88" s="44">
        <v>2244</v>
      </c>
      <c r="G88" s="44">
        <v>392</v>
      </c>
      <c r="H88" s="44">
        <v>231</v>
      </c>
      <c r="I88" s="44">
        <v>25834</v>
      </c>
      <c r="J88" s="44">
        <v>50906</v>
      </c>
      <c r="K88" s="44">
        <v>165</v>
      </c>
      <c r="L88" s="42" t="s">
        <v>42</v>
      </c>
      <c r="M88" s="42" t="s">
        <v>381</v>
      </c>
      <c r="N88" s="42" t="s">
        <v>55</v>
      </c>
      <c r="O88" s="45">
        <f>((Posts!$F81+Posts!$G81+Posts!$H81)/Posts!$I81)*100</f>
        <v>7.3021390374331556</v>
      </c>
      <c r="P88" s="28">
        <f>SUM(Table2[[#This Row],[Likes]],Table2[[#This Row],[Shares]],Table2[[#This Row],[Comments]])</f>
        <v>3268</v>
      </c>
      <c r="Q8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88" s="29">
        <f>Table2[[#This Row],[Net_Engagement]]/Table2[[#This Row],[Total_Budget]]</f>
        <v>1.634E-2</v>
      </c>
      <c r="S8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8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88" s="32" t="str">
        <f t="shared" si="3"/>
        <v>Before</v>
      </c>
      <c r="V88" s="16">
        <f t="shared" ca="1" si="4"/>
        <v>9.1867364929842683</v>
      </c>
      <c r="W88" s="16">
        <f t="shared" ca="1" si="5"/>
        <v>8.0961313095397252</v>
      </c>
      <c r="X88" s="16">
        <f ca="1">(Table1[[#This Row],[Average_During]]-Table1[[#This Row],[Average_Before]])/Table1[[#This Row],[Average_Before]]*100</f>
        <v>-11.871519165455732</v>
      </c>
    </row>
    <row r="89" spans="1:24">
      <c r="A89" s="38" t="s">
        <v>203</v>
      </c>
      <c r="B89" s="38" t="s">
        <v>31</v>
      </c>
      <c r="C89" s="39">
        <v>45513</v>
      </c>
      <c r="D89" s="40" t="s">
        <v>57</v>
      </c>
      <c r="E89" s="40" t="s">
        <v>49</v>
      </c>
      <c r="F89" s="40">
        <v>3414</v>
      </c>
      <c r="G89" s="40">
        <v>154</v>
      </c>
      <c r="H89" s="40">
        <v>204</v>
      </c>
      <c r="I89" s="40">
        <v>34146</v>
      </c>
      <c r="J89" s="40">
        <v>44633</v>
      </c>
      <c r="K89" s="40">
        <v>256</v>
      </c>
      <c r="L89" s="38" t="s">
        <v>21</v>
      </c>
      <c r="M89" s="38" t="s">
        <v>45</v>
      </c>
      <c r="N89" s="38" t="s">
        <v>59</v>
      </c>
      <c r="O89" s="41">
        <f>((Posts!$F82+Posts!$G82+Posts!$H82)/Posts!$I82)*100</f>
        <v>8.8232696960599046</v>
      </c>
      <c r="P89" s="24">
        <f>SUM(Table2[[#This Row],[Likes]],Table2[[#This Row],[Shares]],Table2[[#This Row],[Comments]])</f>
        <v>5562</v>
      </c>
      <c r="Q8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89" s="25">
        <f>Table2[[#This Row],[Net_Engagement]]/Table2[[#This Row],[Total_Budget]]</f>
        <v>2.7810000000000001E-2</v>
      </c>
      <c r="S8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8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89" s="32" t="str">
        <f t="shared" si="3"/>
        <v>Before</v>
      </c>
      <c r="V89" s="16">
        <f t="shared" ca="1" si="4"/>
        <v>9.0649583686764021</v>
      </c>
      <c r="W89" s="16">
        <f t="shared" ca="1" si="5"/>
        <v>9.6611640560132095</v>
      </c>
      <c r="X89" s="16">
        <f ca="1">(Table1[[#This Row],[Average_During]]-Table1[[#This Row],[Average_Before]])/Table1[[#This Row],[Average_Before]]*100</f>
        <v>6.5770372360117175</v>
      </c>
    </row>
    <row r="90" spans="1:24">
      <c r="A90" s="42" t="s">
        <v>165</v>
      </c>
      <c r="B90" s="42" t="s">
        <v>24</v>
      </c>
      <c r="C90" s="43">
        <v>45602</v>
      </c>
      <c r="D90" s="44" t="s">
        <v>15</v>
      </c>
      <c r="E90" s="44" t="s">
        <v>49</v>
      </c>
      <c r="F90" s="44">
        <v>2956</v>
      </c>
      <c r="G90" s="44">
        <v>381</v>
      </c>
      <c r="H90" s="44">
        <v>345</v>
      </c>
      <c r="I90" s="44">
        <v>33347</v>
      </c>
      <c r="J90" s="44">
        <v>22558</v>
      </c>
      <c r="K90" s="44">
        <v>173</v>
      </c>
      <c r="L90" s="42" t="s">
        <v>42</v>
      </c>
      <c r="M90" s="42" t="s">
        <v>381</v>
      </c>
      <c r="N90" s="42" t="s">
        <v>18</v>
      </c>
      <c r="O90" s="45">
        <f>((Posts!$F83+Posts!$G83+Posts!$H83)/Posts!$I83)*100</f>
        <v>5.9312714776632305</v>
      </c>
      <c r="P90" s="28">
        <f>SUM(Table2[[#This Row],[Likes]],Table2[[#This Row],[Shares]],Table2[[#This Row],[Comments]])</f>
        <v>3197</v>
      </c>
      <c r="Q9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90" s="29">
        <f>Table2[[#This Row],[Net_Engagement]]/Table2[[#This Row],[Total_Budget]]</f>
        <v>1.5984999999999999E-2</v>
      </c>
      <c r="S9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9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90" s="32" t="str">
        <f t="shared" si="3"/>
        <v>Before</v>
      </c>
      <c r="V90" s="16">
        <f t="shared" ca="1" si="4"/>
        <v>9.1088592562068627</v>
      </c>
      <c r="W90" s="16">
        <f t="shared" ca="1" si="5"/>
        <v>9.1537351966875153</v>
      </c>
      <c r="X90" s="16">
        <f ca="1">(Table1[[#This Row],[Average_During]]-Table1[[#This Row],[Average_Before]])/Table1[[#This Row],[Average_Before]]*100</f>
        <v>0.49266257407670228</v>
      </c>
    </row>
    <row r="91" spans="1:24">
      <c r="A91" s="38" t="s">
        <v>64</v>
      </c>
      <c r="B91" s="38" t="s">
        <v>24</v>
      </c>
      <c r="C91" s="39">
        <v>45583</v>
      </c>
      <c r="D91" s="40" t="s">
        <v>15</v>
      </c>
      <c r="E91" s="40" t="s">
        <v>26</v>
      </c>
      <c r="F91" s="40">
        <v>2607</v>
      </c>
      <c r="G91" s="40">
        <v>379</v>
      </c>
      <c r="H91" s="40">
        <v>180</v>
      </c>
      <c r="I91" s="40">
        <v>28712</v>
      </c>
      <c r="J91" s="40">
        <v>61620</v>
      </c>
      <c r="K91" s="40">
        <v>174</v>
      </c>
      <c r="L91" s="38" t="s">
        <v>45</v>
      </c>
      <c r="M91" s="38" t="s">
        <v>381</v>
      </c>
      <c r="N91" s="38" t="s">
        <v>22</v>
      </c>
      <c r="O91" s="41">
        <f>((Posts!$F84+Posts!$G84+Posts!$H84)/Posts!$I84)*100</f>
        <v>14.711666377465441</v>
      </c>
      <c r="P91" s="24">
        <f>SUM(Table2[[#This Row],[Likes]],Table2[[#This Row],[Shares]],Table2[[#This Row],[Comments]])</f>
        <v>3902</v>
      </c>
      <c r="Q9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91" s="25">
        <f>Table2[[#This Row],[Net_Engagement]]/Table2[[#This Row],[Total_Budget]]</f>
        <v>1.951E-2</v>
      </c>
      <c r="S9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9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91" s="32" t="str">
        <f t="shared" si="3"/>
        <v>Before</v>
      </c>
      <c r="V91" s="16">
        <f t="shared" ca="1" si="4"/>
        <v>9.1949676748887725</v>
      </c>
      <c r="W91" s="16">
        <f t="shared" ca="1" si="5"/>
        <v>8.3225467039510228</v>
      </c>
      <c r="X91" s="16">
        <f ca="1">(Table1[[#This Row],[Average_During]]-Table1[[#This Row],[Average_Before]])/Table1[[#This Row],[Average_Before]]*100</f>
        <v>-9.4880265138974842</v>
      </c>
    </row>
    <row r="92" spans="1:24">
      <c r="A92" s="42" t="s">
        <v>272</v>
      </c>
      <c r="B92" s="42" t="s">
        <v>31</v>
      </c>
      <c r="C92" s="43">
        <v>45723</v>
      </c>
      <c r="D92" s="44" t="s">
        <v>15</v>
      </c>
      <c r="E92" s="44" t="s">
        <v>41</v>
      </c>
      <c r="F92" s="44">
        <v>4310</v>
      </c>
      <c r="G92" s="44">
        <v>284</v>
      </c>
      <c r="H92" s="44">
        <v>306</v>
      </c>
      <c r="I92" s="44">
        <v>44606</v>
      </c>
      <c r="J92" s="44">
        <v>42604</v>
      </c>
      <c r="K92" s="44">
        <v>290</v>
      </c>
      <c r="L92" s="42" t="s">
        <v>21</v>
      </c>
      <c r="M92" s="42" t="s">
        <v>380</v>
      </c>
      <c r="N92" s="42" t="s">
        <v>22</v>
      </c>
      <c r="O92" s="45">
        <f>((Posts!$F85+Posts!$G85+Posts!$H85)/Posts!$I85)*100</f>
        <v>16.283364109451064</v>
      </c>
      <c r="P92" s="28">
        <f>SUM(Table2[[#This Row],[Likes]],Table2[[#This Row],[Shares]],Table2[[#This Row],[Comments]])</f>
        <v>1622</v>
      </c>
      <c r="Q9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92" s="29">
        <f>Table2[[#This Row],[Net_Engagement]]/Table2[[#This Row],[Total_Budget]]</f>
        <v>1.0137500000000001E-2</v>
      </c>
      <c r="S9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9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92" s="32" t="str">
        <f t="shared" si="3"/>
        <v>Before</v>
      </c>
      <c r="V92" s="16">
        <f t="shared" ca="1" si="4"/>
        <v>9.2001614026027845</v>
      </c>
      <c r="W92" s="16">
        <f t="shared" ca="1" si="5"/>
        <v>7.9369323365757545</v>
      </c>
      <c r="X92" s="16">
        <f ca="1">(Table1[[#This Row],[Average_During]]-Table1[[#This Row],[Average_Before]])/Table1[[#This Row],[Average_Before]]*100</f>
        <v>-13.730509832899829</v>
      </c>
    </row>
    <row r="93" spans="1:24">
      <c r="A93" s="38" t="s">
        <v>148</v>
      </c>
      <c r="B93" s="38" t="s">
        <v>31</v>
      </c>
      <c r="C93" s="39">
        <v>45542</v>
      </c>
      <c r="D93" s="40" t="s">
        <v>57</v>
      </c>
      <c r="E93" s="40" t="s">
        <v>32</v>
      </c>
      <c r="F93" s="40">
        <v>3882</v>
      </c>
      <c r="G93" s="40">
        <v>342</v>
      </c>
      <c r="H93" s="40">
        <v>374</v>
      </c>
      <c r="I93" s="40">
        <v>41991</v>
      </c>
      <c r="J93" s="40">
        <v>48554</v>
      </c>
      <c r="K93" s="40">
        <v>118</v>
      </c>
      <c r="L93" s="38" t="s">
        <v>21</v>
      </c>
      <c r="M93" s="38" t="s">
        <v>45</v>
      </c>
      <c r="N93" s="38" t="s">
        <v>59</v>
      </c>
      <c r="O93" s="41">
        <f>((Posts!$F86+Posts!$G86+Posts!$H86)/Posts!$I86)*100</f>
        <v>6.005027303458438</v>
      </c>
      <c r="P93" s="24">
        <f>SUM(Table2[[#This Row],[Likes]],Table2[[#This Row],[Shares]],Table2[[#This Row],[Comments]])</f>
        <v>2418</v>
      </c>
      <c r="Q9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93" s="25">
        <f>Table2[[#This Row],[Net_Engagement]]/Table2[[#This Row],[Total_Budget]]</f>
        <v>1.3817142857142858E-2</v>
      </c>
      <c r="S9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9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93" s="32" t="str">
        <f t="shared" si="3"/>
        <v>Before</v>
      </c>
      <c r="V93" s="16">
        <f t="shared" ca="1" si="4"/>
        <v>9.0370516203934272</v>
      </c>
      <c r="W93" s="16">
        <f t="shared" ca="1" si="5"/>
        <v>9.4296172749765859</v>
      </c>
      <c r="X93" s="16">
        <f ca="1">(Table1[[#This Row],[Average_During]]-Table1[[#This Row],[Average_Before]])/Table1[[#This Row],[Average_Before]]*100</f>
        <v>4.3439572005683456</v>
      </c>
    </row>
    <row r="94" spans="1:24">
      <c r="A94" s="42" t="s">
        <v>89</v>
      </c>
      <c r="B94" s="42" t="s">
        <v>24</v>
      </c>
      <c r="C94" s="43">
        <v>45533</v>
      </c>
      <c r="D94" s="44" t="s">
        <v>25</v>
      </c>
      <c r="E94" s="44" t="s">
        <v>37</v>
      </c>
      <c r="F94" s="44">
        <v>4276</v>
      </c>
      <c r="G94" s="44">
        <v>227</v>
      </c>
      <c r="H94" s="44">
        <v>223</v>
      </c>
      <c r="I94" s="44">
        <v>43443</v>
      </c>
      <c r="J94" s="44">
        <v>41005</v>
      </c>
      <c r="K94" s="44">
        <v>191</v>
      </c>
      <c r="L94" s="42" t="s">
        <v>21</v>
      </c>
      <c r="M94" s="42" t="s">
        <v>379</v>
      </c>
      <c r="N94" s="42" t="s">
        <v>18</v>
      </c>
      <c r="O94" s="45">
        <f>((Posts!$F87+Posts!$G87+Posts!$H87)/Posts!$I87)*100</f>
        <v>4.4438295517432209</v>
      </c>
      <c r="P94" s="28">
        <f>SUM(Table2[[#This Row],[Likes]],Table2[[#This Row],[Shares]],Table2[[#This Row],[Comments]])</f>
        <v>1641</v>
      </c>
      <c r="Q9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94" s="29">
        <f>Table2[[#This Row],[Net_Engagement]]/Table2[[#This Row],[Total_Budget]]</f>
        <v>1.025625E-2</v>
      </c>
      <c r="S9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9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94" s="32" t="str">
        <f t="shared" si="3"/>
        <v>Before</v>
      </c>
      <c r="V94" s="16">
        <f t="shared" ca="1" si="4"/>
        <v>8.9393872799523262</v>
      </c>
      <c r="W94" s="16">
        <f t="shared" ca="1" si="5"/>
        <v>10.745473964639709</v>
      </c>
      <c r="X94" s="16">
        <f ca="1">(Table1[[#This Row],[Average_During]]-Table1[[#This Row],[Average_Before]])/Table1[[#This Row],[Average_Before]]*100</f>
        <v>20.203696608354289</v>
      </c>
    </row>
    <row r="95" spans="1:24">
      <c r="A95" s="38" t="s">
        <v>81</v>
      </c>
      <c r="B95" s="38" t="s">
        <v>14</v>
      </c>
      <c r="C95" s="39">
        <v>45401</v>
      </c>
      <c r="D95" s="40" t="s">
        <v>15</v>
      </c>
      <c r="E95" s="40" t="s">
        <v>26</v>
      </c>
      <c r="F95" s="40">
        <v>4001</v>
      </c>
      <c r="G95" s="40">
        <v>353</v>
      </c>
      <c r="H95" s="40">
        <v>129</v>
      </c>
      <c r="I95" s="40">
        <v>41265</v>
      </c>
      <c r="J95" s="40">
        <v>37279</v>
      </c>
      <c r="K95" s="40">
        <v>275</v>
      </c>
      <c r="L95" s="38" t="s">
        <v>45</v>
      </c>
      <c r="M95" s="38" t="s">
        <v>42</v>
      </c>
      <c r="N95" s="38" t="s">
        <v>18</v>
      </c>
      <c r="O95" s="41">
        <f>((Posts!$F88+Posts!$G88+Posts!$H88)/Posts!$I88)*100</f>
        <v>6.1158416768035933</v>
      </c>
      <c r="P95" s="24">
        <f>SUM(Table2[[#This Row],[Likes]],Table2[[#This Row],[Shares]],Table2[[#This Row],[Comments]])</f>
        <v>5282</v>
      </c>
      <c r="Q9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95" s="25">
        <f>Table2[[#This Row],[Net_Engagement]]/Table2[[#This Row],[Total_Budget]]</f>
        <v>2.6409999999999999E-2</v>
      </c>
      <c r="S9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9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95" s="32" t="str">
        <f t="shared" si="3"/>
        <v>Before</v>
      </c>
      <c r="V95" s="16">
        <f t="shared" ca="1" si="4"/>
        <v>9.0991398633681051</v>
      </c>
      <c r="W95" s="16">
        <f t="shared" ca="1" si="5"/>
        <v>9.1586680114221046</v>
      </c>
      <c r="X95" s="16">
        <f ca="1">(Table1[[#This Row],[Average_During]]-Table1[[#This Row],[Average_Before]])/Table1[[#This Row],[Average_Before]]*100</f>
        <v>0.6542173100740184</v>
      </c>
    </row>
    <row r="96" spans="1:24">
      <c r="A96" s="42" t="s">
        <v>242</v>
      </c>
      <c r="B96" s="42" t="s">
        <v>24</v>
      </c>
      <c r="C96" s="43">
        <v>45302</v>
      </c>
      <c r="D96" s="44" t="s">
        <v>25</v>
      </c>
      <c r="E96" s="44" t="s">
        <v>29</v>
      </c>
      <c r="F96" s="44">
        <v>2340</v>
      </c>
      <c r="G96" s="44">
        <v>141</v>
      </c>
      <c r="H96" s="44">
        <v>206</v>
      </c>
      <c r="I96" s="44">
        <v>24916</v>
      </c>
      <c r="J96" s="44">
        <v>30582</v>
      </c>
      <c r="K96" s="44">
        <v>157</v>
      </c>
      <c r="L96" s="42" t="s">
        <v>45</v>
      </c>
      <c r="M96" s="42" t="s">
        <v>42</v>
      </c>
      <c r="N96" s="42" t="s">
        <v>18</v>
      </c>
      <c r="O96" s="45">
        <f>((Posts!$F89+Posts!$G89+Posts!$H89)/Posts!$I89)*100</f>
        <v>18.086628511966701</v>
      </c>
      <c r="P96" s="28">
        <f>SUM(Table2[[#This Row],[Likes]],Table2[[#This Row],[Shares]],Table2[[#This Row],[Comments]])</f>
        <v>2996</v>
      </c>
      <c r="Q9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96" s="29">
        <f>Table2[[#This Row],[Net_Engagement]]/Table2[[#This Row],[Total_Budget]]</f>
        <v>1.3315555555555556E-2</v>
      </c>
      <c r="S9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9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96" s="32" t="str">
        <f t="shared" si="3"/>
        <v>Before</v>
      </c>
      <c r="V96" s="16">
        <f t="shared" ca="1" si="4"/>
        <v>9.2082544718206183</v>
      </c>
      <c r="W96" s="16">
        <f t="shared" ca="1" si="5"/>
        <v>8.0761288896498318</v>
      </c>
      <c r="X96" s="16">
        <f ca="1">(Table1[[#This Row],[Average_During]]-Table1[[#This Row],[Average_Before]])/Table1[[#This Row],[Average_Before]]*100</f>
        <v>-12.294681751415014</v>
      </c>
    </row>
    <row r="97" spans="1:24">
      <c r="A97" s="38" t="s">
        <v>77</v>
      </c>
      <c r="B97" s="38" t="s">
        <v>24</v>
      </c>
      <c r="C97" s="39">
        <v>45804</v>
      </c>
      <c r="D97" s="40" t="s">
        <v>25</v>
      </c>
      <c r="E97" s="40" t="s">
        <v>20</v>
      </c>
      <c r="F97" s="40">
        <v>4095</v>
      </c>
      <c r="G97" s="40">
        <v>385</v>
      </c>
      <c r="H97" s="40">
        <v>400</v>
      </c>
      <c r="I97" s="40">
        <v>45300</v>
      </c>
      <c r="J97" s="40">
        <v>31795</v>
      </c>
      <c r="K97" s="40">
        <v>80</v>
      </c>
      <c r="L97" s="38" t="s">
        <v>379</v>
      </c>
      <c r="M97" s="38" t="s">
        <v>42</v>
      </c>
      <c r="N97" s="38" t="s">
        <v>18</v>
      </c>
      <c r="O97" s="41">
        <f>((Posts!$F90+Posts!$G90+Posts!$H90)/Posts!$I90)*100</f>
        <v>9.8770390509144832</v>
      </c>
      <c r="P97" s="24">
        <f>SUM(Table2[[#This Row],[Likes]],Table2[[#This Row],[Shares]],Table2[[#This Row],[Comments]])</f>
        <v>3277</v>
      </c>
      <c r="Q9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97" s="25">
        <f>Table2[[#This Row],[Net_Engagement]]/Table2[[#This Row],[Total_Budget]]</f>
        <v>1.6385E-2</v>
      </c>
      <c r="S9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9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97" s="32" t="str">
        <f t="shared" si="3"/>
        <v>Before</v>
      </c>
      <c r="V97" s="16">
        <f t="shared" ca="1" si="4"/>
        <v>9.1102725061046765</v>
      </c>
      <c r="W97" s="16">
        <f t="shared" ca="1" si="5"/>
        <v>8.6777823763829698</v>
      </c>
      <c r="X97" s="16">
        <f ca="1">(Table1[[#This Row],[Average_During]]-Table1[[#This Row],[Average_Before]])/Table1[[#This Row],[Average_Before]]*100</f>
        <v>-4.747279836381411</v>
      </c>
    </row>
    <row r="98" spans="1:24">
      <c r="A98" s="42" t="s">
        <v>292</v>
      </c>
      <c r="B98" s="42" t="s">
        <v>31</v>
      </c>
      <c r="C98" s="43">
        <v>45591</v>
      </c>
      <c r="D98" s="44" t="s">
        <v>15</v>
      </c>
      <c r="E98" s="44" t="s">
        <v>26</v>
      </c>
      <c r="F98" s="44">
        <v>4676</v>
      </c>
      <c r="G98" s="44">
        <v>211</v>
      </c>
      <c r="H98" s="44">
        <v>55</v>
      </c>
      <c r="I98" s="44">
        <v>45917</v>
      </c>
      <c r="J98" s="44">
        <v>73503</v>
      </c>
      <c r="K98" s="44">
        <v>248</v>
      </c>
      <c r="L98" s="42" t="s">
        <v>21</v>
      </c>
      <c r="M98" s="42" t="s">
        <v>380</v>
      </c>
      <c r="N98" s="42" t="s">
        <v>22</v>
      </c>
      <c r="O98" s="45">
        <f>((Posts!$F91+Posts!$G91+Posts!$H91)/Posts!$I91)*100</f>
        <v>17.642537414658406</v>
      </c>
      <c r="P98" s="28">
        <f>SUM(Table2[[#This Row],[Likes]],Table2[[#This Row],[Shares]],Table2[[#This Row],[Comments]])</f>
        <v>4406</v>
      </c>
      <c r="Q9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98" s="29">
        <f>Table2[[#This Row],[Net_Engagement]]/Table2[[#This Row],[Total_Budget]]</f>
        <v>2.7537499999999999E-2</v>
      </c>
      <c r="S9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9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98" s="32" t="str">
        <f t="shared" si="3"/>
        <v>Before</v>
      </c>
      <c r="V98" s="16">
        <f t="shared" ca="1" si="4"/>
        <v>9.0550188933552178</v>
      </c>
      <c r="W98" s="16">
        <f t="shared" ca="1" si="5"/>
        <v>9.2632196898291195</v>
      </c>
      <c r="X98" s="16">
        <f ca="1">(Table1[[#This Row],[Average_During]]-Table1[[#This Row],[Average_Before]])/Table1[[#This Row],[Average_Before]]*100</f>
        <v>2.2992861630215287</v>
      </c>
    </row>
    <row r="99" spans="1:24">
      <c r="A99" s="38" t="s">
        <v>235</v>
      </c>
      <c r="B99" s="38" t="s">
        <v>31</v>
      </c>
      <c r="C99" s="39">
        <v>45305</v>
      </c>
      <c r="D99" s="40" t="s">
        <v>15</v>
      </c>
      <c r="E99" s="40" t="s">
        <v>26</v>
      </c>
      <c r="F99" s="40">
        <v>3634</v>
      </c>
      <c r="G99" s="40">
        <v>280</v>
      </c>
      <c r="H99" s="40">
        <v>399</v>
      </c>
      <c r="I99" s="40">
        <v>40256</v>
      </c>
      <c r="J99" s="40">
        <v>52605</v>
      </c>
      <c r="K99" s="40">
        <v>213</v>
      </c>
      <c r="L99" s="38" t="s">
        <v>21</v>
      </c>
      <c r="M99" s="38" t="s">
        <v>380</v>
      </c>
      <c r="N99" s="38" t="s">
        <v>22</v>
      </c>
      <c r="O99" s="41">
        <f>((Posts!$F92+Posts!$G92+Posts!$H92)/Posts!$I92)*100</f>
        <v>7.8512996756861426</v>
      </c>
      <c r="P99" s="24">
        <f>SUM(Table2[[#This Row],[Likes]],Table2[[#This Row],[Shares]],Table2[[#This Row],[Comments]])</f>
        <v>5639</v>
      </c>
      <c r="Q9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99" s="25">
        <f>Table2[[#This Row],[Net_Engagement]]/Table2[[#This Row],[Total_Budget]]</f>
        <v>2.8195000000000001E-2</v>
      </c>
      <c r="S9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9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99" s="32" t="str">
        <f t="shared" si="3"/>
        <v>Before</v>
      </c>
      <c r="V99" s="16">
        <f t="shared" ca="1" si="4"/>
        <v>9.1148215772885059</v>
      </c>
      <c r="W99" s="16">
        <f t="shared" ca="1" si="5"/>
        <v>8.0791351886275162</v>
      </c>
      <c r="X99" s="16">
        <f ca="1">(Table1[[#This Row],[Average_During]]-Table1[[#This Row],[Average_Before]])/Table1[[#This Row],[Average_Before]]*100</f>
        <v>-11.362662229632887</v>
      </c>
    </row>
    <row r="100" spans="1:24">
      <c r="A100" s="42" t="s">
        <v>188</v>
      </c>
      <c r="B100" s="42" t="s">
        <v>24</v>
      </c>
      <c r="C100" s="43">
        <v>45696</v>
      </c>
      <c r="D100" s="44" t="s">
        <v>25</v>
      </c>
      <c r="E100" s="44" t="s">
        <v>51</v>
      </c>
      <c r="F100" s="44">
        <v>4752</v>
      </c>
      <c r="G100" s="44">
        <v>334</v>
      </c>
      <c r="H100" s="44">
        <v>56</v>
      </c>
      <c r="I100" s="44">
        <v>48017</v>
      </c>
      <c r="J100" s="44">
        <v>55534</v>
      </c>
      <c r="K100" s="44">
        <v>270</v>
      </c>
      <c r="L100" s="42" t="s">
        <v>21</v>
      </c>
      <c r="M100" s="42" t="s">
        <v>379</v>
      </c>
      <c r="N100" s="42" t="s">
        <v>18</v>
      </c>
      <c r="O100" s="45">
        <f>((Posts!$F93+Posts!$G93+Posts!$H93)/Posts!$I93)*100</f>
        <v>7.974671020085089</v>
      </c>
      <c r="P100" s="28">
        <f>SUM(Table2[[#This Row],[Likes]],Table2[[#This Row],[Shares]],Table2[[#This Row],[Comments]])</f>
        <v>2821</v>
      </c>
      <c r="Q10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00" s="29">
        <f>Table2[[#This Row],[Net_Engagement]]/Table2[[#This Row],[Total_Budget]]</f>
        <v>1.4104999999999999E-2</v>
      </c>
      <c r="S10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0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00" s="32" t="str">
        <f t="shared" si="3"/>
        <v>During</v>
      </c>
      <c r="V100" s="16">
        <f t="shared" ca="1" si="4"/>
        <v>8.9696811275534021</v>
      </c>
      <c r="W100" s="16">
        <f t="shared" ca="1" si="5"/>
        <v>9.7926933210241032</v>
      </c>
      <c r="X100" s="16">
        <f ca="1">(Table1[[#This Row],[Average_During]]-Table1[[#This Row],[Average_Before]])/Table1[[#This Row],[Average_Before]]*100</f>
        <v>9.1754899841705786</v>
      </c>
    </row>
    <row r="101" spans="1:24">
      <c r="A101" s="38" t="s">
        <v>110</v>
      </c>
      <c r="B101" s="38" t="s">
        <v>24</v>
      </c>
      <c r="C101" s="39">
        <v>45662</v>
      </c>
      <c r="D101" s="40" t="s">
        <v>15</v>
      </c>
      <c r="E101" s="40" t="s">
        <v>29</v>
      </c>
      <c r="F101" s="40">
        <v>4811</v>
      </c>
      <c r="G101" s="40">
        <v>473</v>
      </c>
      <c r="H101" s="40">
        <v>254</v>
      </c>
      <c r="I101" s="40">
        <v>51964</v>
      </c>
      <c r="J101" s="40">
        <v>68795</v>
      </c>
      <c r="K101" s="40">
        <v>107</v>
      </c>
      <c r="L101" s="38" t="s">
        <v>42</v>
      </c>
      <c r="M101" s="38" t="s">
        <v>381</v>
      </c>
      <c r="N101" s="38" t="s">
        <v>18</v>
      </c>
      <c r="O101" s="41">
        <f>((Posts!$F94+Posts!$G94+Posts!$H94)/Posts!$I94)*100</f>
        <v>6.3999063999063992</v>
      </c>
      <c r="P101" s="24">
        <f>SUM(Table2[[#This Row],[Likes]],Table2[[#This Row],[Shares]],Table2[[#This Row],[Comments]])</f>
        <v>3637</v>
      </c>
      <c r="Q10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01" s="25">
        <f>Table2[[#This Row],[Net_Engagement]]/Table2[[#This Row],[Total_Budget]]</f>
        <v>2.2731250000000001E-2</v>
      </c>
      <c r="S10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0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01" s="32" t="str">
        <f t="shared" si="3"/>
        <v>Before</v>
      </c>
      <c r="V101" s="16">
        <f t="shared" ca="1" si="4"/>
        <v>9.1395605170418222</v>
      </c>
      <c r="W101" s="16">
        <f t="shared" ca="1" si="5"/>
        <v>7.9425784219170152</v>
      </c>
      <c r="X101" s="16">
        <f ca="1">(Table1[[#This Row],[Average_During]]-Table1[[#This Row],[Average_Before]])/Table1[[#This Row],[Average_Before]]*100</f>
        <v>-13.096713927249438</v>
      </c>
    </row>
    <row r="102" spans="1:24">
      <c r="A102" s="42" t="s">
        <v>205</v>
      </c>
      <c r="B102" s="42" t="s">
        <v>14</v>
      </c>
      <c r="C102" s="43">
        <v>45420</v>
      </c>
      <c r="D102" s="44" t="s">
        <v>25</v>
      </c>
      <c r="E102" s="44" t="s">
        <v>32</v>
      </c>
      <c r="F102" s="44">
        <v>2414</v>
      </c>
      <c r="G102" s="44">
        <v>220</v>
      </c>
      <c r="H102" s="44">
        <v>280</v>
      </c>
      <c r="I102" s="44">
        <v>27355</v>
      </c>
      <c r="J102" s="44">
        <v>50562</v>
      </c>
      <c r="K102" s="44">
        <v>258</v>
      </c>
      <c r="L102" s="42" t="s">
        <v>42</v>
      </c>
      <c r="M102" s="42" t="s">
        <v>381</v>
      </c>
      <c r="N102" s="42" t="s">
        <v>55</v>
      </c>
      <c r="O102" s="45">
        <f>((Posts!$F95+Posts!$G95+Posts!$H95)/Posts!$I95)*100</f>
        <v>14.397862944992641</v>
      </c>
      <c r="P102" s="28">
        <f>SUM(Table2[[#This Row],[Likes]],Table2[[#This Row],[Shares]],Table2[[#This Row],[Comments]])</f>
        <v>3730</v>
      </c>
      <c r="Q10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02" s="29">
        <f>Table2[[#This Row],[Net_Engagement]]/Table2[[#This Row],[Total_Budget]]</f>
        <v>1.865E-2</v>
      </c>
      <c r="S10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0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02" s="32" t="str">
        <f t="shared" si="3"/>
        <v>Before</v>
      </c>
      <c r="V102" s="16">
        <f t="shared" ca="1" si="4"/>
        <v>9.1021971448740793</v>
      </c>
      <c r="W102" s="16">
        <f t="shared" ca="1" si="5"/>
        <v>8.5213251765644742</v>
      </c>
      <c r="X102" s="16">
        <f ca="1">(Table1[[#This Row],[Average_During]]-Table1[[#This Row],[Average_Before]])/Table1[[#This Row],[Average_Before]]*100</f>
        <v>-6.3816676244671804</v>
      </c>
    </row>
    <row r="103" spans="1:24">
      <c r="A103" s="38" t="s">
        <v>97</v>
      </c>
      <c r="B103" s="38" t="s">
        <v>14</v>
      </c>
      <c r="C103" s="39">
        <v>45299</v>
      </c>
      <c r="D103" s="40" t="s">
        <v>15</v>
      </c>
      <c r="E103" s="40" t="s">
        <v>41</v>
      </c>
      <c r="F103" s="40">
        <v>2683</v>
      </c>
      <c r="G103" s="40">
        <v>405</v>
      </c>
      <c r="H103" s="40">
        <v>223</v>
      </c>
      <c r="I103" s="40">
        <v>31233</v>
      </c>
      <c r="J103" s="40">
        <v>58106</v>
      </c>
      <c r="K103" s="40">
        <v>291</v>
      </c>
      <c r="L103" s="38" t="s">
        <v>21</v>
      </c>
      <c r="M103" s="38" t="s">
        <v>381</v>
      </c>
      <c r="N103" s="38" t="s">
        <v>22</v>
      </c>
      <c r="O103" s="41">
        <f>((Posts!$F96+Posts!$G96+Posts!$H96)/Posts!$I96)*100</f>
        <v>14.130742382794075</v>
      </c>
      <c r="P103" s="24">
        <f>SUM(Table2[[#This Row],[Likes]],Table2[[#This Row],[Shares]],Table2[[#This Row],[Comments]])</f>
        <v>3444</v>
      </c>
      <c r="Q10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03" s="25">
        <f>Table2[[#This Row],[Net_Engagement]]/Table2[[#This Row],[Total_Budget]]</f>
        <v>1.7219999999999999E-2</v>
      </c>
      <c r="S10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0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03" s="32" t="str">
        <f t="shared" si="3"/>
        <v>Before</v>
      </c>
      <c r="V103" s="16">
        <f t="shared" ca="1" si="4"/>
        <v>8.9489985192853645</v>
      </c>
      <c r="W103" s="16">
        <f t="shared" ca="1" si="5"/>
        <v>9.9130236728085173</v>
      </c>
      <c r="X103" s="16">
        <f ca="1">(Table1[[#This Row],[Average_During]]-Table1[[#This Row],[Average_Before]])/Table1[[#This Row],[Average_Before]]*100</f>
        <v>10.772436171999015</v>
      </c>
    </row>
    <row r="104" spans="1:24">
      <c r="A104" s="42" t="s">
        <v>137</v>
      </c>
      <c r="B104" s="42" t="s">
        <v>14</v>
      </c>
      <c r="C104" s="43">
        <v>45317</v>
      </c>
      <c r="D104" s="44" t="s">
        <v>15</v>
      </c>
      <c r="E104" s="44" t="s">
        <v>35</v>
      </c>
      <c r="F104" s="44">
        <v>3878</v>
      </c>
      <c r="G104" s="44">
        <v>431</v>
      </c>
      <c r="H104" s="44">
        <v>97</v>
      </c>
      <c r="I104" s="44">
        <v>41763</v>
      </c>
      <c r="J104" s="44">
        <v>29729</v>
      </c>
      <c r="K104" s="44">
        <v>191</v>
      </c>
      <c r="L104" s="42" t="s">
        <v>21</v>
      </c>
      <c r="M104" s="42" t="s">
        <v>381</v>
      </c>
      <c r="N104" s="42" t="s">
        <v>22</v>
      </c>
      <c r="O104" s="45">
        <f>((Posts!$F97+Posts!$G97+Posts!$H97)/Posts!$I97)*100</f>
        <v>13.528464682326714</v>
      </c>
      <c r="P104" s="28">
        <f>SUM(Table2[[#This Row],[Likes]],Table2[[#This Row],[Shares]],Table2[[#This Row],[Comments]])</f>
        <v>2123</v>
      </c>
      <c r="Q10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04" s="29">
        <f>Table2[[#This Row],[Net_Engagement]]/Table2[[#This Row],[Total_Budget]]</f>
        <v>1.0614999999999999E-2</v>
      </c>
      <c r="S10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0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04" s="32" t="str">
        <f t="shared" si="3"/>
        <v>Before</v>
      </c>
      <c r="V104" s="16">
        <f t="shared" ca="1" si="4"/>
        <v>9.1146961698998368</v>
      </c>
      <c r="W104" s="16">
        <f t="shared" ca="1" si="5"/>
        <v>7.7757941328655917</v>
      </c>
      <c r="X104" s="16">
        <f ca="1">(Table1[[#This Row],[Average_During]]-Table1[[#This Row],[Average_Before]])/Table1[[#This Row],[Average_Before]]*100</f>
        <v>-14.689486210805406</v>
      </c>
    </row>
    <row r="105" spans="1:24">
      <c r="A105" s="38" t="s">
        <v>280</v>
      </c>
      <c r="B105" s="38" t="s">
        <v>31</v>
      </c>
      <c r="C105" s="39">
        <v>45533</v>
      </c>
      <c r="D105" s="40" t="s">
        <v>15</v>
      </c>
      <c r="E105" s="40" t="s">
        <v>29</v>
      </c>
      <c r="F105" s="40">
        <v>4774</v>
      </c>
      <c r="G105" s="40">
        <v>389</v>
      </c>
      <c r="H105" s="40">
        <v>358</v>
      </c>
      <c r="I105" s="40">
        <v>52346</v>
      </c>
      <c r="J105" s="40">
        <v>30518</v>
      </c>
      <c r="K105" s="40">
        <v>277</v>
      </c>
      <c r="L105" s="38" t="s">
        <v>21</v>
      </c>
      <c r="M105" s="38" t="s">
        <v>380</v>
      </c>
      <c r="N105" s="38" t="s">
        <v>22</v>
      </c>
      <c r="O105" s="41">
        <f>((Posts!$F98+Posts!$G98+Posts!$H98)/Posts!$I98)*100</f>
        <v>10.550008380623996</v>
      </c>
      <c r="P105" s="24">
        <f>SUM(Table2[[#This Row],[Likes]],Table2[[#This Row],[Shares]],Table2[[#This Row],[Comments]])</f>
        <v>3217</v>
      </c>
      <c r="Q10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05" s="25">
        <f>Table2[[#This Row],[Net_Engagement]]/Table2[[#This Row],[Total_Budget]]</f>
        <v>1.6084999999999999E-2</v>
      </c>
      <c r="S10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0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05" s="32" t="str">
        <f t="shared" si="3"/>
        <v>Before</v>
      </c>
      <c r="V105" s="16">
        <f t="shared" ca="1" si="4"/>
        <v>9.1163645953086903</v>
      </c>
      <c r="W105" s="16">
        <f t="shared" ca="1" si="5"/>
        <v>7.4978080114607204</v>
      </c>
      <c r="X105" s="16">
        <f ca="1">(Table1[[#This Row],[Average_During]]-Table1[[#This Row],[Average_Before]])/Table1[[#This Row],[Average_Before]]*100</f>
        <v>-17.754408206544131</v>
      </c>
    </row>
    <row r="106" spans="1:24">
      <c r="A106" s="42" t="s">
        <v>328</v>
      </c>
      <c r="B106" s="42" t="s">
        <v>24</v>
      </c>
      <c r="C106" s="43">
        <v>45513</v>
      </c>
      <c r="D106" s="44" t="s">
        <v>25</v>
      </c>
      <c r="E106" s="44" t="s">
        <v>49</v>
      </c>
      <c r="F106" s="44">
        <v>4877</v>
      </c>
      <c r="G106" s="44">
        <v>442</v>
      </c>
      <c r="H106" s="44">
        <v>236</v>
      </c>
      <c r="I106" s="44">
        <v>52673</v>
      </c>
      <c r="J106" s="44">
        <v>48241</v>
      </c>
      <c r="K106" s="44">
        <v>114</v>
      </c>
      <c r="L106" s="42" t="s">
        <v>21</v>
      </c>
      <c r="M106" s="42" t="s">
        <v>379</v>
      </c>
      <c r="N106" s="42" t="s">
        <v>18</v>
      </c>
      <c r="O106" s="45">
        <f>((Posts!$F99+Posts!$G99+Posts!$H99)/Posts!$I99)*100</f>
        <v>9.4690354648038682</v>
      </c>
      <c r="P106" s="28">
        <f>SUM(Table2[[#This Row],[Likes]],Table2[[#This Row],[Shares]],Table2[[#This Row],[Comments]])</f>
        <v>3234</v>
      </c>
      <c r="Q10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06" s="29">
        <f>Table2[[#This Row],[Net_Engagement]]/Table2[[#This Row],[Total_Budget]]</f>
        <v>1.617E-2</v>
      </c>
      <c r="S10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0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06" s="32" t="str">
        <f t="shared" si="3"/>
        <v>Before</v>
      </c>
      <c r="V106" s="16">
        <f t="shared" ca="1" si="4"/>
        <v>9.0165313257381055</v>
      </c>
      <c r="W106" s="16">
        <f t="shared" ca="1" si="5"/>
        <v>8.5057694440967992</v>
      </c>
      <c r="X106" s="16">
        <f ca="1">(Table1[[#This Row],[Average_During]]-Table1[[#This Row],[Average_Before]])/Table1[[#This Row],[Average_Before]]*100</f>
        <v>-5.6647269685994743</v>
      </c>
    </row>
    <row r="107" spans="1:24">
      <c r="A107" s="38" t="s">
        <v>168</v>
      </c>
      <c r="B107" s="38" t="s">
        <v>14</v>
      </c>
      <c r="C107" s="39">
        <v>45344</v>
      </c>
      <c r="D107" s="40" t="s">
        <v>15</v>
      </c>
      <c r="E107" s="40" t="s">
        <v>26</v>
      </c>
      <c r="F107" s="40">
        <v>1902</v>
      </c>
      <c r="G107" s="40">
        <v>394</v>
      </c>
      <c r="H107" s="40">
        <v>279</v>
      </c>
      <c r="I107" s="40">
        <v>24615</v>
      </c>
      <c r="J107" s="40">
        <v>51330</v>
      </c>
      <c r="K107" s="40">
        <v>176</v>
      </c>
      <c r="L107" s="38" t="s">
        <v>45</v>
      </c>
      <c r="M107" s="38" t="s">
        <v>42</v>
      </c>
      <c r="N107" s="38" t="s">
        <v>18</v>
      </c>
      <c r="O107" s="41">
        <f>((Posts!$F100+Posts!$G100+Posts!$H100)/Posts!$I100)*100</f>
        <v>6.9344411395983379</v>
      </c>
      <c r="P107" s="24">
        <f>SUM(Table2[[#This Row],[Likes]],Table2[[#This Row],[Shares]],Table2[[#This Row],[Comments]])</f>
        <v>4948</v>
      </c>
      <c r="Q10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07" s="25">
        <f>Table2[[#This Row],[Net_Engagement]]/Table2[[#This Row],[Total_Budget]]</f>
        <v>2.4740000000000002E-2</v>
      </c>
      <c r="S10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0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07" s="32" t="str">
        <f t="shared" si="3"/>
        <v>Before</v>
      </c>
      <c r="V107" s="16">
        <f t="shared" ca="1" si="4"/>
        <v>8.9957749379519338</v>
      </c>
      <c r="W107" s="16">
        <f t="shared" ca="1" si="5"/>
        <v>8.7050298912365971</v>
      </c>
      <c r="X107" s="16">
        <f ca="1">(Table1[[#This Row],[Average_During]]-Table1[[#This Row],[Average_Before]])/Table1[[#This Row],[Average_Before]]*100</f>
        <v>-3.2320177941393737</v>
      </c>
    </row>
    <row r="108" spans="1:24">
      <c r="A108" s="42" t="s">
        <v>195</v>
      </c>
      <c r="B108" s="42" t="s">
        <v>14</v>
      </c>
      <c r="C108" s="43">
        <v>45407</v>
      </c>
      <c r="D108" s="44" t="s">
        <v>15</v>
      </c>
      <c r="E108" s="44" t="s">
        <v>32</v>
      </c>
      <c r="F108" s="44">
        <v>3563</v>
      </c>
      <c r="G108" s="44">
        <v>483</v>
      </c>
      <c r="H108" s="44">
        <v>227</v>
      </c>
      <c r="I108" s="44">
        <v>41085</v>
      </c>
      <c r="J108" s="44">
        <v>26393</v>
      </c>
      <c r="K108" s="44">
        <v>236</v>
      </c>
      <c r="L108" s="42" t="s">
        <v>45</v>
      </c>
      <c r="M108" s="42" t="s">
        <v>42</v>
      </c>
      <c r="N108" s="42" t="s">
        <v>18</v>
      </c>
      <c r="O108" s="45">
        <f>((Posts!$F101+Posts!$G101+Posts!$H101)/Posts!$I101)*100</f>
        <v>10.077583818232197</v>
      </c>
      <c r="P108" s="28">
        <f>SUM(Table2[[#This Row],[Likes]],Table2[[#This Row],[Shares]],Table2[[#This Row],[Comments]])</f>
        <v>4577</v>
      </c>
      <c r="Q10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08" s="29">
        <f>Table2[[#This Row],[Net_Engagement]]/Table2[[#This Row],[Total_Budget]]</f>
        <v>2.860625E-2</v>
      </c>
      <c r="S10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0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08" s="32" t="str">
        <f t="shared" si="3"/>
        <v>Before</v>
      </c>
      <c r="V108" s="16">
        <f t="shared" ca="1" si="4"/>
        <v>8.8909020229106801</v>
      </c>
      <c r="W108" s="16">
        <f t="shared" ca="1" si="5"/>
        <v>9.9613799009979882</v>
      </c>
      <c r="X108" s="16">
        <f ca="1">(Table1[[#This Row],[Average_During]]-Table1[[#This Row],[Average_Before]])/Table1[[#This Row],[Average_Before]]*100</f>
        <v>12.040149304635547</v>
      </c>
    </row>
    <row r="109" spans="1:24">
      <c r="A109" s="38" t="s">
        <v>70</v>
      </c>
      <c r="B109" s="38" t="s">
        <v>24</v>
      </c>
      <c r="C109" s="39">
        <v>45773</v>
      </c>
      <c r="D109" s="40" t="s">
        <v>15</v>
      </c>
      <c r="E109" s="40" t="s">
        <v>16</v>
      </c>
      <c r="F109" s="40">
        <v>2411</v>
      </c>
      <c r="G109" s="40">
        <v>194</v>
      </c>
      <c r="H109" s="40">
        <v>168</v>
      </c>
      <c r="I109" s="40">
        <v>26665</v>
      </c>
      <c r="J109" s="40">
        <v>71699</v>
      </c>
      <c r="K109" s="40">
        <v>197</v>
      </c>
      <c r="L109" s="38" t="s">
        <v>42</v>
      </c>
      <c r="M109" s="38" t="s">
        <v>381</v>
      </c>
      <c r="N109" s="38" t="s">
        <v>18</v>
      </c>
      <c r="O109" s="41">
        <f>((Posts!$F102+Posts!$G102+Posts!$H102)/Posts!$I102)*100</f>
        <v>8.2866791077934785</v>
      </c>
      <c r="P109" s="24">
        <f>SUM(Table2[[#This Row],[Likes]],Table2[[#This Row],[Shares]],Table2[[#This Row],[Comments]])</f>
        <v>4598</v>
      </c>
      <c r="Q10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09" s="25">
        <f>Table2[[#This Row],[Net_Engagement]]/Table2[[#This Row],[Total_Budget]]</f>
        <v>2.6274285714285715E-2</v>
      </c>
      <c r="S10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0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09" s="32" t="str">
        <f t="shared" si="3"/>
        <v>Before</v>
      </c>
      <c r="V109" s="16">
        <f t="shared" ca="1" si="4"/>
        <v>8.9475880574623279</v>
      </c>
      <c r="W109" s="16">
        <f t="shared" ca="1" si="5"/>
        <v>9.2813665999231123</v>
      </c>
      <c r="X109" s="16">
        <f ca="1">(Table1[[#This Row],[Average_During]]-Table1[[#This Row],[Average_Before]])/Table1[[#This Row],[Average_Before]]*100</f>
        <v>3.7303744910608803</v>
      </c>
    </row>
    <row r="110" spans="1:24">
      <c r="A110" s="42" t="s">
        <v>329</v>
      </c>
      <c r="B110" s="42" t="s">
        <v>14</v>
      </c>
      <c r="C110" s="43">
        <v>45678</v>
      </c>
      <c r="D110" s="44" t="s">
        <v>25</v>
      </c>
      <c r="E110" s="44" t="s">
        <v>26</v>
      </c>
      <c r="F110" s="44">
        <v>4918</v>
      </c>
      <c r="G110" s="44">
        <v>440</v>
      </c>
      <c r="H110" s="44">
        <v>149</v>
      </c>
      <c r="I110" s="44">
        <v>53269</v>
      </c>
      <c r="J110" s="44">
        <v>64370</v>
      </c>
      <c r="K110" s="44">
        <v>269</v>
      </c>
      <c r="L110" s="42" t="s">
        <v>42</v>
      </c>
      <c r="M110" s="42" t="s">
        <v>381</v>
      </c>
      <c r="N110" s="42" t="s">
        <v>55</v>
      </c>
      <c r="O110" s="45">
        <f>((Posts!$F103+Posts!$G103+Posts!$H103)/Posts!$I103)*100</f>
        <v>14.485195154777927</v>
      </c>
      <c r="P110" s="28">
        <f>SUM(Table2[[#This Row],[Likes]],Table2[[#This Row],[Shares]],Table2[[#This Row],[Comments]])</f>
        <v>4874</v>
      </c>
      <c r="Q11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10" s="29">
        <f>Table2[[#This Row],[Net_Engagement]]/Table2[[#This Row],[Total_Budget]]</f>
        <v>2.4369999999999999E-2</v>
      </c>
      <c r="S11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1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10" s="32" t="str">
        <f t="shared" si="3"/>
        <v>During</v>
      </c>
      <c r="V110" s="16">
        <f t="shared" ca="1" si="4"/>
        <v>9.027888350336438</v>
      </c>
      <c r="W110" s="16">
        <f t="shared" ca="1" si="5"/>
        <v>8.4605581085455217</v>
      </c>
      <c r="X110" s="16">
        <f ca="1">(Table1[[#This Row],[Average_During]]-Table1[[#This Row],[Average_Before]])/Table1[[#This Row],[Average_Before]]*100</f>
        <v>-6.2841964784574893</v>
      </c>
    </row>
    <row r="111" spans="1:24">
      <c r="A111" s="38" t="s">
        <v>214</v>
      </c>
      <c r="B111" s="38" t="s">
        <v>31</v>
      </c>
      <c r="C111" s="39">
        <v>45749</v>
      </c>
      <c r="D111" s="40" t="s">
        <v>15</v>
      </c>
      <c r="E111" s="40" t="s">
        <v>29</v>
      </c>
      <c r="F111" s="40">
        <v>4598</v>
      </c>
      <c r="G111" s="40">
        <v>455</v>
      </c>
      <c r="H111" s="40">
        <v>378</v>
      </c>
      <c r="I111" s="40">
        <v>52952</v>
      </c>
      <c r="J111" s="40">
        <v>58504</v>
      </c>
      <c r="K111" s="40">
        <v>269</v>
      </c>
      <c r="L111" s="38" t="s">
        <v>21</v>
      </c>
      <c r="M111" s="38" t="s">
        <v>380</v>
      </c>
      <c r="N111" s="38" t="s">
        <v>22</v>
      </c>
      <c r="O111" s="41">
        <f>((Posts!$F104+Posts!$G104+Posts!$H104)/Posts!$I104)*100</f>
        <v>6.6614370881706932</v>
      </c>
      <c r="P111" s="24">
        <f>SUM(Table2[[#This Row],[Likes]],Table2[[#This Row],[Shares]],Table2[[#This Row],[Comments]])</f>
        <v>4072</v>
      </c>
      <c r="Q11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11" s="25">
        <f>Table2[[#This Row],[Net_Engagement]]/Table2[[#This Row],[Total_Budget]]</f>
        <v>2.545E-2</v>
      </c>
      <c r="S11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1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11" s="32" t="str">
        <f t="shared" si="3"/>
        <v>Before</v>
      </c>
      <c r="V111" s="16">
        <f t="shared" ca="1" si="4"/>
        <v>8.8581619636433047</v>
      </c>
      <c r="W111" s="16">
        <f t="shared" ca="1" si="5"/>
        <v>9.9466268842523196</v>
      </c>
      <c r="X111" s="16">
        <f ca="1">(Table1[[#This Row],[Average_During]]-Table1[[#This Row],[Average_Before]])/Table1[[#This Row],[Average_Before]]*100</f>
        <v>12.287706242857364</v>
      </c>
    </row>
    <row r="112" spans="1:24">
      <c r="A112" s="42" t="s">
        <v>91</v>
      </c>
      <c r="B112" s="42" t="s">
        <v>31</v>
      </c>
      <c r="C112" s="43">
        <v>45425</v>
      </c>
      <c r="D112" s="44" t="s">
        <v>57</v>
      </c>
      <c r="E112" s="44" t="s">
        <v>20</v>
      </c>
      <c r="F112" s="44">
        <v>4161</v>
      </c>
      <c r="G112" s="44">
        <v>481</v>
      </c>
      <c r="H112" s="44">
        <v>61</v>
      </c>
      <c r="I112" s="44">
        <v>45884</v>
      </c>
      <c r="J112" s="44">
        <v>48955</v>
      </c>
      <c r="K112" s="44">
        <v>215</v>
      </c>
      <c r="L112" s="42" t="s">
        <v>21</v>
      </c>
      <c r="M112" s="42" t="s">
        <v>45</v>
      </c>
      <c r="N112" s="42" t="s">
        <v>59</v>
      </c>
      <c r="O112" s="45">
        <f>((Posts!$F105+Posts!$G105+Posts!$H105)/Posts!$I105)*100</f>
        <v>8.8705674736667941</v>
      </c>
      <c r="P112" s="28">
        <f>SUM(Table2[[#This Row],[Likes]],Table2[[#This Row],[Shares]],Table2[[#This Row],[Comments]])</f>
        <v>5599</v>
      </c>
      <c r="Q11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12" s="29">
        <f>Table2[[#This Row],[Net_Engagement]]/Table2[[#This Row],[Total_Budget]]</f>
        <v>3.1994285714285711E-2</v>
      </c>
      <c r="S11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1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12" s="32" t="str">
        <f t="shared" si="3"/>
        <v>Before</v>
      </c>
      <c r="V112" s="16">
        <f t="shared" ca="1" si="4"/>
        <v>8.962904159435082</v>
      </c>
      <c r="W112" s="16">
        <f t="shared" ca="1" si="5"/>
        <v>8.9668109803083897</v>
      </c>
      <c r="X112" s="16">
        <f ca="1">(Table1[[#This Row],[Average_During]]-Table1[[#This Row],[Average_Before]])/Table1[[#This Row],[Average_Before]]*100</f>
        <v>4.358878332080679E-2</v>
      </c>
    </row>
    <row r="113" spans="1:24">
      <c r="A113" s="38" t="s">
        <v>231</v>
      </c>
      <c r="B113" s="38" t="s">
        <v>31</v>
      </c>
      <c r="C113" s="39">
        <v>45346</v>
      </c>
      <c r="D113" s="40" t="s">
        <v>57</v>
      </c>
      <c r="E113" s="40" t="s">
        <v>16</v>
      </c>
      <c r="F113" s="40">
        <v>4221</v>
      </c>
      <c r="G113" s="40">
        <v>307</v>
      </c>
      <c r="H113" s="40">
        <v>58</v>
      </c>
      <c r="I113" s="40">
        <v>45080</v>
      </c>
      <c r="J113" s="40">
        <v>37214</v>
      </c>
      <c r="K113" s="40">
        <v>240</v>
      </c>
      <c r="L113" s="38" t="s">
        <v>21</v>
      </c>
      <c r="M113" s="38" t="s">
        <v>45</v>
      </c>
      <c r="N113" s="38" t="s">
        <v>59</v>
      </c>
      <c r="O113" s="41">
        <f>((Posts!$F106+Posts!$G106+Posts!$H106)/Posts!$I106)*100</f>
        <v>6.2084853138798231</v>
      </c>
      <c r="P113" s="24">
        <f>SUM(Table2[[#This Row],[Likes]],Table2[[#This Row],[Shares]],Table2[[#This Row],[Comments]])</f>
        <v>1917</v>
      </c>
      <c r="Q11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13" s="25">
        <f>Table2[[#This Row],[Net_Engagement]]/Table2[[#This Row],[Total_Budget]]</f>
        <v>9.5849999999999998E-3</v>
      </c>
      <c r="S11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1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13" s="32" t="str">
        <f t="shared" si="3"/>
        <v>Before</v>
      </c>
      <c r="V113" s="16">
        <f t="shared" ca="1" si="4"/>
        <v>8.953566975606007</v>
      </c>
      <c r="W113" s="16">
        <f t="shared" ca="1" si="5"/>
        <v>9.0705576033185036</v>
      </c>
      <c r="X113" s="16">
        <f ca="1">(Table1[[#This Row],[Average_During]]-Table1[[#This Row],[Average_Before]])/Table1[[#This Row],[Average_Before]]*100</f>
        <v>1.3066370981669935</v>
      </c>
    </row>
    <row r="114" spans="1:24">
      <c r="A114" s="42" t="s">
        <v>208</v>
      </c>
      <c r="B114" s="42" t="s">
        <v>14</v>
      </c>
      <c r="C114" s="43">
        <v>45385</v>
      </c>
      <c r="D114" s="44" t="s">
        <v>15</v>
      </c>
      <c r="E114" s="44" t="s">
        <v>41</v>
      </c>
      <c r="F114" s="44">
        <v>2762</v>
      </c>
      <c r="G114" s="44">
        <v>339</v>
      </c>
      <c r="H114" s="44">
        <v>323</v>
      </c>
      <c r="I114" s="44">
        <v>33757</v>
      </c>
      <c r="J114" s="44">
        <v>68511</v>
      </c>
      <c r="K114" s="44">
        <v>121</v>
      </c>
      <c r="L114" s="42" t="s">
        <v>45</v>
      </c>
      <c r="M114" s="42" t="s">
        <v>42</v>
      </c>
      <c r="N114" s="42" t="s">
        <v>18</v>
      </c>
      <c r="O114" s="45">
        <f>((Posts!$F107+Posts!$G107+Posts!$H107)/Posts!$I107)*100</f>
        <v>23.193025217961939</v>
      </c>
      <c r="P114" s="28">
        <f>SUM(Table2[[#This Row],[Likes]],Table2[[#This Row],[Shares]],Table2[[#This Row],[Comments]])</f>
        <v>2156</v>
      </c>
      <c r="Q11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14" s="29">
        <f>Table2[[#This Row],[Net_Engagement]]/Table2[[#This Row],[Total_Budget]]</f>
        <v>1.078E-2</v>
      </c>
      <c r="S11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1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14" s="32" t="str">
        <f t="shared" si="3"/>
        <v>Before</v>
      </c>
      <c r="V114" s="16">
        <f t="shared" ca="1" si="4"/>
        <v>8.8932123535815872</v>
      </c>
      <c r="W114" s="16">
        <f t="shared" ca="1" si="5"/>
        <v>9.8639813904992781</v>
      </c>
      <c r="X114" s="16">
        <f ca="1">(Table1[[#This Row],[Average_During]]-Table1[[#This Row],[Average_Before]])/Table1[[#This Row],[Average_Before]]*100</f>
        <v>10.915842311206372</v>
      </c>
    </row>
    <row r="115" spans="1:24">
      <c r="A115" s="38" t="s">
        <v>140</v>
      </c>
      <c r="B115" s="38" t="s">
        <v>14</v>
      </c>
      <c r="C115" s="39">
        <v>45494</v>
      </c>
      <c r="D115" s="40" t="s">
        <v>15</v>
      </c>
      <c r="E115" s="40" t="s">
        <v>16</v>
      </c>
      <c r="F115" s="40">
        <v>3004</v>
      </c>
      <c r="G115" s="40">
        <v>415</v>
      </c>
      <c r="H115" s="40">
        <v>218</v>
      </c>
      <c r="I115" s="40">
        <v>36090</v>
      </c>
      <c r="J115" s="40">
        <v>37073</v>
      </c>
      <c r="K115" s="40">
        <v>181</v>
      </c>
      <c r="L115" s="38" t="s">
        <v>21</v>
      </c>
      <c r="M115" s="38" t="s">
        <v>381</v>
      </c>
      <c r="N115" s="38" t="s">
        <v>22</v>
      </c>
      <c r="O115" s="41">
        <f>((Posts!$F108+Posts!$G108+Posts!$H108)/Posts!$I108)*100</f>
        <v>8.659867935594951</v>
      </c>
      <c r="P115" s="24">
        <f>SUM(Table2[[#This Row],[Likes]],Table2[[#This Row],[Shares]],Table2[[#This Row],[Comments]])</f>
        <v>2363</v>
      </c>
      <c r="Q11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15" s="25">
        <f>Table2[[#This Row],[Net_Engagement]]/Table2[[#This Row],[Total_Budget]]</f>
        <v>1.1815000000000001E-2</v>
      </c>
      <c r="S11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1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15" s="32" t="str">
        <f t="shared" si="3"/>
        <v>Before</v>
      </c>
      <c r="V115" s="16">
        <f t="shared" ca="1" si="4"/>
        <v>8.9065233656361205</v>
      </c>
      <c r="W115" s="16">
        <f t="shared" ca="1" si="5"/>
        <v>8.8842248023797339</v>
      </c>
      <c r="X115" s="16">
        <f ca="1">(Table1[[#This Row],[Average_During]]-Table1[[#This Row],[Average_Before]])/Table1[[#This Row],[Average_Before]]*100</f>
        <v>-0.25036214851712757</v>
      </c>
    </row>
    <row r="116" spans="1:24">
      <c r="A116" s="42" t="s">
        <v>213</v>
      </c>
      <c r="B116" s="42" t="s">
        <v>14</v>
      </c>
      <c r="C116" s="43">
        <v>45447</v>
      </c>
      <c r="D116" s="44" t="s">
        <v>15</v>
      </c>
      <c r="E116" s="44" t="s">
        <v>37</v>
      </c>
      <c r="F116" s="44">
        <v>3948</v>
      </c>
      <c r="G116" s="44">
        <v>151</v>
      </c>
      <c r="H116" s="44">
        <v>249</v>
      </c>
      <c r="I116" s="44">
        <v>43147</v>
      </c>
      <c r="J116" s="44">
        <v>63136</v>
      </c>
      <c r="K116" s="44">
        <v>230</v>
      </c>
      <c r="L116" s="42" t="s">
        <v>21</v>
      </c>
      <c r="M116" s="42" t="s">
        <v>381</v>
      </c>
      <c r="N116" s="42" t="s">
        <v>22</v>
      </c>
      <c r="O116" s="45">
        <f>((Posts!$F109+Posts!$G109+Posts!$H109)/Posts!$I109)*100</f>
        <v>10.949965468790932</v>
      </c>
      <c r="P116" s="28">
        <f>SUM(Table2[[#This Row],[Likes]],Table2[[#This Row],[Shares]],Table2[[#This Row],[Comments]])</f>
        <v>4997</v>
      </c>
      <c r="Q11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16" s="29">
        <f>Table2[[#This Row],[Net_Engagement]]/Table2[[#This Row],[Total_Budget]]</f>
        <v>3.1231249999999999E-2</v>
      </c>
      <c r="S11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1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16" s="32" t="str">
        <f t="shared" si="3"/>
        <v>Before</v>
      </c>
      <c r="V116" s="16">
        <f t="shared" ca="1" si="4"/>
        <v>8.7979648848987537</v>
      </c>
      <c r="W116" s="16">
        <f t="shared" ca="1" si="5"/>
        <v>10.02263351060431</v>
      </c>
      <c r="X116" s="16">
        <f ca="1">(Table1[[#This Row],[Average_During]]-Table1[[#This Row],[Average_Before]])/Table1[[#This Row],[Average_Before]]*100</f>
        <v>13.919908089285919</v>
      </c>
    </row>
    <row r="117" spans="1:24">
      <c r="A117" s="38" t="s">
        <v>129</v>
      </c>
      <c r="B117" s="38" t="s">
        <v>14</v>
      </c>
      <c r="C117" s="39">
        <v>45630</v>
      </c>
      <c r="D117" s="40" t="s">
        <v>15</v>
      </c>
      <c r="E117" s="40" t="s">
        <v>29</v>
      </c>
      <c r="F117" s="40">
        <v>2601</v>
      </c>
      <c r="G117" s="40">
        <v>336</v>
      </c>
      <c r="H117" s="40">
        <v>260</v>
      </c>
      <c r="I117" s="40">
        <v>32368</v>
      </c>
      <c r="J117" s="40">
        <v>49028</v>
      </c>
      <c r="K117" s="40">
        <v>120</v>
      </c>
      <c r="L117" s="38" t="s">
        <v>45</v>
      </c>
      <c r="M117" s="38" t="s">
        <v>42</v>
      </c>
      <c r="N117" s="38" t="s">
        <v>18</v>
      </c>
      <c r="O117" s="41">
        <f>((Posts!$F110+Posts!$G110+Posts!$H110)/Posts!$I110)*100</f>
        <v>13.838335084182733</v>
      </c>
      <c r="P117" s="24">
        <f>SUM(Table2[[#This Row],[Likes]],Table2[[#This Row],[Shares]],Table2[[#This Row],[Comments]])</f>
        <v>1853</v>
      </c>
      <c r="Q11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17" s="25">
        <f>Table2[[#This Row],[Net_Engagement]]/Table2[[#This Row],[Total_Budget]]</f>
        <v>8.235555555555555E-3</v>
      </c>
      <c r="S11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1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17" s="32" t="str">
        <f t="shared" si="3"/>
        <v>Before</v>
      </c>
      <c r="V117" s="16">
        <f t="shared" ca="1" si="4"/>
        <v>8.9577799624766588</v>
      </c>
      <c r="W117" s="16">
        <f t="shared" ca="1" si="5"/>
        <v>8.2508900306027808</v>
      </c>
      <c r="X117" s="16">
        <f ca="1">(Table1[[#This Row],[Average_During]]-Table1[[#This Row],[Average_Before]])/Table1[[#This Row],[Average_Before]]*100</f>
        <v>-7.8913518174701407</v>
      </c>
    </row>
    <row r="118" spans="1:24">
      <c r="A118" s="42" t="s">
        <v>321</v>
      </c>
      <c r="B118" s="42" t="s">
        <v>14</v>
      </c>
      <c r="C118" s="43">
        <v>45298</v>
      </c>
      <c r="D118" s="44" t="s">
        <v>15</v>
      </c>
      <c r="E118" s="44" t="s">
        <v>41</v>
      </c>
      <c r="F118" s="44">
        <v>4931</v>
      </c>
      <c r="G118" s="44">
        <v>469</v>
      </c>
      <c r="H118" s="44">
        <v>193</v>
      </c>
      <c r="I118" s="44">
        <v>56701</v>
      </c>
      <c r="J118" s="44">
        <v>69437</v>
      </c>
      <c r="K118" s="44">
        <v>291</v>
      </c>
      <c r="L118" s="42" t="s">
        <v>45</v>
      </c>
      <c r="M118" s="42" t="s">
        <v>42</v>
      </c>
      <c r="N118" s="42" t="s">
        <v>18</v>
      </c>
      <c r="O118" s="45">
        <f>((Posts!$F111+Posts!$G111+Posts!$H111)/Posts!$I111)*100</f>
        <v>16.033389770445329</v>
      </c>
      <c r="P118" s="28">
        <f>SUM(Table2[[#This Row],[Likes]],Table2[[#This Row],[Shares]],Table2[[#This Row],[Comments]])</f>
        <v>2063</v>
      </c>
      <c r="Q11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18" s="29">
        <f>Table2[[#This Row],[Net_Engagement]]/Table2[[#This Row],[Total_Budget]]</f>
        <v>9.1688888888888896E-3</v>
      </c>
      <c r="S11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1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18" s="32" t="str">
        <f t="shared" si="3"/>
        <v>Before</v>
      </c>
      <c r="V118" s="16">
        <f t="shared" ca="1" si="4"/>
        <v>8.9244375543829708</v>
      </c>
      <c r="W118" s="16">
        <f t="shared" ca="1" si="5"/>
        <v>8.3050679062848651</v>
      </c>
      <c r="X118" s="16">
        <f ca="1">(Table1[[#This Row],[Average_During]]-Table1[[#This Row],[Average_Before]])/Table1[[#This Row],[Average_Before]]*100</f>
        <v>-6.9401533074083837</v>
      </c>
    </row>
    <row r="119" spans="1:24">
      <c r="A119" s="38" t="s">
        <v>228</v>
      </c>
      <c r="B119" s="38" t="s">
        <v>14</v>
      </c>
      <c r="C119" s="39">
        <v>45814</v>
      </c>
      <c r="D119" s="40" t="s">
        <v>15</v>
      </c>
      <c r="E119" s="40" t="s">
        <v>29</v>
      </c>
      <c r="F119" s="40">
        <v>3987</v>
      </c>
      <c r="G119" s="40">
        <v>171</v>
      </c>
      <c r="H119" s="40">
        <v>274</v>
      </c>
      <c r="I119" s="40">
        <v>45122</v>
      </c>
      <c r="J119" s="40">
        <v>65431</v>
      </c>
      <c r="K119" s="40">
        <v>168</v>
      </c>
      <c r="L119" s="38" t="s">
        <v>21</v>
      </c>
      <c r="M119" s="38" t="s">
        <v>381</v>
      </c>
      <c r="N119" s="38" t="s">
        <v>22</v>
      </c>
      <c r="O119" s="41">
        <f>((Posts!$F112+Posts!$G112+Posts!$H112)/Posts!$I112)*100</f>
        <v>16.641897515158721</v>
      </c>
      <c r="P119" s="24">
        <f>SUM(Table2[[#This Row],[Likes]],Table2[[#This Row],[Shares]],Table2[[#This Row],[Comments]])</f>
        <v>2246</v>
      </c>
      <c r="Q11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19" s="25">
        <f>Table2[[#This Row],[Net_Engagement]]/Table2[[#This Row],[Total_Budget]]</f>
        <v>1.123E-2</v>
      </c>
      <c r="S11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1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19" s="32" t="str">
        <f t="shared" si="3"/>
        <v>Before</v>
      </c>
      <c r="V119" s="16">
        <f t="shared" ca="1" si="4"/>
        <v>8.8164821289000574</v>
      </c>
      <c r="W119" s="16">
        <f t="shared" ca="1" si="5"/>
        <v>8.9854994587838153</v>
      </c>
      <c r="X119" s="16">
        <f ca="1">(Table1[[#This Row],[Average_During]]-Table1[[#This Row],[Average_Before]])/Table1[[#This Row],[Average_Before]]*100</f>
        <v>1.9170608799821205</v>
      </c>
    </row>
    <row r="120" spans="1:24">
      <c r="A120" s="42" t="s">
        <v>283</v>
      </c>
      <c r="B120" s="42" t="s">
        <v>24</v>
      </c>
      <c r="C120" s="43">
        <v>45636</v>
      </c>
      <c r="D120" s="44" t="s">
        <v>25</v>
      </c>
      <c r="E120" s="44" t="s">
        <v>29</v>
      </c>
      <c r="F120" s="44">
        <v>2267</v>
      </c>
      <c r="G120" s="44">
        <v>230</v>
      </c>
      <c r="H120" s="44">
        <v>243</v>
      </c>
      <c r="I120" s="44">
        <v>27904</v>
      </c>
      <c r="J120" s="44">
        <v>69771</v>
      </c>
      <c r="K120" s="44">
        <v>255</v>
      </c>
      <c r="L120" s="42" t="s">
        <v>21</v>
      </c>
      <c r="M120" s="42" t="s">
        <v>379</v>
      </c>
      <c r="N120" s="42" t="s">
        <v>18</v>
      </c>
      <c r="O120" s="45">
        <f>((Posts!$F113+Posts!$G113+Posts!$H113)/Posts!$I113)*100</f>
        <v>5.2993862995521646</v>
      </c>
      <c r="P120" s="28">
        <f>SUM(Table2[[#This Row],[Likes]],Table2[[#This Row],[Shares]],Table2[[#This Row],[Comments]])</f>
        <v>2570</v>
      </c>
      <c r="Q12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20" s="29">
        <f>Table2[[#This Row],[Net_Engagement]]/Table2[[#This Row],[Total_Budget]]</f>
        <v>1.285E-2</v>
      </c>
      <c r="S12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2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20" s="32" t="str">
        <f t="shared" si="3"/>
        <v>Before</v>
      </c>
      <c r="V120" s="16">
        <f t="shared" ca="1" si="4"/>
        <v>8.6776209485663003</v>
      </c>
      <c r="W120" s="16">
        <f t="shared" ca="1" si="5"/>
        <v>9.9301293194395583</v>
      </c>
      <c r="X120" s="16">
        <f ca="1">(Table1[[#This Row],[Average_During]]-Table1[[#This Row],[Average_Before]])/Table1[[#This Row],[Average_Before]]*100</f>
        <v>14.433776011847982</v>
      </c>
    </row>
    <row r="121" spans="1:24">
      <c r="A121" s="38" t="s">
        <v>87</v>
      </c>
      <c r="B121" s="38" t="s">
        <v>31</v>
      </c>
      <c r="C121" s="39">
        <v>45365</v>
      </c>
      <c r="D121" s="40" t="s">
        <v>57</v>
      </c>
      <c r="E121" s="40" t="s">
        <v>49</v>
      </c>
      <c r="F121" s="40">
        <v>3361</v>
      </c>
      <c r="G121" s="40">
        <v>188</v>
      </c>
      <c r="H121" s="40">
        <v>358</v>
      </c>
      <c r="I121" s="40">
        <v>39838</v>
      </c>
      <c r="J121" s="40">
        <v>24536</v>
      </c>
      <c r="K121" s="40">
        <v>120</v>
      </c>
      <c r="L121" s="38" t="s">
        <v>21</v>
      </c>
      <c r="M121" s="38" t="s">
        <v>45</v>
      </c>
      <c r="N121" s="38" t="s">
        <v>59</v>
      </c>
      <c r="O121" s="41">
        <f>((Posts!$F114+Posts!$G114+Posts!$H114)/Posts!$I114)*100</f>
        <v>3.967465312281476</v>
      </c>
      <c r="P121" s="24">
        <f>SUM(Table2[[#This Row],[Likes]],Table2[[#This Row],[Shares]],Table2[[#This Row],[Comments]])</f>
        <v>2532</v>
      </c>
      <c r="Q12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21" s="25">
        <f>Table2[[#This Row],[Net_Engagement]]/Table2[[#This Row],[Total_Budget]]</f>
        <v>1.5824999999999999E-2</v>
      </c>
      <c r="S12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2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21" s="32" t="str">
        <f t="shared" si="3"/>
        <v>Before</v>
      </c>
      <c r="V121" s="16">
        <f t="shared" ca="1" si="4"/>
        <v>8.8763350626908633</v>
      </c>
      <c r="W121" s="16">
        <f t="shared" ca="1" si="5"/>
        <v>8.1300187978933014</v>
      </c>
      <c r="X121" s="16">
        <f ca="1">(Table1[[#This Row],[Average_During]]-Table1[[#This Row],[Average_Before]])/Table1[[#This Row],[Average_Before]]*100</f>
        <v>-8.4079325479103293</v>
      </c>
    </row>
    <row r="122" spans="1:24">
      <c r="A122" s="42" t="s">
        <v>211</v>
      </c>
      <c r="B122" s="42" t="s">
        <v>14</v>
      </c>
      <c r="C122" s="43">
        <v>45536</v>
      </c>
      <c r="D122" s="44" t="s">
        <v>25</v>
      </c>
      <c r="E122" s="44" t="s">
        <v>29</v>
      </c>
      <c r="F122" s="44">
        <v>2335</v>
      </c>
      <c r="G122" s="44">
        <v>150</v>
      </c>
      <c r="H122" s="44">
        <v>75</v>
      </c>
      <c r="I122" s="44">
        <v>26114</v>
      </c>
      <c r="J122" s="44">
        <v>57549</v>
      </c>
      <c r="K122" s="44">
        <v>135</v>
      </c>
      <c r="L122" s="42" t="s">
        <v>42</v>
      </c>
      <c r="M122" s="42" t="s">
        <v>381</v>
      </c>
      <c r="N122" s="42" t="s">
        <v>55</v>
      </c>
      <c r="O122" s="45">
        <f>((Posts!$F115+Posts!$G115+Posts!$H115)/Posts!$I115)*100</f>
        <v>5.1173769923769923</v>
      </c>
      <c r="P122" s="28">
        <f>SUM(Table2[[#This Row],[Likes]],Table2[[#This Row],[Shares]],Table2[[#This Row],[Comments]])</f>
        <v>4604</v>
      </c>
      <c r="Q12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22" s="29">
        <f>Table2[[#This Row],[Net_Engagement]]/Table2[[#This Row],[Total_Budget]]</f>
        <v>2.0462222222222222E-2</v>
      </c>
      <c r="S12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2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22" s="32" t="str">
        <f t="shared" si="3"/>
        <v>Before</v>
      </c>
      <c r="V122" s="16">
        <f t="shared" ca="1" si="4"/>
        <v>8.7958988327987822</v>
      </c>
      <c r="W122" s="16">
        <f t="shared" ca="1" si="5"/>
        <v>9.2498405977156661</v>
      </c>
      <c r="X122" s="16">
        <f ca="1">(Table1[[#This Row],[Average_During]]-Table1[[#This Row],[Average_Before]])/Table1[[#This Row],[Average_Before]]*100</f>
        <v>5.1608343109199168</v>
      </c>
    </row>
    <row r="123" spans="1:24">
      <c r="A123" s="38" t="s">
        <v>244</v>
      </c>
      <c r="B123" s="38" t="s">
        <v>24</v>
      </c>
      <c r="C123" s="39">
        <v>45656</v>
      </c>
      <c r="D123" s="40" t="s">
        <v>15</v>
      </c>
      <c r="E123" s="40" t="s">
        <v>37</v>
      </c>
      <c r="F123" s="40">
        <v>4214</v>
      </c>
      <c r="G123" s="40">
        <v>286</v>
      </c>
      <c r="H123" s="40">
        <v>127</v>
      </c>
      <c r="I123" s="40">
        <v>47293</v>
      </c>
      <c r="J123" s="40">
        <v>27184</v>
      </c>
      <c r="K123" s="40">
        <v>232</v>
      </c>
      <c r="L123" s="38" t="s">
        <v>42</v>
      </c>
      <c r="M123" s="38" t="s">
        <v>381</v>
      </c>
      <c r="N123" s="38" t="s">
        <v>18</v>
      </c>
      <c r="O123" s="41">
        <f>((Posts!$F116+Posts!$G116+Posts!$H116)/Posts!$I116)*100</f>
        <v>8.6978468608031196</v>
      </c>
      <c r="P123" s="24">
        <f>SUM(Table2[[#This Row],[Likes]],Table2[[#This Row],[Shares]],Table2[[#This Row],[Comments]])</f>
        <v>1845</v>
      </c>
      <c r="Q12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23" s="25">
        <f>Table2[[#This Row],[Net_Engagement]]/Table2[[#This Row],[Total_Budget]]</f>
        <v>9.2250000000000006E-3</v>
      </c>
      <c r="S12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2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23" s="32" t="str">
        <f t="shared" si="3"/>
        <v>Before</v>
      </c>
      <c r="V123" s="16">
        <f t="shared" ca="1" si="4"/>
        <v>8.9098060674949178</v>
      </c>
      <c r="W123" s="16">
        <f t="shared" ca="1" si="5"/>
        <v>8.2694838440955571</v>
      </c>
      <c r="X123" s="16">
        <f ca="1">(Table1[[#This Row],[Average_During]]-Table1[[#This Row],[Average_Before]])/Table1[[#This Row],[Average_Before]]*100</f>
        <v>-7.1867133644514176</v>
      </c>
    </row>
    <row r="124" spans="1:24">
      <c r="A124" s="42" t="s">
        <v>75</v>
      </c>
      <c r="B124" s="42" t="s">
        <v>24</v>
      </c>
      <c r="C124" s="43">
        <v>45785</v>
      </c>
      <c r="D124" s="44" t="s">
        <v>25</v>
      </c>
      <c r="E124" s="44" t="s">
        <v>51</v>
      </c>
      <c r="F124" s="44">
        <v>3316</v>
      </c>
      <c r="G124" s="44">
        <v>332</v>
      </c>
      <c r="H124" s="44">
        <v>268</v>
      </c>
      <c r="I124" s="44">
        <v>40095</v>
      </c>
      <c r="J124" s="44">
        <v>36913</v>
      </c>
      <c r="K124" s="44">
        <v>265</v>
      </c>
      <c r="L124" s="42" t="s">
        <v>379</v>
      </c>
      <c r="M124" s="42" t="s">
        <v>42</v>
      </c>
      <c r="N124" s="42" t="s">
        <v>18</v>
      </c>
      <c r="O124" s="45">
        <f>((Posts!$F117+Posts!$G117+Posts!$H117)/Posts!$I117)*100</f>
        <v>4.9881554861634543</v>
      </c>
      <c r="P124" s="28">
        <f>SUM(Table2[[#This Row],[Likes]],Table2[[#This Row],[Shares]],Table2[[#This Row],[Comments]])</f>
        <v>3472</v>
      </c>
      <c r="Q12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24" s="29">
        <f>Table2[[#This Row],[Net_Engagement]]/Table2[[#This Row],[Total_Budget]]</f>
        <v>2.1700000000000001E-2</v>
      </c>
      <c r="S12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2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24" s="32" t="str">
        <f t="shared" si="3"/>
        <v>Before</v>
      </c>
      <c r="V124" s="16">
        <f t="shared" ca="1" si="4"/>
        <v>8.8351092297019651</v>
      </c>
      <c r="W124" s="16">
        <f t="shared" ca="1" si="5"/>
        <v>9.0717166437018903</v>
      </c>
      <c r="X124" s="16">
        <f ca="1">(Table1[[#This Row],[Average_During]]-Table1[[#This Row],[Average_Before]])/Table1[[#This Row],[Average_Before]]*100</f>
        <v>2.6780360926891076</v>
      </c>
    </row>
    <row r="125" spans="1:24">
      <c r="A125" s="38" t="s">
        <v>175</v>
      </c>
      <c r="B125" s="38" t="s">
        <v>24</v>
      </c>
      <c r="C125" s="39">
        <v>45569</v>
      </c>
      <c r="D125" s="40" t="s">
        <v>25</v>
      </c>
      <c r="E125" s="40" t="s">
        <v>20</v>
      </c>
      <c r="F125" s="40">
        <v>2870</v>
      </c>
      <c r="G125" s="40">
        <v>380</v>
      </c>
      <c r="H125" s="40">
        <v>393</v>
      </c>
      <c r="I125" s="40">
        <v>37621</v>
      </c>
      <c r="J125" s="40">
        <v>71794</v>
      </c>
      <c r="K125" s="40">
        <v>127</v>
      </c>
      <c r="L125" s="38" t="s">
        <v>379</v>
      </c>
      <c r="M125" s="38" t="s">
        <v>42</v>
      </c>
      <c r="N125" s="38" t="s">
        <v>18</v>
      </c>
      <c r="O125" s="41">
        <f>((Posts!$F118+Posts!$G118+Posts!$H118)/Posts!$I118)*100</f>
        <v>3.4977365592309386</v>
      </c>
      <c r="P125" s="24">
        <f>SUM(Table2[[#This Row],[Likes]],Table2[[#This Row],[Shares]],Table2[[#This Row],[Comments]])</f>
        <v>3959</v>
      </c>
      <c r="Q12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25" s="25">
        <f>Table2[[#This Row],[Net_Engagement]]/Table2[[#This Row],[Total_Budget]]</f>
        <v>1.9795E-2</v>
      </c>
      <c r="S12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2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25" s="32" t="str">
        <f t="shared" si="3"/>
        <v>Before</v>
      </c>
      <c r="V125" s="16">
        <f t="shared" ca="1" si="4"/>
        <v>8.9343600088163218</v>
      </c>
      <c r="W125" s="16">
        <f t="shared" ca="1" si="5"/>
        <v>8.2700180719722969</v>
      </c>
      <c r="X125" s="16">
        <f ca="1">(Table1[[#This Row],[Average_During]]-Table1[[#This Row],[Average_Before]])/Table1[[#This Row],[Average_Before]]*100</f>
        <v>-7.4358089016836129</v>
      </c>
    </row>
    <row r="126" spans="1:24">
      <c r="A126" s="42" t="s">
        <v>117</v>
      </c>
      <c r="B126" s="42" t="s">
        <v>24</v>
      </c>
      <c r="C126" s="43">
        <v>45805</v>
      </c>
      <c r="D126" s="44" t="s">
        <v>15</v>
      </c>
      <c r="E126" s="44" t="s">
        <v>49</v>
      </c>
      <c r="F126" s="44">
        <v>2418</v>
      </c>
      <c r="G126" s="44">
        <v>161</v>
      </c>
      <c r="H126" s="44">
        <v>360</v>
      </c>
      <c r="I126" s="44">
        <v>30589</v>
      </c>
      <c r="J126" s="44">
        <v>41383</v>
      </c>
      <c r="K126" s="44">
        <v>88</v>
      </c>
      <c r="L126" s="42" t="s">
        <v>42</v>
      </c>
      <c r="M126" s="42" t="s">
        <v>381</v>
      </c>
      <c r="N126" s="42" t="s">
        <v>18</v>
      </c>
      <c r="O126" s="45">
        <f>((Posts!$F119+Posts!$G119+Posts!$H119)/Posts!$I119)*100</f>
        <v>4.119286919521679</v>
      </c>
      <c r="P126" s="28">
        <f>SUM(Table2[[#This Row],[Likes]],Table2[[#This Row],[Shares]],Table2[[#This Row],[Comments]])</f>
        <v>3682</v>
      </c>
      <c r="Q12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26" s="29">
        <f>Table2[[#This Row],[Net_Engagement]]/Table2[[#This Row],[Total_Budget]]</f>
        <v>1.8409999999999999E-2</v>
      </c>
      <c r="S12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2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26" s="32" t="str">
        <f t="shared" si="3"/>
        <v>Before</v>
      </c>
      <c r="V126" s="16">
        <f t="shared" ca="1" si="4"/>
        <v>8.9750576975237326</v>
      </c>
      <c r="W126" s="16">
        <f t="shared" ca="1" si="5"/>
        <v>8.1850249116878082</v>
      </c>
      <c r="X126" s="16">
        <f ca="1">(Table1[[#This Row],[Average_During]]-Table1[[#This Row],[Average_Before]])/Table1[[#This Row],[Average_Before]]*100</f>
        <v>-8.8025371252365172</v>
      </c>
    </row>
    <row r="127" spans="1:24">
      <c r="A127" s="38" t="s">
        <v>94</v>
      </c>
      <c r="B127" s="38" t="s">
        <v>14</v>
      </c>
      <c r="C127" s="39">
        <v>45722</v>
      </c>
      <c r="D127" s="40" t="s">
        <v>15</v>
      </c>
      <c r="E127" s="40" t="s">
        <v>37</v>
      </c>
      <c r="F127" s="40">
        <v>4851</v>
      </c>
      <c r="G127" s="40">
        <v>460</v>
      </c>
      <c r="H127" s="40">
        <v>212</v>
      </c>
      <c r="I127" s="40">
        <v>58075</v>
      </c>
      <c r="J127" s="40">
        <v>59574</v>
      </c>
      <c r="K127" s="40">
        <v>239</v>
      </c>
      <c r="L127" s="38" t="s">
        <v>21</v>
      </c>
      <c r="M127" s="38" t="s">
        <v>381</v>
      </c>
      <c r="N127" s="38" t="s">
        <v>22</v>
      </c>
      <c r="O127" s="41">
        <f>((Posts!$F120+Posts!$G120+Posts!$H120)/Posts!$I120)*100</f>
        <v>5.7963823356939868</v>
      </c>
      <c r="P127" s="24">
        <f>SUM(Table2[[#This Row],[Likes]],Table2[[#This Row],[Shares]],Table2[[#This Row],[Comments]])</f>
        <v>3961</v>
      </c>
      <c r="Q12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27" s="25">
        <f>Table2[[#This Row],[Net_Engagement]]/Table2[[#This Row],[Total_Budget]]</f>
        <v>1.9805E-2</v>
      </c>
      <c r="S12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2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27" s="32" t="str">
        <f t="shared" si="3"/>
        <v>Before</v>
      </c>
      <c r="V127" s="16">
        <f t="shared" ca="1" si="4"/>
        <v>8.9504278224003571</v>
      </c>
      <c r="W127" s="16">
        <f t="shared" ca="1" si="5"/>
        <v>8.7440455397179484</v>
      </c>
      <c r="X127" s="16">
        <f ca="1">(Table1[[#This Row],[Average_During]]-Table1[[#This Row],[Average_Before]])/Table1[[#This Row],[Average_Before]]*100</f>
        <v>-2.3058370703341455</v>
      </c>
    </row>
    <row r="128" spans="1:24">
      <c r="A128" s="42" t="s">
        <v>190</v>
      </c>
      <c r="B128" s="42" t="s">
        <v>24</v>
      </c>
      <c r="C128" s="43">
        <v>45442</v>
      </c>
      <c r="D128" s="44" t="s">
        <v>25</v>
      </c>
      <c r="E128" s="44" t="s">
        <v>51</v>
      </c>
      <c r="F128" s="44">
        <v>2311</v>
      </c>
      <c r="G128" s="44">
        <v>207</v>
      </c>
      <c r="H128" s="44">
        <v>363</v>
      </c>
      <c r="I128" s="44">
        <v>30349</v>
      </c>
      <c r="J128" s="44">
        <v>32925</v>
      </c>
      <c r="K128" s="44">
        <v>88</v>
      </c>
      <c r="L128" s="42" t="s">
        <v>379</v>
      </c>
      <c r="M128" s="42" t="s">
        <v>42</v>
      </c>
      <c r="N128" s="42" t="s">
        <v>18</v>
      </c>
      <c r="O128" s="45">
        <f>((Posts!$F121+Posts!$G121+Posts!$H121)/Posts!$I121)*100</f>
        <v>4.7099090384865789</v>
      </c>
      <c r="P128" s="28">
        <f>SUM(Table2[[#This Row],[Likes]],Table2[[#This Row],[Shares]],Table2[[#This Row],[Comments]])</f>
        <v>1858</v>
      </c>
      <c r="Q12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28" s="29">
        <f>Table2[[#This Row],[Net_Engagement]]/Table2[[#This Row],[Total_Budget]]</f>
        <v>1.16125E-2</v>
      </c>
      <c r="S12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2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28" s="32" t="str">
        <f t="shared" si="3"/>
        <v>Before</v>
      </c>
      <c r="V128" s="16">
        <f t="shared" ca="1" si="4"/>
        <v>8.97948055099301</v>
      </c>
      <c r="W128" s="16">
        <f t="shared" ca="1" si="5"/>
        <v>8.6415671190253658</v>
      </c>
      <c r="X128" s="16">
        <f ca="1">(Table1[[#This Row],[Average_During]]-Table1[[#This Row],[Average_Before]])/Table1[[#This Row],[Average_Before]]*100</f>
        <v>-3.7631734937081136</v>
      </c>
    </row>
    <row r="129" spans="1:24">
      <c r="A129" s="38" t="s">
        <v>138</v>
      </c>
      <c r="B129" s="38" t="s">
        <v>24</v>
      </c>
      <c r="C129" s="39">
        <v>45366</v>
      </c>
      <c r="D129" s="40" t="s">
        <v>25</v>
      </c>
      <c r="E129" s="40" t="s">
        <v>37</v>
      </c>
      <c r="F129" s="40">
        <v>4969</v>
      </c>
      <c r="G129" s="40">
        <v>433</v>
      </c>
      <c r="H129" s="40">
        <v>237</v>
      </c>
      <c r="I129" s="40">
        <v>59552</v>
      </c>
      <c r="J129" s="40">
        <v>23885</v>
      </c>
      <c r="K129" s="40">
        <v>157</v>
      </c>
      <c r="L129" s="38" t="s">
        <v>21</v>
      </c>
      <c r="M129" s="38" t="s">
        <v>379</v>
      </c>
      <c r="N129" s="38" t="s">
        <v>18</v>
      </c>
      <c r="O129" s="41">
        <f>((Posts!$F122+Posts!$G122+Posts!$H122)/Posts!$I122)*100</f>
        <v>9.3980281287635989</v>
      </c>
      <c r="P129" s="24">
        <f>SUM(Table2[[#This Row],[Likes]],Table2[[#This Row],[Shares]],Table2[[#This Row],[Comments]])</f>
        <v>2575</v>
      </c>
      <c r="Q12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29" s="25">
        <f>Table2[[#This Row],[Net_Engagement]]/Table2[[#This Row],[Total_Budget]]</f>
        <v>1.2874999999999999E-2</v>
      </c>
      <c r="S12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2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29" s="32" t="str">
        <f t="shared" si="3"/>
        <v>Before</v>
      </c>
      <c r="V129" s="16">
        <f t="shared" ca="1" si="4"/>
        <v>8.9281008776901913</v>
      </c>
      <c r="W129" s="16">
        <f t="shared" ca="1" si="5"/>
        <v>9.4350569899109065</v>
      </c>
      <c r="X129" s="16">
        <f ca="1">(Table1[[#This Row],[Average_During]]-Table1[[#This Row],[Average_Before]])/Table1[[#This Row],[Average_Before]]*100</f>
        <v>5.6782077080637876</v>
      </c>
    </row>
    <row r="130" spans="1:24">
      <c r="A130" s="42" t="s">
        <v>257</v>
      </c>
      <c r="B130" s="42" t="s">
        <v>14</v>
      </c>
      <c r="C130" s="43">
        <v>45808</v>
      </c>
      <c r="D130" s="44" t="s">
        <v>15</v>
      </c>
      <c r="E130" s="44" t="s">
        <v>35</v>
      </c>
      <c r="F130" s="44">
        <v>2169</v>
      </c>
      <c r="G130" s="44">
        <v>240</v>
      </c>
      <c r="H130" s="44">
        <v>57</v>
      </c>
      <c r="I130" s="44">
        <v>26109</v>
      </c>
      <c r="J130" s="44">
        <v>46667</v>
      </c>
      <c r="K130" s="44">
        <v>133</v>
      </c>
      <c r="L130" s="42" t="s">
        <v>45</v>
      </c>
      <c r="M130" s="42" t="s">
        <v>42</v>
      </c>
      <c r="N130" s="42" t="s">
        <v>18</v>
      </c>
      <c r="O130" s="45">
        <f>((Posts!$F123+Posts!$G123+Posts!$H123)/Posts!$I123)*100</f>
        <v>3.5847516903707159</v>
      </c>
      <c r="P130" s="28">
        <f>SUM(Table2[[#This Row],[Likes]],Table2[[#This Row],[Shares]],Table2[[#This Row],[Comments]])</f>
        <v>3910</v>
      </c>
      <c r="Q13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30" s="29">
        <f>Table2[[#This Row],[Net_Engagement]]/Table2[[#This Row],[Total_Budget]]</f>
        <v>1.9550000000000001E-2</v>
      </c>
      <c r="S13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3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30" s="32" t="str">
        <f t="shared" si="3"/>
        <v>Before</v>
      </c>
      <c r="V130" s="16">
        <f t="shared" ca="1" si="4"/>
        <v>8.9121463576154554</v>
      </c>
      <c r="W130" s="16">
        <f t="shared" ca="1" si="5"/>
        <v>9.5682232099801858</v>
      </c>
      <c r="X130" s="16">
        <f ca="1">(Table1[[#This Row],[Average_During]]-Table1[[#This Row],[Average_Before]])/Table1[[#This Row],[Average_Before]]*100</f>
        <v>7.3616032102537323</v>
      </c>
    </row>
    <row r="131" spans="1:24">
      <c r="A131" s="38" t="s">
        <v>340</v>
      </c>
      <c r="B131" s="38" t="s">
        <v>14</v>
      </c>
      <c r="C131" s="39">
        <v>45329</v>
      </c>
      <c r="D131" s="40" t="s">
        <v>15</v>
      </c>
      <c r="E131" s="40" t="s">
        <v>32</v>
      </c>
      <c r="F131" s="40">
        <v>1883</v>
      </c>
      <c r="G131" s="40">
        <v>432</v>
      </c>
      <c r="H131" s="40">
        <v>397</v>
      </c>
      <c r="I131" s="40">
        <v>28759</v>
      </c>
      <c r="J131" s="40">
        <v>18691</v>
      </c>
      <c r="K131" s="40">
        <v>270</v>
      </c>
      <c r="L131" s="38" t="s">
        <v>45</v>
      </c>
      <c r="M131" s="38" t="s">
        <v>42</v>
      </c>
      <c r="N131" s="38" t="s">
        <v>18</v>
      </c>
      <c r="O131" s="41">
        <f>((Posts!$F124+Posts!$G124+Posts!$H124)/Posts!$I124)*100</f>
        <v>5.8764788517847775</v>
      </c>
      <c r="P131" s="24">
        <f>SUM(Table2[[#This Row],[Likes]],Table2[[#This Row],[Shares]],Table2[[#This Row],[Comments]])</f>
        <v>1684</v>
      </c>
      <c r="Q13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31" s="25">
        <f>Table2[[#This Row],[Net_Engagement]]/Table2[[#This Row],[Total_Budget]]</f>
        <v>1.0525E-2</v>
      </c>
      <c r="S13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3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31" s="32" t="str">
        <f t="shared" si="3"/>
        <v>Before</v>
      </c>
      <c r="V131" s="16">
        <f t="shared" ca="1" si="4"/>
        <v>8.8746058161975689</v>
      </c>
      <c r="W131" s="16">
        <f t="shared" ca="1" si="5"/>
        <v>10.281283358539072</v>
      </c>
      <c r="X131" s="16">
        <f ca="1">(Table1[[#This Row],[Average_During]]-Table1[[#This Row],[Average_Before]])/Table1[[#This Row],[Average_Before]]*100</f>
        <v>15.850591806275979</v>
      </c>
    </row>
    <row r="132" spans="1:24">
      <c r="A132" s="42" t="s">
        <v>230</v>
      </c>
      <c r="B132" s="42" t="s">
        <v>14</v>
      </c>
      <c r="C132" s="43">
        <v>45673</v>
      </c>
      <c r="D132" s="44" t="s">
        <v>15</v>
      </c>
      <c r="E132" s="44" t="s">
        <v>32</v>
      </c>
      <c r="F132" s="44">
        <v>2605</v>
      </c>
      <c r="G132" s="44">
        <v>282</v>
      </c>
      <c r="H132" s="44">
        <v>148</v>
      </c>
      <c r="I132" s="44">
        <v>32201</v>
      </c>
      <c r="J132" s="44">
        <v>49583</v>
      </c>
      <c r="K132" s="44">
        <v>241</v>
      </c>
      <c r="L132" s="42" t="s">
        <v>45</v>
      </c>
      <c r="M132" s="42" t="s">
        <v>42</v>
      </c>
      <c r="N132" s="42" t="s">
        <v>18</v>
      </c>
      <c r="O132" s="45">
        <f>((Posts!$F125+Posts!$G125+Posts!$H125)/Posts!$I125)*100</f>
        <v>8.545587981350371</v>
      </c>
      <c r="P132" s="28">
        <f>SUM(Table2[[#This Row],[Likes]],Table2[[#This Row],[Shares]],Table2[[#This Row],[Comments]])</f>
        <v>2297</v>
      </c>
      <c r="Q13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32" s="29">
        <f>Table2[[#This Row],[Net_Engagement]]/Table2[[#This Row],[Total_Budget]]</f>
        <v>1.4356249999999999E-2</v>
      </c>
      <c r="S13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3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32" s="32" t="str">
        <f t="shared" si="3"/>
        <v>During</v>
      </c>
      <c r="V132" s="16">
        <f t="shared" ca="1" si="4"/>
        <v>9.1369939239850009</v>
      </c>
      <c r="W132" s="16">
        <f t="shared" ca="1" si="5"/>
        <v>7.8283859592038354</v>
      </c>
      <c r="X132" s="16">
        <f ca="1">(Table1[[#This Row],[Average_During]]-Table1[[#This Row],[Average_Before]])/Table1[[#This Row],[Average_Before]]*100</f>
        <v>-14.322084217939704</v>
      </c>
    </row>
    <row r="133" spans="1:24">
      <c r="A133" s="38" t="s">
        <v>315</v>
      </c>
      <c r="B133" s="38" t="s">
        <v>14</v>
      </c>
      <c r="C133" s="39">
        <v>45341</v>
      </c>
      <c r="D133" s="40" t="s">
        <v>15</v>
      </c>
      <c r="E133" s="40" t="s">
        <v>29</v>
      </c>
      <c r="F133" s="40">
        <v>4752</v>
      </c>
      <c r="G133" s="40">
        <v>449</v>
      </c>
      <c r="H133" s="40">
        <v>309</v>
      </c>
      <c r="I133" s="40">
        <v>58530</v>
      </c>
      <c r="J133" s="40">
        <v>26630</v>
      </c>
      <c r="K133" s="40">
        <v>234</v>
      </c>
      <c r="L133" s="38" t="s">
        <v>21</v>
      </c>
      <c r="M133" s="38" t="s">
        <v>381</v>
      </c>
      <c r="N133" s="38" t="s">
        <v>22</v>
      </c>
      <c r="O133" s="41">
        <f>((Posts!$F126+Posts!$G126+Posts!$H126)/Posts!$I126)*100</f>
        <v>11.041472996071612</v>
      </c>
      <c r="P133" s="24">
        <f>SUM(Table2[[#This Row],[Likes]],Table2[[#This Row],[Shares]],Table2[[#This Row],[Comments]])</f>
        <v>4620</v>
      </c>
      <c r="Q13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33" s="25">
        <f>Table2[[#This Row],[Net_Engagement]]/Table2[[#This Row],[Total_Budget]]</f>
        <v>2.3099999999999999E-2</v>
      </c>
      <c r="S13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3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33" s="32" t="str">
        <f t="shared" si="3"/>
        <v>Before</v>
      </c>
      <c r="V133" s="16">
        <f t="shared" ca="1" si="4"/>
        <v>8.9654614687085008</v>
      </c>
      <c r="W133" s="16">
        <f t="shared" ca="1" si="5"/>
        <v>9.5806733833835018</v>
      </c>
      <c r="X133" s="16">
        <f ca="1">(Table1[[#This Row],[Average_During]]-Table1[[#This Row],[Average_Before]])/Table1[[#This Row],[Average_Before]]*100</f>
        <v>6.8620217355484767</v>
      </c>
    </row>
    <row r="134" spans="1:24">
      <c r="A134" s="42" t="s">
        <v>161</v>
      </c>
      <c r="B134" s="42" t="s">
        <v>14</v>
      </c>
      <c r="C134" s="43">
        <v>45777</v>
      </c>
      <c r="D134" s="44" t="s">
        <v>25</v>
      </c>
      <c r="E134" s="44" t="s">
        <v>26</v>
      </c>
      <c r="F134" s="44">
        <v>3916</v>
      </c>
      <c r="G134" s="44">
        <v>459</v>
      </c>
      <c r="H134" s="44">
        <v>229</v>
      </c>
      <c r="I134" s="44">
        <v>48989</v>
      </c>
      <c r="J134" s="44">
        <v>39768</v>
      </c>
      <c r="K134" s="44">
        <v>200</v>
      </c>
      <c r="L134" s="42" t="s">
        <v>42</v>
      </c>
      <c r="M134" s="42" t="s">
        <v>381</v>
      </c>
      <c r="N134" s="42" t="s">
        <v>55</v>
      </c>
      <c r="O134" s="45">
        <f>((Posts!$F127+Posts!$G127+Posts!$H127)/Posts!$I127)*100</f>
        <v>7.064131830503638</v>
      </c>
      <c r="P134" s="28">
        <f>SUM(Table2[[#This Row],[Likes]],Table2[[#This Row],[Shares]],Table2[[#This Row],[Comments]])</f>
        <v>2456</v>
      </c>
      <c r="Q13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34" s="29">
        <f>Table2[[#This Row],[Net_Engagement]]/Table2[[#This Row],[Total_Budget]]</f>
        <v>1.5350000000000001E-2</v>
      </c>
      <c r="S13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3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34" s="32" t="str">
        <f t="shared" si="3"/>
        <v>Before</v>
      </c>
      <c r="V134" s="16">
        <f t="shared" ca="1" si="4"/>
        <v>9.0813922658408401</v>
      </c>
      <c r="W134" s="16">
        <f t="shared" ca="1" si="5"/>
        <v>8.2988603664206853</v>
      </c>
      <c r="X134" s="16">
        <f ca="1">(Table1[[#This Row],[Average_During]]-Table1[[#This Row],[Average_Before]])/Table1[[#This Row],[Average_Before]]*100</f>
        <v>-8.6168714720495636</v>
      </c>
    </row>
    <row r="135" spans="1:24">
      <c r="A135" s="38" t="s">
        <v>52</v>
      </c>
      <c r="B135" s="38" t="s">
        <v>24</v>
      </c>
      <c r="C135" s="39">
        <v>45655</v>
      </c>
      <c r="D135" s="40" t="s">
        <v>25</v>
      </c>
      <c r="E135" s="40" t="s">
        <v>26</v>
      </c>
      <c r="F135" s="40">
        <v>4049</v>
      </c>
      <c r="G135" s="40">
        <v>377</v>
      </c>
      <c r="H135" s="40">
        <v>94</v>
      </c>
      <c r="I135" s="40">
        <v>48182</v>
      </c>
      <c r="J135" s="40">
        <v>42875</v>
      </c>
      <c r="K135" s="40">
        <v>172</v>
      </c>
      <c r="L135" s="38" t="s">
        <v>379</v>
      </c>
      <c r="M135" s="38" t="s">
        <v>42</v>
      </c>
      <c r="N135" s="38" t="s">
        <v>18</v>
      </c>
      <c r="O135" s="41">
        <f>((Posts!$F128+Posts!$G128+Posts!$H128)/Posts!$I128)*100</f>
        <v>3.4738711788351875</v>
      </c>
      <c r="P135" s="24">
        <f>SUM(Table2[[#This Row],[Likes]],Table2[[#This Row],[Shares]],Table2[[#This Row],[Comments]])</f>
        <v>2265</v>
      </c>
      <c r="Q13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35" s="25">
        <f>Table2[[#This Row],[Net_Engagement]]/Table2[[#This Row],[Total_Budget]]</f>
        <v>1.1325E-2</v>
      </c>
      <c r="S13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3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35" s="32" t="str">
        <f t="shared" si="3"/>
        <v>Before</v>
      </c>
      <c r="V135" s="16">
        <f t="shared" ca="1" si="4"/>
        <v>8.9148590660742801</v>
      </c>
      <c r="W135" s="16">
        <f t="shared" ca="1" si="5"/>
        <v>10.069454491324001</v>
      </c>
      <c r="X135" s="16">
        <f ca="1">(Table1[[#This Row],[Average_During]]-Table1[[#This Row],[Average_Before]])/Table1[[#This Row],[Average_Before]]*100</f>
        <v>12.951359260894682</v>
      </c>
    </row>
    <row r="136" spans="1:24">
      <c r="A136" s="42" t="s">
        <v>82</v>
      </c>
      <c r="B136" s="42" t="s">
        <v>14</v>
      </c>
      <c r="C136" s="43">
        <v>45683</v>
      </c>
      <c r="D136" s="44" t="s">
        <v>25</v>
      </c>
      <c r="E136" s="44" t="s">
        <v>35</v>
      </c>
      <c r="F136" s="44">
        <v>3451</v>
      </c>
      <c r="G136" s="44">
        <v>363</v>
      </c>
      <c r="H136" s="44">
        <v>393</v>
      </c>
      <c r="I136" s="44">
        <v>44853</v>
      </c>
      <c r="J136" s="44">
        <v>69032</v>
      </c>
      <c r="K136" s="44">
        <v>211</v>
      </c>
      <c r="L136" s="42" t="s">
        <v>42</v>
      </c>
      <c r="M136" s="42" t="s">
        <v>381</v>
      </c>
      <c r="N136" s="42" t="s">
        <v>55</v>
      </c>
      <c r="O136" s="45">
        <f>((Posts!$F129+Posts!$G129+Posts!$H129)/Posts!$I129)*100</f>
        <v>10.461100954702417</v>
      </c>
      <c r="P136" s="28">
        <f>SUM(Table2[[#This Row],[Likes]],Table2[[#This Row],[Shares]],Table2[[#This Row],[Comments]])</f>
        <v>3643</v>
      </c>
      <c r="Q13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36" s="29">
        <f>Table2[[#This Row],[Net_Engagement]]/Table2[[#This Row],[Total_Budget]]</f>
        <v>1.8214999999999999E-2</v>
      </c>
      <c r="S13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3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36" s="32" t="str">
        <f t="shared" si="3"/>
        <v>During</v>
      </c>
      <c r="V136" s="16">
        <f t="shared" ca="1" si="4"/>
        <v>9.1496735600970123</v>
      </c>
      <c r="W136" s="16">
        <f t="shared" ca="1" si="5"/>
        <v>8.105399011678454</v>
      </c>
      <c r="X136" s="16">
        <f ca="1">(Table1[[#This Row],[Average_During]]-Table1[[#This Row],[Average_Before]])/Table1[[#This Row],[Average_Before]]*100</f>
        <v>-11.413243779240208</v>
      </c>
    </row>
    <row r="137" spans="1:24">
      <c r="A137" s="38" t="s">
        <v>309</v>
      </c>
      <c r="B137" s="38" t="s">
        <v>31</v>
      </c>
      <c r="C137" s="39">
        <v>45464</v>
      </c>
      <c r="D137" s="40" t="s">
        <v>57</v>
      </c>
      <c r="E137" s="40" t="s">
        <v>32</v>
      </c>
      <c r="F137" s="40">
        <v>4621</v>
      </c>
      <c r="G137" s="40">
        <v>374</v>
      </c>
      <c r="H137" s="40">
        <v>298</v>
      </c>
      <c r="I137" s="40">
        <v>56979</v>
      </c>
      <c r="J137" s="40">
        <v>24098</v>
      </c>
      <c r="K137" s="40">
        <v>205</v>
      </c>
      <c r="L137" s="38" t="s">
        <v>21</v>
      </c>
      <c r="M137" s="38" t="s">
        <v>45</v>
      </c>
      <c r="N137" s="38" t="s">
        <v>59</v>
      </c>
      <c r="O137" s="41">
        <f>((Posts!$F130+Posts!$G130+Posts!$H130)/Posts!$I130)*100</f>
        <v>7.9993453221219744</v>
      </c>
      <c r="P137" s="24">
        <f>SUM(Table2[[#This Row],[Likes]],Table2[[#This Row],[Shares]],Table2[[#This Row],[Comments]])</f>
        <v>4274</v>
      </c>
      <c r="Q13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37" s="25">
        <f>Table2[[#This Row],[Net_Engagement]]/Table2[[#This Row],[Total_Budget]]</f>
        <v>2.137E-2</v>
      </c>
      <c r="S13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3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37" s="32" t="str">
        <f t="shared" si="3"/>
        <v>Before</v>
      </c>
      <c r="V137" s="16">
        <f t="shared" ca="1" si="4"/>
        <v>9.1639324711423988</v>
      </c>
      <c r="W137" s="16">
        <f t="shared" ca="1" si="5"/>
        <v>7.8844104168230835</v>
      </c>
      <c r="X137" s="16">
        <f ca="1">(Table1[[#This Row],[Average_During]]-Table1[[#This Row],[Average_Before]])/Table1[[#This Row],[Average_Before]]*100</f>
        <v>-13.962587113649985</v>
      </c>
    </row>
    <row r="138" spans="1:24">
      <c r="A138" s="42" t="s">
        <v>285</v>
      </c>
      <c r="B138" s="42" t="s">
        <v>24</v>
      </c>
      <c r="C138" s="43">
        <v>45666</v>
      </c>
      <c r="D138" s="44" t="s">
        <v>25</v>
      </c>
      <c r="E138" s="44" t="s">
        <v>51</v>
      </c>
      <c r="F138" s="44">
        <v>3817</v>
      </c>
      <c r="G138" s="44">
        <v>284</v>
      </c>
      <c r="H138" s="44">
        <v>204</v>
      </c>
      <c r="I138" s="44">
        <v>46434</v>
      </c>
      <c r="J138" s="44">
        <v>53396</v>
      </c>
      <c r="K138" s="44">
        <v>104</v>
      </c>
      <c r="L138" s="42" t="s">
        <v>379</v>
      </c>
      <c r="M138" s="42" t="s">
        <v>42</v>
      </c>
      <c r="N138" s="42" t="s">
        <v>18</v>
      </c>
      <c r="O138" s="45">
        <f>((Posts!$F131+Posts!$G131+Posts!$H131)/Posts!$I131)*100</f>
        <v>2.8119155757413838</v>
      </c>
      <c r="P138" s="28">
        <f>SUM(Table2[[#This Row],[Likes]],Table2[[#This Row],[Shares]],Table2[[#This Row],[Comments]])</f>
        <v>5447</v>
      </c>
      <c r="Q13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38" s="29">
        <f>Table2[[#This Row],[Net_Engagement]]/Table2[[#This Row],[Total_Budget]]</f>
        <v>2.7234999999999999E-2</v>
      </c>
      <c r="S13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3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38" s="32" t="str">
        <f t="shared" ref="U138:U201" si="6">IF(AND(C138&gt;=$S$9,C138&lt;=$T$9),"During","Before")</f>
        <v>Before</v>
      </c>
      <c r="V138" s="16">
        <f t="shared" ref="V138:V201" ca="1" si="7">AVERAGEIF($U$9:$U$308,"Before",O138)</f>
        <v>9.1186031056301307</v>
      </c>
      <c r="W138" s="16">
        <f t="shared" ref="W138:W201" ca="1" si="8">IFERROR(AVERAGEIF($U$9:$U$308,"During",O138),0)</f>
        <v>8.3963253420369632</v>
      </c>
      <c r="X138" s="16">
        <f ca="1">(Table1[[#This Row],[Average_During]]-Table1[[#This Row],[Average_Before]])/Table1[[#This Row],[Average_Before]]*100</f>
        <v>-7.9209255543451498</v>
      </c>
    </row>
    <row r="139" spans="1:24">
      <c r="A139" s="38" t="s">
        <v>183</v>
      </c>
      <c r="B139" s="38" t="s">
        <v>14</v>
      </c>
      <c r="C139" s="39">
        <v>45460</v>
      </c>
      <c r="D139" s="40" t="s">
        <v>15</v>
      </c>
      <c r="E139" s="40" t="s">
        <v>16</v>
      </c>
      <c r="F139" s="40">
        <v>4283</v>
      </c>
      <c r="G139" s="40">
        <v>471</v>
      </c>
      <c r="H139" s="40">
        <v>156</v>
      </c>
      <c r="I139" s="40">
        <v>53004</v>
      </c>
      <c r="J139" s="40">
        <v>25678</v>
      </c>
      <c r="K139" s="40">
        <v>105</v>
      </c>
      <c r="L139" s="38" t="s">
        <v>21</v>
      </c>
      <c r="M139" s="38" t="s">
        <v>381</v>
      </c>
      <c r="N139" s="38" t="s">
        <v>22</v>
      </c>
      <c r="O139" s="41">
        <f>((Posts!$F132+Posts!$G132+Posts!$H132)/Posts!$I132)*100</f>
        <v>5.4592988710635764</v>
      </c>
      <c r="P139" s="24">
        <f>SUM(Table2[[#This Row],[Likes]],Table2[[#This Row],[Shares]],Table2[[#This Row],[Comments]])</f>
        <v>1347</v>
      </c>
      <c r="Q13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39" s="25">
        <f>Table2[[#This Row],[Net_Engagement]]/Table2[[#This Row],[Total_Budget]]</f>
        <v>6.7349999999999997E-3</v>
      </c>
      <c r="S13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3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39" s="32" t="str">
        <f t="shared" si="6"/>
        <v>Before</v>
      </c>
      <c r="V139" s="16">
        <f t="shared" ca="1" si="7"/>
        <v>9.0922422279715711</v>
      </c>
      <c r="W139" s="16">
        <f t="shared" ca="1" si="8"/>
        <v>9.044216760118637</v>
      </c>
      <c r="X139" s="16">
        <f ca="1">(Table1[[#This Row],[Average_During]]-Table1[[#This Row],[Average_Before]])/Table1[[#This Row],[Average_Before]]*100</f>
        <v>-0.52820268805848092</v>
      </c>
    </row>
    <row r="140" spans="1:24">
      <c r="A140" s="42" t="s">
        <v>172</v>
      </c>
      <c r="B140" s="42" t="s">
        <v>24</v>
      </c>
      <c r="C140" s="43">
        <v>45563</v>
      </c>
      <c r="D140" s="44" t="s">
        <v>15</v>
      </c>
      <c r="E140" s="44" t="s">
        <v>35</v>
      </c>
      <c r="F140" s="44">
        <v>4006</v>
      </c>
      <c r="G140" s="44">
        <v>420</v>
      </c>
      <c r="H140" s="44">
        <v>194</v>
      </c>
      <c r="I140" s="44">
        <v>49964</v>
      </c>
      <c r="J140" s="44">
        <v>20685</v>
      </c>
      <c r="K140" s="44">
        <v>148</v>
      </c>
      <c r="L140" s="42" t="s">
        <v>42</v>
      </c>
      <c r="M140" s="42" t="s">
        <v>381</v>
      </c>
      <c r="N140" s="42" t="s">
        <v>18</v>
      </c>
      <c r="O140" s="45">
        <f>((Posts!$F133+Posts!$G133+Posts!$H133)/Posts!$I133)*100</f>
        <v>9.2466575934672957</v>
      </c>
      <c r="P140" s="28">
        <f>SUM(Table2[[#This Row],[Likes]],Table2[[#This Row],[Shares]],Table2[[#This Row],[Comments]])</f>
        <v>3233</v>
      </c>
      <c r="Q14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40" s="29">
        <f>Table2[[#This Row],[Net_Engagement]]/Table2[[#This Row],[Total_Budget]]</f>
        <v>1.6164999999999999E-2</v>
      </c>
      <c r="S14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4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40" s="32" t="str">
        <f t="shared" si="6"/>
        <v>Before</v>
      </c>
      <c r="V140" s="16">
        <f t="shared" ca="1" si="7"/>
        <v>9.0860963212344252</v>
      </c>
      <c r="W140" s="16">
        <f t="shared" ca="1" si="8"/>
        <v>9.3300459530993294</v>
      </c>
      <c r="X140" s="16">
        <f ca="1">(Table1[[#This Row],[Average_During]]-Table1[[#This Row],[Average_Before]])/Table1[[#This Row],[Average_Before]]*100</f>
        <v>2.6848673318021956</v>
      </c>
    </row>
    <row r="141" spans="1:24">
      <c r="A141" s="38" t="s">
        <v>192</v>
      </c>
      <c r="B141" s="38" t="s">
        <v>14</v>
      </c>
      <c r="C141" s="39">
        <v>45562</v>
      </c>
      <c r="D141" s="40" t="s">
        <v>15</v>
      </c>
      <c r="E141" s="40" t="s">
        <v>16</v>
      </c>
      <c r="F141" s="40">
        <v>3118</v>
      </c>
      <c r="G141" s="40">
        <v>116</v>
      </c>
      <c r="H141" s="40">
        <v>195</v>
      </c>
      <c r="I141" s="40">
        <v>37100</v>
      </c>
      <c r="J141" s="40">
        <v>62629</v>
      </c>
      <c r="K141" s="40">
        <v>272</v>
      </c>
      <c r="L141" s="38" t="s">
        <v>21</v>
      </c>
      <c r="M141" s="38" t="s">
        <v>381</v>
      </c>
      <c r="N141" s="38" t="s">
        <v>22</v>
      </c>
      <c r="O141" s="41">
        <f>((Posts!$F134+Posts!$G134+Posts!$H134)/Posts!$I134)*100</f>
        <v>4.7508511296812133</v>
      </c>
      <c r="P141" s="24">
        <f>SUM(Table2[[#This Row],[Likes]],Table2[[#This Row],[Shares]],Table2[[#This Row],[Comments]])</f>
        <v>2561</v>
      </c>
      <c r="Q14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41" s="25">
        <f>Table2[[#This Row],[Net_Engagement]]/Table2[[#This Row],[Total_Budget]]</f>
        <v>1.2805E-2</v>
      </c>
      <c r="S14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4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41" s="32" t="str">
        <f t="shared" si="6"/>
        <v>Before</v>
      </c>
      <c r="V141" s="16">
        <f t="shared" ca="1" si="7"/>
        <v>8.9849639999806072</v>
      </c>
      <c r="W141" s="16">
        <f t="shared" ca="1" si="8"/>
        <v>10.280767925496036</v>
      </c>
      <c r="X141" s="16">
        <f ca="1">(Table1[[#This Row],[Average_During]]-Table1[[#This Row],[Average_Before]])/Table1[[#This Row],[Average_Before]]*100</f>
        <v>14.421915608323257</v>
      </c>
    </row>
    <row r="142" spans="1:24">
      <c r="A142" s="42" t="s">
        <v>206</v>
      </c>
      <c r="B142" s="42" t="s">
        <v>14</v>
      </c>
      <c r="C142" s="43">
        <v>45387</v>
      </c>
      <c r="D142" s="44" t="s">
        <v>15</v>
      </c>
      <c r="E142" s="44" t="s">
        <v>26</v>
      </c>
      <c r="F142" s="44">
        <v>4383</v>
      </c>
      <c r="G142" s="44">
        <v>352</v>
      </c>
      <c r="H142" s="44">
        <v>176</v>
      </c>
      <c r="I142" s="44">
        <v>53239</v>
      </c>
      <c r="J142" s="44">
        <v>34168</v>
      </c>
      <c r="K142" s="44">
        <v>288</v>
      </c>
      <c r="L142" s="42" t="s">
        <v>21</v>
      </c>
      <c r="M142" s="42" t="s">
        <v>381</v>
      </c>
      <c r="N142" s="42" t="s">
        <v>22</v>
      </c>
      <c r="O142" s="45">
        <f>((Posts!$F135+Posts!$G135+Posts!$H135)/Posts!$I135)*100</f>
        <v>7.4861184558434681</v>
      </c>
      <c r="P142" s="28">
        <f>SUM(Table2[[#This Row],[Likes]],Table2[[#This Row],[Shares]],Table2[[#This Row],[Comments]])</f>
        <v>4095</v>
      </c>
      <c r="Q14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42" s="29">
        <f>Table2[[#This Row],[Net_Engagement]]/Table2[[#This Row],[Total_Budget]]</f>
        <v>2.3400000000000001E-2</v>
      </c>
      <c r="S14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4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42" s="32" t="str">
        <f t="shared" si="6"/>
        <v>Before</v>
      </c>
      <c r="V142" s="16">
        <f t="shared" ca="1" si="7"/>
        <v>9.182584948776519</v>
      </c>
      <c r="W142" s="16">
        <f t="shared" ca="1" si="8"/>
        <v>8.6803522756283602</v>
      </c>
      <c r="X142" s="16">
        <f ca="1">(Table1[[#This Row],[Average_During]]-Table1[[#This Row],[Average_Before]])/Table1[[#This Row],[Average_Before]]*100</f>
        <v>-5.4694040507087918</v>
      </c>
    </row>
    <row r="143" spans="1:24">
      <c r="A143" s="38" t="s">
        <v>104</v>
      </c>
      <c r="B143" s="38" t="s">
        <v>24</v>
      </c>
      <c r="C143" s="39">
        <v>45679</v>
      </c>
      <c r="D143" s="40" t="s">
        <v>25</v>
      </c>
      <c r="E143" s="40" t="s">
        <v>26</v>
      </c>
      <c r="F143" s="40">
        <v>4478</v>
      </c>
      <c r="G143" s="40">
        <v>101</v>
      </c>
      <c r="H143" s="40">
        <v>121</v>
      </c>
      <c r="I143" s="40">
        <v>51035</v>
      </c>
      <c r="J143" s="40">
        <v>58207</v>
      </c>
      <c r="K143" s="40">
        <v>205</v>
      </c>
      <c r="L143" s="38" t="s">
        <v>379</v>
      </c>
      <c r="M143" s="38" t="s">
        <v>42</v>
      </c>
      <c r="N143" s="38" t="s">
        <v>18</v>
      </c>
      <c r="O143" s="41">
        <f>((Posts!$F136+Posts!$G136+Posts!$H136)/Posts!$I136)*100</f>
        <v>9.6834214933149045</v>
      </c>
      <c r="P143" s="24">
        <f>SUM(Table2[[#This Row],[Likes]],Table2[[#This Row],[Shares]],Table2[[#This Row],[Comments]])</f>
        <v>5124</v>
      </c>
      <c r="Q14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43" s="25">
        <f>Table2[[#This Row],[Net_Engagement]]/Table2[[#This Row],[Total_Budget]]</f>
        <v>2.2773333333333333E-2</v>
      </c>
      <c r="S14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4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43" s="32" t="str">
        <f t="shared" si="6"/>
        <v>During</v>
      </c>
      <c r="V143" s="16">
        <f t="shared" ca="1" si="7"/>
        <v>9.1433459015270095</v>
      </c>
      <c r="W143" s="16">
        <f t="shared" ca="1" si="8"/>
        <v>9.1542474994008316</v>
      </c>
      <c r="X143" s="16">
        <f ca="1">(Table1[[#This Row],[Average_During]]-Table1[[#This Row],[Average_Before]])/Table1[[#This Row],[Average_Before]]*100</f>
        <v>0.11922985295789153</v>
      </c>
    </row>
    <row r="144" spans="1:24">
      <c r="A144" s="42" t="s">
        <v>269</v>
      </c>
      <c r="B144" s="42" t="s">
        <v>31</v>
      </c>
      <c r="C144" s="43">
        <v>45346</v>
      </c>
      <c r="D144" s="44" t="s">
        <v>15</v>
      </c>
      <c r="E144" s="44" t="s">
        <v>32</v>
      </c>
      <c r="F144" s="44">
        <v>4653</v>
      </c>
      <c r="G144" s="44">
        <v>226</v>
      </c>
      <c r="H144" s="44">
        <v>349</v>
      </c>
      <c r="I144" s="44">
        <v>56876</v>
      </c>
      <c r="J144" s="44">
        <v>28452</v>
      </c>
      <c r="K144" s="44">
        <v>257</v>
      </c>
      <c r="L144" s="42" t="s">
        <v>21</v>
      </c>
      <c r="M144" s="42" t="s">
        <v>380</v>
      </c>
      <c r="N144" s="42" t="s">
        <v>22</v>
      </c>
      <c r="O144" s="45">
        <f>((Posts!$F137+Posts!$G137+Posts!$H137)/Posts!$I137)*100</f>
        <v>18.723441538528935</v>
      </c>
      <c r="P144" s="28">
        <f>SUM(Table2[[#This Row],[Likes]],Table2[[#This Row],[Shares]],Table2[[#This Row],[Comments]])</f>
        <v>4910</v>
      </c>
      <c r="Q14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44" s="29">
        <f>Table2[[#This Row],[Net_Engagement]]/Table2[[#This Row],[Total_Budget]]</f>
        <v>3.06875E-2</v>
      </c>
      <c r="S14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4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44" s="32" t="str">
        <f t="shared" si="6"/>
        <v>Before</v>
      </c>
      <c r="V144" s="16">
        <f t="shared" ca="1" si="7"/>
        <v>8.8842677625310031</v>
      </c>
      <c r="W144" s="16">
        <f t="shared" ca="1" si="8"/>
        <v>11.709750623099918</v>
      </c>
      <c r="X144" s="16">
        <f ca="1">(Table1[[#This Row],[Average_During]]-Table1[[#This Row],[Average_Before]])/Table1[[#This Row],[Average_Before]]*100</f>
        <v>31.803215932834227</v>
      </c>
    </row>
    <row r="145" spans="1:24">
      <c r="A145" s="38" t="s">
        <v>305</v>
      </c>
      <c r="B145" s="38" t="s">
        <v>24</v>
      </c>
      <c r="C145" s="39">
        <v>45825</v>
      </c>
      <c r="D145" s="40" t="s">
        <v>25</v>
      </c>
      <c r="E145" s="40" t="s">
        <v>20</v>
      </c>
      <c r="F145" s="40">
        <v>4341</v>
      </c>
      <c r="G145" s="40">
        <v>141</v>
      </c>
      <c r="H145" s="40">
        <v>63</v>
      </c>
      <c r="I145" s="40">
        <v>50081</v>
      </c>
      <c r="J145" s="40">
        <v>27507</v>
      </c>
      <c r="K145" s="40">
        <v>221</v>
      </c>
      <c r="L145" s="38" t="s">
        <v>21</v>
      </c>
      <c r="M145" s="38" t="s">
        <v>379</v>
      </c>
      <c r="N145" s="38" t="s">
        <v>18</v>
      </c>
      <c r="O145" s="41">
        <f>((Posts!$F138+Posts!$G138+Posts!$H138)/Posts!$I138)*100</f>
        <v>16.610252187966946</v>
      </c>
      <c r="P145" s="24">
        <f>SUM(Table2[[#This Row],[Likes]],Table2[[#This Row],[Shares]],Table2[[#This Row],[Comments]])</f>
        <v>2993</v>
      </c>
      <c r="Q14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45" s="25">
        <f>Table2[[#This Row],[Net_Engagement]]/Table2[[#This Row],[Total_Budget]]</f>
        <v>1.4964999999999999E-2</v>
      </c>
      <c r="S14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4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45" s="32" t="str">
        <f t="shared" si="6"/>
        <v>Before</v>
      </c>
      <c r="V145" s="16">
        <f t="shared" ca="1" si="7"/>
        <v>9.1453452529650434</v>
      </c>
      <c r="W145" s="16">
        <f t="shared" ca="1" si="8"/>
        <v>8.4604359663885909</v>
      </c>
      <c r="X145" s="16">
        <f ca="1">(Table1[[#This Row],[Average_During]]-Table1[[#This Row],[Average_Before]])/Table1[[#This Row],[Average_Before]]*100</f>
        <v>-7.4891572448223949</v>
      </c>
    </row>
    <row r="146" spans="1:24">
      <c r="A146" s="42" t="s">
        <v>106</v>
      </c>
      <c r="B146" s="42" t="s">
        <v>14</v>
      </c>
      <c r="C146" s="43">
        <v>45763</v>
      </c>
      <c r="D146" s="44" t="s">
        <v>15</v>
      </c>
      <c r="E146" s="44" t="s">
        <v>29</v>
      </c>
      <c r="F146" s="44">
        <v>4836</v>
      </c>
      <c r="G146" s="44">
        <v>331</v>
      </c>
      <c r="H146" s="44">
        <v>140</v>
      </c>
      <c r="I146" s="44">
        <v>58792</v>
      </c>
      <c r="J146" s="44">
        <v>47711</v>
      </c>
      <c r="K146" s="44">
        <v>227</v>
      </c>
      <c r="L146" s="42" t="s">
        <v>45</v>
      </c>
      <c r="M146" s="42" t="s">
        <v>42</v>
      </c>
      <c r="N146" s="42" t="s">
        <v>18</v>
      </c>
      <c r="O146" s="45">
        <f>((Posts!$F139+Posts!$G139+Posts!$H139)/Posts!$I139)*100</f>
        <v>2.7809319322005903</v>
      </c>
      <c r="P146" s="28">
        <f>SUM(Table2[[#This Row],[Likes]],Table2[[#This Row],[Shares]],Table2[[#This Row],[Comments]])</f>
        <v>4682</v>
      </c>
      <c r="Q14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46" s="29">
        <f>Table2[[#This Row],[Net_Engagement]]/Table2[[#This Row],[Total_Budget]]</f>
        <v>2.341E-2</v>
      </c>
      <c r="S14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4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46" s="32" t="str">
        <f t="shared" si="6"/>
        <v>Before</v>
      </c>
      <c r="V146" s="16">
        <f t="shared" ca="1" si="7"/>
        <v>8.9646801754281409</v>
      </c>
      <c r="W146" s="16">
        <f t="shared" ca="1" si="8"/>
        <v>9.7453376024192426</v>
      </c>
      <c r="X146" s="16">
        <f ca="1">(Table1[[#This Row],[Average_During]]-Table1[[#This Row],[Average_Before]])/Table1[[#This Row],[Average_Before]]*100</f>
        <v>8.7081458759773174</v>
      </c>
    </row>
    <row r="147" spans="1:24">
      <c r="A147" s="38" t="s">
        <v>232</v>
      </c>
      <c r="B147" s="38" t="s">
        <v>24</v>
      </c>
      <c r="C147" s="39">
        <v>45551</v>
      </c>
      <c r="D147" s="40" t="s">
        <v>25</v>
      </c>
      <c r="E147" s="40" t="s">
        <v>35</v>
      </c>
      <c r="F147" s="40">
        <v>4422</v>
      </c>
      <c r="G147" s="40">
        <v>434</v>
      </c>
      <c r="H147" s="40">
        <v>156</v>
      </c>
      <c r="I147" s="40">
        <v>56165</v>
      </c>
      <c r="J147" s="40">
        <v>52431</v>
      </c>
      <c r="K147" s="40">
        <v>173</v>
      </c>
      <c r="L147" s="38" t="s">
        <v>21</v>
      </c>
      <c r="M147" s="38" t="s">
        <v>379</v>
      </c>
      <c r="N147" s="38" t="s">
        <v>18</v>
      </c>
      <c r="O147" s="41">
        <f>((Posts!$F140+Posts!$G140+Posts!$H140)/Posts!$I140)*100</f>
        <v>11.645414595490239</v>
      </c>
      <c r="P147" s="24">
        <f>SUM(Table2[[#This Row],[Likes]],Table2[[#This Row],[Shares]],Table2[[#This Row],[Comments]])</f>
        <v>3331</v>
      </c>
      <c r="Q14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47" s="25">
        <f>Table2[[#This Row],[Net_Engagement]]/Table2[[#This Row],[Total_Budget]]</f>
        <v>2.081875E-2</v>
      </c>
      <c r="S14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4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47" s="32" t="str">
        <f t="shared" si="6"/>
        <v>Before</v>
      </c>
      <c r="V147" s="16">
        <f t="shared" ca="1" si="7"/>
        <v>9.0739520001055194</v>
      </c>
      <c r="W147" s="16">
        <f t="shared" ca="1" si="8"/>
        <v>9.0867236034627972</v>
      </c>
      <c r="X147" s="16">
        <f ca="1">(Table1[[#This Row],[Average_During]]-Table1[[#This Row],[Average_Before]])/Table1[[#This Row],[Average_Before]]*100</f>
        <v>0.14075017541562118</v>
      </c>
    </row>
    <row r="148" spans="1:24">
      <c r="A148" s="42" t="s">
        <v>144</v>
      </c>
      <c r="B148" s="42" t="s">
        <v>24</v>
      </c>
      <c r="C148" s="43">
        <v>45413</v>
      </c>
      <c r="D148" s="44" t="s">
        <v>25</v>
      </c>
      <c r="E148" s="44" t="s">
        <v>35</v>
      </c>
      <c r="F148" s="44">
        <v>2587</v>
      </c>
      <c r="G148" s="44">
        <v>447</v>
      </c>
      <c r="H148" s="44">
        <v>183</v>
      </c>
      <c r="I148" s="44">
        <v>36266</v>
      </c>
      <c r="J148" s="44">
        <v>32877</v>
      </c>
      <c r="K148" s="44">
        <v>132</v>
      </c>
      <c r="L148" s="42" t="s">
        <v>21</v>
      </c>
      <c r="M148" s="42" t="s">
        <v>379</v>
      </c>
      <c r="N148" s="42" t="s">
        <v>18</v>
      </c>
      <c r="O148" s="45">
        <f>((Posts!$F141+Posts!$G141+Posts!$H141)/Posts!$I141)*100</f>
        <v>8.7025961669158622</v>
      </c>
      <c r="P148" s="28">
        <f>SUM(Table2[[#This Row],[Likes]],Table2[[#This Row],[Shares]],Table2[[#This Row],[Comments]])</f>
        <v>2821</v>
      </c>
      <c r="Q14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48" s="29">
        <f>Table2[[#This Row],[Net_Engagement]]/Table2[[#This Row],[Total_Budget]]</f>
        <v>1.4104999999999999E-2</v>
      </c>
      <c r="S14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4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48" s="32" t="str">
        <f t="shared" si="6"/>
        <v>Before</v>
      </c>
      <c r="V148" s="16">
        <f t="shared" ca="1" si="7"/>
        <v>9.1655091536911382</v>
      </c>
      <c r="W148" s="16">
        <f t="shared" ca="1" si="8"/>
        <v>8.0241364688704451</v>
      </c>
      <c r="X148" s="16">
        <f ca="1">(Table1[[#This Row],[Average_During]]-Table1[[#This Row],[Average_Before]])/Table1[[#This Row],[Average_Before]]*100</f>
        <v>-12.452910860506194</v>
      </c>
    </row>
    <row r="149" spans="1:24">
      <c r="A149" s="38" t="s">
        <v>98</v>
      </c>
      <c r="B149" s="38" t="s">
        <v>31</v>
      </c>
      <c r="C149" s="39">
        <v>45490</v>
      </c>
      <c r="D149" s="40" t="s">
        <v>15</v>
      </c>
      <c r="E149" s="40" t="s">
        <v>41</v>
      </c>
      <c r="F149" s="40">
        <v>3135</v>
      </c>
      <c r="G149" s="40">
        <v>110</v>
      </c>
      <c r="H149" s="40">
        <v>215</v>
      </c>
      <c r="I149" s="40">
        <v>39192</v>
      </c>
      <c r="J149" s="40">
        <v>24744</v>
      </c>
      <c r="K149" s="40">
        <v>177</v>
      </c>
      <c r="L149" s="38" t="s">
        <v>21</v>
      </c>
      <c r="M149" s="38" t="s">
        <v>380</v>
      </c>
      <c r="N149" s="38" t="s">
        <v>22</v>
      </c>
      <c r="O149" s="41">
        <f>((Posts!$F142+Posts!$G142+Posts!$H142)/Posts!$I142)*100</f>
        <v>7.059492819832089</v>
      </c>
      <c r="P149" s="24">
        <f>SUM(Table2[[#This Row],[Likes]],Table2[[#This Row],[Shares]],Table2[[#This Row],[Comments]])</f>
        <v>5142</v>
      </c>
      <c r="Q14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49" s="25">
        <f>Table2[[#This Row],[Net_Engagement]]/Table2[[#This Row],[Total_Budget]]</f>
        <v>2.571E-2</v>
      </c>
      <c r="S14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4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49" s="32" t="str">
        <f t="shared" si="6"/>
        <v>Before</v>
      </c>
      <c r="V149" s="16">
        <f t="shared" ca="1" si="7"/>
        <v>8.9673180210600218</v>
      </c>
      <c r="W149" s="16">
        <f t="shared" ca="1" si="8"/>
        <v>10.042525445020246</v>
      </c>
      <c r="X149" s="16">
        <f ca="1">(Table1[[#This Row],[Average_During]]-Table1[[#This Row],[Average_Before]])/Table1[[#This Row],[Average_Before]]*100</f>
        <v>11.990289866324206</v>
      </c>
    </row>
    <row r="150" spans="1:24">
      <c r="A150" s="42" t="s">
        <v>121</v>
      </c>
      <c r="B150" s="42" t="s">
        <v>24</v>
      </c>
      <c r="C150" s="43">
        <v>45723</v>
      </c>
      <c r="D150" s="44" t="s">
        <v>15</v>
      </c>
      <c r="E150" s="44" t="s">
        <v>37</v>
      </c>
      <c r="F150" s="44">
        <v>4234</v>
      </c>
      <c r="G150" s="44">
        <v>486</v>
      </c>
      <c r="H150" s="44">
        <v>276</v>
      </c>
      <c r="I150" s="44">
        <v>56623</v>
      </c>
      <c r="J150" s="44">
        <v>41343</v>
      </c>
      <c r="K150" s="44">
        <v>184</v>
      </c>
      <c r="L150" s="42" t="s">
        <v>45</v>
      </c>
      <c r="M150" s="42" t="s">
        <v>381</v>
      </c>
      <c r="N150" s="42" t="s">
        <v>22</v>
      </c>
      <c r="O150" s="45">
        <f>((Posts!$F143+Posts!$G143+Posts!$H143)/Posts!$I143)*100</f>
        <v>11.731037798484397</v>
      </c>
      <c r="P150" s="28">
        <f>SUM(Table2[[#This Row],[Likes]],Table2[[#This Row],[Shares]],Table2[[#This Row],[Comments]])</f>
        <v>4636</v>
      </c>
      <c r="Q15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50" s="29">
        <f>Table2[[#This Row],[Net_Engagement]]/Table2[[#This Row],[Total_Budget]]</f>
        <v>2.8975000000000001E-2</v>
      </c>
      <c r="S15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5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50" s="32" t="str">
        <f t="shared" si="6"/>
        <v>Before</v>
      </c>
      <c r="V150" s="16">
        <f t="shared" ca="1" si="7"/>
        <v>8.9995343593981687</v>
      </c>
      <c r="W150" s="16">
        <f t="shared" ca="1" si="8"/>
        <v>9.8451294551771547</v>
      </c>
      <c r="X150" s="16">
        <f ca="1">(Table1[[#This Row],[Average_During]]-Table1[[#This Row],[Average_Before]])/Table1[[#This Row],[Average_Before]]*100</f>
        <v>9.3959871923366265</v>
      </c>
    </row>
    <row r="151" spans="1:24">
      <c r="A151" s="38" t="s">
        <v>101</v>
      </c>
      <c r="B151" s="38" t="s">
        <v>31</v>
      </c>
      <c r="C151" s="39">
        <v>45292</v>
      </c>
      <c r="D151" s="40" t="s">
        <v>57</v>
      </c>
      <c r="E151" s="40" t="s">
        <v>20</v>
      </c>
      <c r="F151" s="40">
        <v>3437</v>
      </c>
      <c r="G151" s="40">
        <v>129</v>
      </c>
      <c r="H151" s="40">
        <v>359</v>
      </c>
      <c r="I151" s="40">
        <v>44558</v>
      </c>
      <c r="J151" s="40">
        <v>30854</v>
      </c>
      <c r="K151" s="40">
        <v>171</v>
      </c>
      <c r="L151" s="38" t="s">
        <v>21</v>
      </c>
      <c r="M151" s="38" t="s">
        <v>45</v>
      </c>
      <c r="N151" s="38" t="s">
        <v>59</v>
      </c>
      <c r="O151" s="41">
        <f>((Posts!$F144+Posts!$G144+Posts!$H144)/Posts!$I144)*100</f>
        <v>9.2634518149573619</v>
      </c>
      <c r="P151" s="24">
        <f>SUM(Table2[[#This Row],[Likes]],Table2[[#This Row],[Shares]],Table2[[#This Row],[Comments]])</f>
        <v>2881</v>
      </c>
      <c r="Q15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51" s="25">
        <f>Table2[[#This Row],[Net_Engagement]]/Table2[[#This Row],[Total_Budget]]</f>
        <v>1.4404999999999999E-2</v>
      </c>
      <c r="S15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5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51" s="32" t="str">
        <f t="shared" si="6"/>
        <v>Before</v>
      </c>
      <c r="V151" s="16">
        <f t="shared" ca="1" si="7"/>
        <v>9.0630947168391121</v>
      </c>
      <c r="W151" s="16">
        <f t="shared" ca="1" si="8"/>
        <v>8.9962583901355622</v>
      </c>
      <c r="X151" s="16">
        <f ca="1">(Table1[[#This Row],[Average_During]]-Table1[[#This Row],[Average_Before]])/Table1[[#This Row],[Average_Before]]*100</f>
        <v>-0.73745589990766469</v>
      </c>
    </row>
    <row r="152" spans="1:24">
      <c r="A152" s="42" t="s">
        <v>38</v>
      </c>
      <c r="B152" s="42" t="s">
        <v>24</v>
      </c>
      <c r="C152" s="43">
        <v>45421</v>
      </c>
      <c r="D152" s="44" t="s">
        <v>25</v>
      </c>
      <c r="E152" s="44" t="s">
        <v>29</v>
      </c>
      <c r="F152" s="44">
        <v>1428</v>
      </c>
      <c r="G152" s="44">
        <v>347</v>
      </c>
      <c r="H152" s="44">
        <v>67</v>
      </c>
      <c r="I152" s="44">
        <v>21148</v>
      </c>
      <c r="J152" s="44">
        <v>19712</v>
      </c>
      <c r="K152" s="44">
        <v>120</v>
      </c>
      <c r="L152" s="42" t="s">
        <v>21</v>
      </c>
      <c r="M152" s="42" t="s">
        <v>379</v>
      </c>
      <c r="N152" s="42" t="s">
        <v>18</v>
      </c>
      <c r="O152" s="45">
        <f>((Posts!$F145+Posts!$G145+Posts!$H145)/Posts!$I145)*100</f>
        <v>6.0370736430199488</v>
      </c>
      <c r="P152" s="28">
        <f>SUM(Table2[[#This Row],[Likes]],Table2[[#This Row],[Shares]],Table2[[#This Row],[Comments]])</f>
        <v>3642</v>
      </c>
      <c r="Q15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52" s="29">
        <f>Table2[[#This Row],[Net_Engagement]]/Table2[[#This Row],[Total_Budget]]</f>
        <v>1.6186666666666665E-2</v>
      </c>
      <c r="S15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5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52" s="32" t="str">
        <f t="shared" si="6"/>
        <v>Before</v>
      </c>
      <c r="V152" s="16">
        <f t="shared" ca="1" si="7"/>
        <v>9.0000470242866033</v>
      </c>
      <c r="W152" s="16">
        <f t="shared" ca="1" si="8"/>
        <v>9.6259343141991565</v>
      </c>
      <c r="X152" s="16">
        <f ca="1">(Table1[[#This Row],[Average_During]]-Table1[[#This Row],[Average_Before]])/Table1[[#This Row],[Average_Before]]*100</f>
        <v>6.9542668857573515</v>
      </c>
    </row>
    <row r="153" spans="1:24">
      <c r="A153" s="38" t="s">
        <v>19</v>
      </c>
      <c r="B153" s="38" t="s">
        <v>14</v>
      </c>
      <c r="C153" s="39">
        <v>45689</v>
      </c>
      <c r="D153" s="40" t="s">
        <v>15</v>
      </c>
      <c r="E153" s="40" t="s">
        <v>20</v>
      </c>
      <c r="F153" s="40">
        <v>1934</v>
      </c>
      <c r="G153" s="40">
        <v>210</v>
      </c>
      <c r="H153" s="40">
        <v>393</v>
      </c>
      <c r="I153" s="40">
        <v>29129</v>
      </c>
      <c r="J153" s="40">
        <v>73287</v>
      </c>
      <c r="K153" s="40">
        <v>273</v>
      </c>
      <c r="L153" s="38" t="s">
        <v>21</v>
      </c>
      <c r="M153" s="38" t="s">
        <v>381</v>
      </c>
      <c r="N153" s="38" t="s">
        <v>22</v>
      </c>
      <c r="O153" s="41">
        <f>((Posts!$F146+Posts!$G146+Posts!$H146)/Posts!$I146)*100</f>
        <v>11.477740733477154</v>
      </c>
      <c r="P153" s="24">
        <f>SUM(Table2[[#This Row],[Likes]],Table2[[#This Row],[Shares]],Table2[[#This Row],[Comments]])</f>
        <v>3429</v>
      </c>
      <c r="Q15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53" s="25">
        <f>Table2[[#This Row],[Net_Engagement]]/Table2[[#This Row],[Total_Budget]]</f>
        <v>2.1431249999999999E-2</v>
      </c>
      <c r="S15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5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53" s="32" t="str">
        <f t="shared" si="6"/>
        <v>During</v>
      </c>
      <c r="V153" s="16">
        <f t="shared" ca="1" si="7"/>
        <v>8.9878017213714436</v>
      </c>
      <c r="W153" s="16">
        <f t="shared" ca="1" si="8"/>
        <v>9.9617776281434001</v>
      </c>
      <c r="X153" s="16">
        <f ca="1">(Table1[[#This Row],[Average_During]]-Table1[[#This Row],[Average_Before]])/Table1[[#This Row],[Average_Before]]*100</f>
        <v>10.836642117460265</v>
      </c>
    </row>
    <row r="154" spans="1:24">
      <c r="A154" s="42" t="s">
        <v>180</v>
      </c>
      <c r="B154" s="42" t="s">
        <v>24</v>
      </c>
      <c r="C154" s="43">
        <v>45531</v>
      </c>
      <c r="D154" s="44" t="s">
        <v>25</v>
      </c>
      <c r="E154" s="44" t="s">
        <v>26</v>
      </c>
      <c r="F154" s="44">
        <v>1856</v>
      </c>
      <c r="G154" s="44">
        <v>357</v>
      </c>
      <c r="H154" s="44">
        <v>348</v>
      </c>
      <c r="I154" s="44">
        <v>29428</v>
      </c>
      <c r="J154" s="44">
        <v>70206</v>
      </c>
      <c r="K154" s="44">
        <v>236</v>
      </c>
      <c r="L154" s="42" t="s">
        <v>379</v>
      </c>
      <c r="M154" s="42" t="s">
        <v>42</v>
      </c>
      <c r="N154" s="42" t="s">
        <v>18</v>
      </c>
      <c r="O154" s="45">
        <f>((Posts!$F147+Posts!$G147+Posts!$H147)/Posts!$I147)*100</f>
        <v>8.1504318676747669</v>
      </c>
      <c r="P154" s="28">
        <f>SUM(Table2[[#This Row],[Likes]],Table2[[#This Row],[Shares]],Table2[[#This Row],[Comments]])</f>
        <v>4321</v>
      </c>
      <c r="Q15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54" s="29">
        <f>Table2[[#This Row],[Net_Engagement]]/Table2[[#This Row],[Total_Budget]]</f>
        <v>2.1604999999999999E-2</v>
      </c>
      <c r="S15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5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54" s="32" t="str">
        <f t="shared" si="6"/>
        <v>Before</v>
      </c>
      <c r="V154" s="16">
        <f t="shared" ca="1" si="7"/>
        <v>9.132644295744015</v>
      </c>
      <c r="W154" s="16">
        <f t="shared" ca="1" si="8"/>
        <v>8.3251531996692574</v>
      </c>
      <c r="X154" s="16">
        <f ca="1">(Table1[[#This Row],[Average_During]]-Table1[[#This Row],[Average_Before]])/Table1[[#This Row],[Average_Before]]*100</f>
        <v>-8.8418104321774997</v>
      </c>
    </row>
    <row r="155" spans="1:24">
      <c r="A155" s="38" t="s">
        <v>155</v>
      </c>
      <c r="B155" s="38" t="s">
        <v>14</v>
      </c>
      <c r="C155" s="39">
        <v>45762</v>
      </c>
      <c r="D155" s="40" t="s">
        <v>15</v>
      </c>
      <c r="E155" s="40" t="s">
        <v>20</v>
      </c>
      <c r="F155" s="40">
        <v>4177</v>
      </c>
      <c r="G155" s="40">
        <v>489</v>
      </c>
      <c r="H155" s="40">
        <v>331</v>
      </c>
      <c r="I155" s="40">
        <v>57451</v>
      </c>
      <c r="J155" s="40">
        <v>73793</v>
      </c>
      <c r="K155" s="40">
        <v>251</v>
      </c>
      <c r="L155" s="38" t="s">
        <v>21</v>
      </c>
      <c r="M155" s="38" t="s">
        <v>381</v>
      </c>
      <c r="N155" s="38" t="s">
        <v>22</v>
      </c>
      <c r="O155" s="41">
        <f>((Posts!$F148+Posts!$G148+Posts!$H148)/Posts!$I148)*100</f>
        <v>7.1988159338556148</v>
      </c>
      <c r="P155" s="24">
        <f>SUM(Table2[[#This Row],[Likes]],Table2[[#This Row],[Shares]],Table2[[#This Row],[Comments]])</f>
        <v>3091</v>
      </c>
      <c r="Q15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55" s="25">
        <f>Table2[[#This Row],[Net_Engagement]]/Table2[[#This Row],[Total_Budget]]</f>
        <v>1.9318749999999999E-2</v>
      </c>
      <c r="S15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5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55" s="32" t="str">
        <f t="shared" si="6"/>
        <v>Before</v>
      </c>
      <c r="V155" s="16">
        <f t="shared" ca="1" si="7"/>
        <v>9.0198003195635668</v>
      </c>
      <c r="W155" s="16">
        <f t="shared" ca="1" si="8"/>
        <v>9.5237509920501076</v>
      </c>
      <c r="X155" s="16">
        <f ca="1">(Table1[[#This Row],[Average_During]]-Table1[[#This Row],[Average_Before]])/Table1[[#This Row],[Average_Before]]*100</f>
        <v>5.587159966207822</v>
      </c>
    </row>
    <row r="156" spans="1:24">
      <c r="A156" s="42" t="s">
        <v>262</v>
      </c>
      <c r="B156" s="42" t="s">
        <v>24</v>
      </c>
      <c r="C156" s="43">
        <v>45829</v>
      </c>
      <c r="D156" s="44" t="s">
        <v>15</v>
      </c>
      <c r="E156" s="44" t="s">
        <v>20</v>
      </c>
      <c r="F156" s="44">
        <v>3611</v>
      </c>
      <c r="G156" s="44">
        <v>127</v>
      </c>
      <c r="H156" s="44">
        <v>139</v>
      </c>
      <c r="I156" s="44">
        <v>44768</v>
      </c>
      <c r="J156" s="44">
        <v>29435</v>
      </c>
      <c r="K156" s="44">
        <v>178</v>
      </c>
      <c r="L156" s="42" t="s">
        <v>42</v>
      </c>
      <c r="M156" s="42" t="s">
        <v>381</v>
      </c>
      <c r="N156" s="42" t="s">
        <v>18</v>
      </c>
      <c r="O156" s="45">
        <f>((Posts!$F149+Posts!$G149+Posts!$H149)/Posts!$I149)*100</f>
        <v>10.708707332819627</v>
      </c>
      <c r="P156" s="28">
        <f>SUM(Table2[[#This Row],[Likes]],Table2[[#This Row],[Shares]],Table2[[#This Row],[Comments]])</f>
        <v>4273</v>
      </c>
      <c r="Q15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56" s="29">
        <f>Table2[[#This Row],[Net_Engagement]]/Table2[[#This Row],[Total_Budget]]</f>
        <v>2.1364999999999999E-2</v>
      </c>
      <c r="S15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5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56" s="32" t="str">
        <f t="shared" si="6"/>
        <v>Before</v>
      </c>
      <c r="V156" s="16">
        <f t="shared" ca="1" si="7"/>
        <v>8.9642976790717537</v>
      </c>
      <c r="W156" s="16">
        <f t="shared" ca="1" si="8"/>
        <v>10.204883235912247</v>
      </c>
      <c r="X156" s="16">
        <f ca="1">(Table1[[#This Row],[Average_During]]-Table1[[#This Row],[Average_Before]])/Table1[[#This Row],[Average_Before]]*100</f>
        <v>13.839182959494881</v>
      </c>
    </row>
    <row r="157" spans="1:24">
      <c r="A157" s="38" t="s">
        <v>147</v>
      </c>
      <c r="B157" s="38" t="s">
        <v>24</v>
      </c>
      <c r="C157" s="39">
        <v>45670</v>
      </c>
      <c r="D157" s="40" t="s">
        <v>15</v>
      </c>
      <c r="E157" s="40" t="s">
        <v>32</v>
      </c>
      <c r="F157" s="40">
        <v>4090</v>
      </c>
      <c r="G157" s="40">
        <v>209</v>
      </c>
      <c r="H157" s="40">
        <v>278</v>
      </c>
      <c r="I157" s="40">
        <v>52853</v>
      </c>
      <c r="J157" s="40">
        <v>57084</v>
      </c>
      <c r="K157" s="40">
        <v>102</v>
      </c>
      <c r="L157" s="38" t="s">
        <v>45</v>
      </c>
      <c r="M157" s="38" t="s">
        <v>381</v>
      </c>
      <c r="N157" s="38" t="s">
        <v>22</v>
      </c>
      <c r="O157" s="41">
        <f>((Posts!$F150+Posts!$G150+Posts!$H150)/Posts!$I150)*100</f>
        <v>8.1341895638137345</v>
      </c>
      <c r="P157" s="24">
        <f>SUM(Table2[[#This Row],[Likes]],Table2[[#This Row],[Shares]],Table2[[#This Row],[Comments]])</f>
        <v>2060</v>
      </c>
      <c r="Q15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57" s="25">
        <f>Table2[[#This Row],[Net_Engagement]]/Table2[[#This Row],[Total_Budget]]</f>
        <v>1.1771428571428572E-2</v>
      </c>
      <c r="S15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5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57" s="32" t="str">
        <f t="shared" si="6"/>
        <v>During</v>
      </c>
      <c r="V157" s="16">
        <f t="shared" ca="1" si="7"/>
        <v>9.0843779594569725</v>
      </c>
      <c r="W157" s="16">
        <f t="shared" ca="1" si="8"/>
        <v>8.8966340682759739</v>
      </c>
      <c r="X157" s="16">
        <f ca="1">(Table1[[#This Row],[Average_During]]-Table1[[#This Row],[Average_Before]])/Table1[[#This Row],[Average_Before]]*100</f>
        <v>-2.0666675475072496</v>
      </c>
    </row>
    <row r="158" spans="1:24">
      <c r="A158" s="42" t="s">
        <v>284</v>
      </c>
      <c r="B158" s="42" t="s">
        <v>31</v>
      </c>
      <c r="C158" s="43">
        <v>45816</v>
      </c>
      <c r="D158" s="44" t="s">
        <v>15</v>
      </c>
      <c r="E158" s="44" t="s">
        <v>32</v>
      </c>
      <c r="F158" s="44">
        <v>4375</v>
      </c>
      <c r="G158" s="44">
        <v>303</v>
      </c>
      <c r="H158" s="44">
        <v>294</v>
      </c>
      <c r="I158" s="44">
        <v>57468</v>
      </c>
      <c r="J158" s="44">
        <v>53397</v>
      </c>
      <c r="K158" s="44">
        <v>159</v>
      </c>
      <c r="L158" s="42" t="s">
        <v>21</v>
      </c>
      <c r="M158" s="42" t="s">
        <v>380</v>
      </c>
      <c r="N158" s="42" t="s">
        <v>22</v>
      </c>
      <c r="O158" s="45">
        <f>((Posts!$F151+Posts!$G151+Posts!$H151)/Posts!$I151)*100</f>
        <v>9.4928992718046725</v>
      </c>
      <c r="P158" s="28">
        <f>SUM(Table2[[#This Row],[Likes]],Table2[[#This Row],[Shares]],Table2[[#This Row],[Comments]])</f>
        <v>4772</v>
      </c>
      <c r="Q15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58" s="29">
        <f>Table2[[#This Row],[Net_Engagement]]/Table2[[#This Row],[Total_Budget]]</f>
        <v>2.9825000000000001E-2</v>
      </c>
      <c r="S15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5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58" s="32" t="str">
        <f t="shared" si="6"/>
        <v>Before</v>
      </c>
      <c r="V158" s="16">
        <f t="shared" ca="1" si="7"/>
        <v>9.1668847104777722</v>
      </c>
      <c r="W158" s="16">
        <f t="shared" ca="1" si="8"/>
        <v>8.1571171758326688</v>
      </c>
      <c r="X158" s="16">
        <f ca="1">(Table1[[#This Row],[Average_During]]-Table1[[#This Row],[Average_Before]])/Table1[[#This Row],[Average_Before]]*100</f>
        <v>-11.015383813990118</v>
      </c>
    </row>
    <row r="159" spans="1:24">
      <c r="A159" s="38" t="s">
        <v>323</v>
      </c>
      <c r="B159" s="38" t="s">
        <v>14</v>
      </c>
      <c r="C159" s="39">
        <v>45531</v>
      </c>
      <c r="D159" s="40" t="s">
        <v>15</v>
      </c>
      <c r="E159" s="40" t="s">
        <v>32</v>
      </c>
      <c r="F159" s="40">
        <v>4197</v>
      </c>
      <c r="G159" s="40">
        <v>359</v>
      </c>
      <c r="H159" s="40">
        <v>280</v>
      </c>
      <c r="I159" s="40">
        <v>56048</v>
      </c>
      <c r="J159" s="40">
        <v>70930</v>
      </c>
      <c r="K159" s="40">
        <v>295</v>
      </c>
      <c r="L159" s="38" t="s">
        <v>21</v>
      </c>
      <c r="M159" s="38" t="s">
        <v>381</v>
      </c>
      <c r="N159" s="38" t="s">
        <v>22</v>
      </c>
      <c r="O159" s="41">
        <f>((Posts!$F152+Posts!$G152+Posts!$H152)/Posts!$I152)*100</f>
        <v>6.9360859297630837</v>
      </c>
      <c r="P159" s="24">
        <f>SUM(Table2[[#This Row],[Likes]],Table2[[#This Row],[Shares]],Table2[[#This Row],[Comments]])</f>
        <v>5431</v>
      </c>
      <c r="Q15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59" s="25">
        <f>Table2[[#This Row],[Net_Engagement]]/Table2[[#This Row],[Total_Budget]]</f>
        <v>2.7154999999999999E-2</v>
      </c>
      <c r="S15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5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59" s="32" t="str">
        <f t="shared" si="6"/>
        <v>Before</v>
      </c>
      <c r="V159" s="16">
        <f t="shared" ca="1" si="7"/>
        <v>9.1716194198131387</v>
      </c>
      <c r="W159" s="16">
        <f t="shared" ca="1" si="8"/>
        <v>8.0878361021943199</v>
      </c>
      <c r="X159" s="16">
        <f ca="1">(Table1[[#This Row],[Average_During]]-Table1[[#This Row],[Average_Before]])/Table1[[#This Row],[Average_Before]]*100</f>
        <v>-11.816706167261568</v>
      </c>
    </row>
    <row r="160" spans="1:24">
      <c r="A160" s="42" t="s">
        <v>225</v>
      </c>
      <c r="B160" s="42" t="s">
        <v>31</v>
      </c>
      <c r="C160" s="43">
        <v>45769</v>
      </c>
      <c r="D160" s="44" t="s">
        <v>57</v>
      </c>
      <c r="E160" s="44" t="s">
        <v>26</v>
      </c>
      <c r="F160" s="44">
        <v>2733</v>
      </c>
      <c r="G160" s="44">
        <v>297</v>
      </c>
      <c r="H160" s="44">
        <v>235</v>
      </c>
      <c r="I160" s="44">
        <v>37980</v>
      </c>
      <c r="J160" s="44">
        <v>33058</v>
      </c>
      <c r="K160" s="44">
        <v>219</v>
      </c>
      <c r="L160" s="42" t="s">
        <v>21</v>
      </c>
      <c r="M160" s="42" t="s">
        <v>45</v>
      </c>
      <c r="N160" s="42" t="s">
        <v>59</v>
      </c>
      <c r="O160" s="45">
        <f>((Posts!$F153+Posts!$G153+Posts!$H153)/Posts!$I153)*100</f>
        <v>9.2425876010781671</v>
      </c>
      <c r="P160" s="28">
        <f>SUM(Table2[[#This Row],[Likes]],Table2[[#This Row],[Shares]],Table2[[#This Row],[Comments]])</f>
        <v>2112</v>
      </c>
      <c r="Q16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60" s="29">
        <f>Table2[[#This Row],[Net_Engagement]]/Table2[[#This Row],[Total_Budget]]</f>
        <v>9.3866666666666664E-3</v>
      </c>
      <c r="S16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6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60" s="32" t="str">
        <f t="shared" si="6"/>
        <v>Before</v>
      </c>
      <c r="V160" s="16">
        <f t="shared" ca="1" si="7"/>
        <v>8.9384916419308826</v>
      </c>
      <c r="W160" s="16">
        <f t="shared" ca="1" si="8"/>
        <v>10.49553492391964</v>
      </c>
      <c r="X160" s="16">
        <f ca="1">(Table1[[#This Row],[Average_During]]-Table1[[#This Row],[Average_Before]])/Table1[[#This Row],[Average_Before]]*100</f>
        <v>17.419530546793769</v>
      </c>
    </row>
    <row r="161" spans="1:24">
      <c r="A161" s="38" t="s">
        <v>297</v>
      </c>
      <c r="B161" s="38" t="s">
        <v>24</v>
      </c>
      <c r="C161" s="39">
        <v>45451</v>
      </c>
      <c r="D161" s="40" t="s">
        <v>25</v>
      </c>
      <c r="E161" s="40" t="s">
        <v>41</v>
      </c>
      <c r="F161" s="40">
        <v>3413</v>
      </c>
      <c r="G161" s="40">
        <v>326</v>
      </c>
      <c r="H161" s="40">
        <v>86</v>
      </c>
      <c r="I161" s="40">
        <v>44680</v>
      </c>
      <c r="J161" s="40">
        <v>52719</v>
      </c>
      <c r="K161" s="40">
        <v>272</v>
      </c>
      <c r="L161" s="38" t="s">
        <v>21</v>
      </c>
      <c r="M161" s="38" t="s">
        <v>379</v>
      </c>
      <c r="N161" s="38" t="s">
        <v>18</v>
      </c>
      <c r="O161" s="41">
        <f>((Posts!$F154+Posts!$G154+Posts!$H154)/Posts!$I154)*100</f>
        <v>8.2469701307376653</v>
      </c>
      <c r="P161" s="24">
        <f>SUM(Table2[[#This Row],[Likes]],Table2[[#This Row],[Shares]],Table2[[#This Row],[Comments]])</f>
        <v>2309</v>
      </c>
      <c r="Q16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61" s="25">
        <f>Table2[[#This Row],[Net_Engagement]]/Table2[[#This Row],[Total_Budget]]</f>
        <v>1.3194285714285714E-2</v>
      </c>
      <c r="S16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6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61" s="32" t="str">
        <f t="shared" si="6"/>
        <v>Before</v>
      </c>
      <c r="V161" s="16">
        <f t="shared" ca="1" si="7"/>
        <v>9.0505213062619401</v>
      </c>
      <c r="W161" s="16">
        <f t="shared" ca="1" si="8"/>
        <v>9.4285305114695745</v>
      </c>
      <c r="X161" s="16">
        <f ca="1">(Table1[[#This Row],[Average_During]]-Table1[[#This Row],[Average_Before]])/Table1[[#This Row],[Average_Before]]*100</f>
        <v>4.1766567075655052</v>
      </c>
    </row>
    <row r="162" spans="1:24">
      <c r="A162" s="42" t="s">
        <v>164</v>
      </c>
      <c r="B162" s="42" t="s">
        <v>24</v>
      </c>
      <c r="C162" s="43">
        <v>45421</v>
      </c>
      <c r="D162" s="44" t="s">
        <v>25</v>
      </c>
      <c r="E162" s="44" t="s">
        <v>26</v>
      </c>
      <c r="F162" s="44">
        <v>3277</v>
      </c>
      <c r="G162" s="44">
        <v>423</v>
      </c>
      <c r="H162" s="44">
        <v>259</v>
      </c>
      <c r="I162" s="44">
        <v>46328</v>
      </c>
      <c r="J162" s="44">
        <v>44293</v>
      </c>
      <c r="K162" s="44">
        <v>299</v>
      </c>
      <c r="L162" s="42" t="s">
        <v>45</v>
      </c>
      <c r="M162" s="42" t="s">
        <v>42</v>
      </c>
      <c r="N162" s="42" t="s">
        <v>18</v>
      </c>
      <c r="O162" s="45">
        <f>((Posts!$F155+Posts!$G155+Posts!$H155)/Posts!$I155)*100</f>
        <v>5.9585542168674701</v>
      </c>
      <c r="P162" s="28">
        <f>SUM(Table2[[#This Row],[Likes]],Table2[[#This Row],[Shares]],Table2[[#This Row],[Comments]])</f>
        <v>3544</v>
      </c>
      <c r="Q16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62" s="29">
        <f>Table2[[#This Row],[Net_Engagement]]/Table2[[#This Row],[Total_Budget]]</f>
        <v>2.215E-2</v>
      </c>
      <c r="S16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6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62" s="32" t="str">
        <f t="shared" si="6"/>
        <v>Before</v>
      </c>
      <c r="V162" s="16">
        <f t="shared" ca="1" si="7"/>
        <v>8.9586167945509416</v>
      </c>
      <c r="W162" s="16">
        <f t="shared" ca="1" si="8"/>
        <v>10.437665568761723</v>
      </c>
      <c r="X162" s="16">
        <f ca="1">(Table1[[#This Row],[Average_During]]-Table1[[#This Row],[Average_Before]])/Table1[[#This Row],[Average_Before]]*100</f>
        <v>16.50978949239585</v>
      </c>
    </row>
    <row r="163" spans="1:24">
      <c r="A163" s="38" t="s">
        <v>48</v>
      </c>
      <c r="B163" s="38" t="s">
        <v>24</v>
      </c>
      <c r="C163" s="39">
        <v>45573</v>
      </c>
      <c r="D163" s="40" t="s">
        <v>15</v>
      </c>
      <c r="E163" s="40" t="s">
        <v>49</v>
      </c>
      <c r="F163" s="40">
        <v>2460</v>
      </c>
      <c r="G163" s="40">
        <v>409</v>
      </c>
      <c r="H163" s="40">
        <v>253</v>
      </c>
      <c r="I163" s="40">
        <v>36702</v>
      </c>
      <c r="J163" s="40">
        <v>46122</v>
      </c>
      <c r="K163" s="40">
        <v>264</v>
      </c>
      <c r="L163" s="38" t="s">
        <v>42</v>
      </c>
      <c r="M163" s="38" t="s">
        <v>381</v>
      </c>
      <c r="N163" s="38" t="s">
        <v>18</v>
      </c>
      <c r="O163" s="41">
        <f>((Posts!$F156+Posts!$G156+Posts!$H156)/Posts!$I156)*100</f>
        <v>10.400389436534015</v>
      </c>
      <c r="P163" s="24">
        <f>SUM(Table2[[#This Row],[Likes]],Table2[[#This Row],[Shares]],Table2[[#This Row],[Comments]])</f>
        <v>2858</v>
      </c>
      <c r="Q16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63" s="25">
        <f>Table2[[#This Row],[Net_Engagement]]/Table2[[#This Row],[Total_Budget]]</f>
        <v>1.4290000000000001E-2</v>
      </c>
      <c r="S16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6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63" s="32" t="str">
        <f t="shared" si="6"/>
        <v>Before</v>
      </c>
      <c r="V163" s="16">
        <f t="shared" ca="1" si="7"/>
        <v>9.1632099581248667</v>
      </c>
      <c r="W163" s="16">
        <f t="shared" ca="1" si="8"/>
        <v>8.5752941704810812</v>
      </c>
      <c r="X163" s="16">
        <f ca="1">(Table1[[#This Row],[Average_During]]-Table1[[#This Row],[Average_Before]])/Table1[[#This Row],[Average_Before]]*100</f>
        <v>-6.4160462363136217</v>
      </c>
    </row>
    <row r="164" spans="1:24">
      <c r="A164" s="42" t="s">
        <v>327</v>
      </c>
      <c r="B164" s="42" t="s">
        <v>31</v>
      </c>
      <c r="C164" s="43">
        <v>45468</v>
      </c>
      <c r="D164" s="44" t="s">
        <v>15</v>
      </c>
      <c r="E164" s="44" t="s">
        <v>51</v>
      </c>
      <c r="F164" s="44">
        <v>2172</v>
      </c>
      <c r="G164" s="44">
        <v>338</v>
      </c>
      <c r="H164" s="44">
        <v>70</v>
      </c>
      <c r="I164" s="44">
        <v>30515</v>
      </c>
      <c r="J164" s="44">
        <v>57853</v>
      </c>
      <c r="K164" s="44">
        <v>156</v>
      </c>
      <c r="L164" s="42" t="s">
        <v>21</v>
      </c>
      <c r="M164" s="42" t="s">
        <v>380</v>
      </c>
      <c r="N164" s="42" t="s">
        <v>22</v>
      </c>
      <c r="O164" s="45">
        <f>((Posts!$F157+Posts!$G157+Posts!$H157)/Posts!$I157)*100</f>
        <v>3.8832755240536874</v>
      </c>
      <c r="P164" s="28">
        <f>SUM(Table2[[#This Row],[Likes]],Table2[[#This Row],[Shares]],Table2[[#This Row],[Comments]])</f>
        <v>3772</v>
      </c>
      <c r="Q16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64" s="29">
        <f>Table2[[#This Row],[Net_Engagement]]/Table2[[#This Row],[Total_Budget]]</f>
        <v>2.1554285714285713E-2</v>
      </c>
      <c r="S16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6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64" s="32" t="str">
        <f t="shared" si="6"/>
        <v>Before</v>
      </c>
      <c r="V164" s="16">
        <f t="shared" ca="1" si="7"/>
        <v>8.9475634120748566</v>
      </c>
      <c r="W164" s="16">
        <f t="shared" ca="1" si="8"/>
        <v>10.669768370495843</v>
      </c>
      <c r="X164" s="16">
        <f ca="1">(Table1[[#This Row],[Average_During]]-Table1[[#This Row],[Average_Before]])/Table1[[#This Row],[Average_Before]]*100</f>
        <v>19.247753596211993</v>
      </c>
    </row>
    <row r="165" spans="1:24">
      <c r="A165" s="38" t="s">
        <v>209</v>
      </c>
      <c r="B165" s="38" t="s">
        <v>31</v>
      </c>
      <c r="C165" s="39">
        <v>45660</v>
      </c>
      <c r="D165" s="40" t="s">
        <v>15</v>
      </c>
      <c r="E165" s="40" t="s">
        <v>26</v>
      </c>
      <c r="F165" s="40">
        <v>3782</v>
      </c>
      <c r="G165" s="40">
        <v>484</v>
      </c>
      <c r="H165" s="40">
        <v>144</v>
      </c>
      <c r="I165" s="40">
        <v>52172</v>
      </c>
      <c r="J165" s="40">
        <v>59386</v>
      </c>
      <c r="K165" s="40">
        <v>175</v>
      </c>
      <c r="L165" s="38" t="s">
        <v>21</v>
      </c>
      <c r="M165" s="38" t="s">
        <v>380</v>
      </c>
      <c r="N165" s="38" t="s">
        <v>22</v>
      </c>
      <c r="O165" s="41">
        <f>((Posts!$F158+Posts!$G158+Posts!$H158)/Posts!$I158)*100</f>
        <v>19.390491670052825</v>
      </c>
      <c r="P165" s="24">
        <f>SUM(Table2[[#This Row],[Likes]],Table2[[#This Row],[Shares]],Table2[[#This Row],[Comments]])</f>
        <v>1837</v>
      </c>
      <c r="Q16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65" s="25">
        <f>Table2[[#This Row],[Net_Engagement]]/Table2[[#This Row],[Total_Budget]]</f>
        <v>8.1644444444444447E-3</v>
      </c>
      <c r="S16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6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65" s="32" t="str">
        <f t="shared" si="6"/>
        <v>Before</v>
      </c>
      <c r="V165" s="16">
        <f t="shared" ca="1" si="7"/>
        <v>9.041663287378622</v>
      </c>
      <c r="W165" s="16">
        <f t="shared" ca="1" si="8"/>
        <v>10.200210812691283</v>
      </c>
      <c r="X165" s="16">
        <f ca="1">(Table1[[#This Row],[Average_During]]-Table1[[#This Row],[Average_Before]])/Table1[[#This Row],[Average_Before]]*100</f>
        <v>12.813433640355676</v>
      </c>
    </row>
    <row r="166" spans="1:24">
      <c r="A166" s="42" t="s">
        <v>44</v>
      </c>
      <c r="B166" s="42" t="s">
        <v>24</v>
      </c>
      <c r="C166" s="43">
        <v>45357</v>
      </c>
      <c r="D166" s="44" t="s">
        <v>15</v>
      </c>
      <c r="E166" s="44" t="s">
        <v>16</v>
      </c>
      <c r="F166" s="44">
        <v>1971</v>
      </c>
      <c r="G166" s="44">
        <v>370</v>
      </c>
      <c r="H166" s="44">
        <v>306</v>
      </c>
      <c r="I166" s="44">
        <v>31316</v>
      </c>
      <c r="J166" s="44">
        <v>27897</v>
      </c>
      <c r="K166" s="44">
        <v>88</v>
      </c>
      <c r="L166" s="42" t="s">
        <v>45</v>
      </c>
      <c r="M166" s="42" t="s">
        <v>381</v>
      </c>
      <c r="N166" s="42" t="s">
        <v>22</v>
      </c>
      <c r="O166" s="45">
        <f>((Posts!$F159+Posts!$G159+Posts!$H159)/Posts!$I159)*100</f>
        <v>16.116683482699269</v>
      </c>
      <c r="P166" s="28">
        <f>SUM(Table2[[#This Row],[Likes]],Table2[[#This Row],[Shares]],Table2[[#This Row],[Comments]])</f>
        <v>2914</v>
      </c>
      <c r="Q16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66" s="29">
        <f>Table2[[#This Row],[Net_Engagement]]/Table2[[#This Row],[Total_Budget]]</f>
        <v>1.2951111111111111E-2</v>
      </c>
      <c r="S16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6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66" s="32" t="str">
        <f t="shared" si="6"/>
        <v>Before</v>
      </c>
      <c r="V166" s="16">
        <f t="shared" ca="1" si="7"/>
        <v>8.9680300171153586</v>
      </c>
      <c r="W166" s="16">
        <f t="shared" ca="1" si="8"/>
        <v>10.141638314509043</v>
      </c>
      <c r="X166" s="16">
        <f ca="1">(Table1[[#This Row],[Average_During]]-Table1[[#This Row],[Average_Before]])/Table1[[#This Row],[Average_Before]]*100</f>
        <v>13.08657860370527</v>
      </c>
    </row>
    <row r="167" spans="1:24">
      <c r="A167" s="38" t="s">
        <v>216</v>
      </c>
      <c r="B167" s="38" t="s">
        <v>14</v>
      </c>
      <c r="C167" s="39">
        <v>45475</v>
      </c>
      <c r="D167" s="40" t="s">
        <v>15</v>
      </c>
      <c r="E167" s="40" t="s">
        <v>41</v>
      </c>
      <c r="F167" s="40">
        <v>3469</v>
      </c>
      <c r="G167" s="40">
        <v>371</v>
      </c>
      <c r="H167" s="40">
        <v>76</v>
      </c>
      <c r="I167" s="40">
        <v>46493</v>
      </c>
      <c r="J167" s="40">
        <v>26906</v>
      </c>
      <c r="K167" s="40">
        <v>150</v>
      </c>
      <c r="L167" s="38" t="s">
        <v>45</v>
      </c>
      <c r="M167" s="38" t="s">
        <v>42</v>
      </c>
      <c r="N167" s="38" t="s">
        <v>18</v>
      </c>
      <c r="O167" s="41">
        <f>((Posts!$F160+Posts!$G160+Posts!$H160)/Posts!$I160)*100</f>
        <v>8.3133241487896079</v>
      </c>
      <c r="P167" s="24">
        <f>SUM(Table2[[#This Row],[Likes]],Table2[[#This Row],[Shares]],Table2[[#This Row],[Comments]])</f>
        <v>4911</v>
      </c>
      <c r="Q16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67" s="25">
        <f>Table2[[#This Row],[Net_Engagement]]/Table2[[#This Row],[Total_Budget]]</f>
        <v>3.0693749999999999E-2</v>
      </c>
      <c r="S16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6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67" s="32" t="str">
        <f t="shared" si="6"/>
        <v>Before</v>
      </c>
      <c r="V167" s="16">
        <f t="shared" ca="1" si="7"/>
        <v>9.0240906637492575</v>
      </c>
      <c r="W167" s="16">
        <f t="shared" ca="1" si="8"/>
        <v>8.9385935205098388</v>
      </c>
      <c r="X167" s="16">
        <f ca="1">(Table1[[#This Row],[Average_During]]-Table1[[#This Row],[Average_Before]])/Table1[[#This Row],[Average_Before]]*100</f>
        <v>-0.94743222807889027</v>
      </c>
    </row>
    <row r="168" spans="1:24">
      <c r="A168" s="42" t="s">
        <v>324</v>
      </c>
      <c r="B168" s="42" t="s">
        <v>14</v>
      </c>
      <c r="C168" s="43">
        <v>45589</v>
      </c>
      <c r="D168" s="44" t="s">
        <v>25</v>
      </c>
      <c r="E168" s="44" t="s">
        <v>41</v>
      </c>
      <c r="F168" s="44">
        <v>1914</v>
      </c>
      <c r="G168" s="44">
        <v>255</v>
      </c>
      <c r="H168" s="44">
        <v>156</v>
      </c>
      <c r="I168" s="44">
        <v>27660</v>
      </c>
      <c r="J168" s="44">
        <v>47776</v>
      </c>
      <c r="K168" s="44">
        <v>111</v>
      </c>
      <c r="L168" s="42" t="s">
        <v>42</v>
      </c>
      <c r="M168" s="42" t="s">
        <v>381</v>
      </c>
      <c r="N168" s="42" t="s">
        <v>55</v>
      </c>
      <c r="O168" s="45">
        <f>((Posts!$F161+Posts!$G161+Posts!$H161)/Posts!$I161)*100</f>
        <v>4.9951325040562464</v>
      </c>
      <c r="P168" s="28">
        <f>SUM(Table2[[#This Row],[Likes]],Table2[[#This Row],[Shares]],Table2[[#This Row],[Comments]])</f>
        <v>4810</v>
      </c>
      <c r="Q16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68" s="29">
        <f>Table2[[#This Row],[Net_Engagement]]/Table2[[#This Row],[Total_Budget]]</f>
        <v>3.0062499999999999E-2</v>
      </c>
      <c r="S16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6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68" s="32" t="str">
        <f t="shared" si="6"/>
        <v>Before</v>
      </c>
      <c r="V168" s="16">
        <f t="shared" ca="1" si="7"/>
        <v>9.1386590347986054</v>
      </c>
      <c r="W168" s="16">
        <f t="shared" ca="1" si="8"/>
        <v>7.766214074642666</v>
      </c>
      <c r="X168" s="16">
        <f ca="1">(Table1[[#This Row],[Average_During]]-Table1[[#This Row],[Average_Before]])/Table1[[#This Row],[Average_Before]]*100</f>
        <v>-15.018012543523952</v>
      </c>
    </row>
    <row r="169" spans="1:24">
      <c r="A169" s="38" t="s">
        <v>317</v>
      </c>
      <c r="B169" s="38" t="s">
        <v>14</v>
      </c>
      <c r="C169" s="39">
        <v>45691</v>
      </c>
      <c r="D169" s="40" t="s">
        <v>25</v>
      </c>
      <c r="E169" s="40" t="s">
        <v>26</v>
      </c>
      <c r="F169" s="40">
        <v>1205</v>
      </c>
      <c r="G169" s="40">
        <v>486</v>
      </c>
      <c r="H169" s="40">
        <v>269</v>
      </c>
      <c r="I169" s="40">
        <v>23341</v>
      </c>
      <c r="J169" s="40">
        <v>42411</v>
      </c>
      <c r="K169" s="40">
        <v>184</v>
      </c>
      <c r="L169" s="38" t="s">
        <v>42</v>
      </c>
      <c r="M169" s="38" t="s">
        <v>381</v>
      </c>
      <c r="N169" s="38" t="s">
        <v>55</v>
      </c>
      <c r="O169" s="41">
        <f>((Posts!$F162+Posts!$G162+Posts!$H162)/Posts!$I162)*100</f>
        <v>15.527514896600071</v>
      </c>
      <c r="P169" s="24">
        <f>SUM(Table2[[#This Row],[Likes]],Table2[[#This Row],[Shares]],Table2[[#This Row],[Comments]])</f>
        <v>3424</v>
      </c>
      <c r="Q16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69" s="25">
        <f>Table2[[#This Row],[Net_Engagement]]/Table2[[#This Row],[Total_Budget]]</f>
        <v>1.712E-2</v>
      </c>
      <c r="S16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6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69" s="32" t="str">
        <f t="shared" si="6"/>
        <v>During</v>
      </c>
      <c r="V169" s="16">
        <f t="shared" ca="1" si="7"/>
        <v>9.0194663413402001</v>
      </c>
      <c r="W169" s="16">
        <f t="shared" ca="1" si="8"/>
        <v>9.3828966824275017</v>
      </c>
      <c r="X169" s="16">
        <f ca="1">(Table1[[#This Row],[Average_During]]-Table1[[#This Row],[Average_Before]])/Table1[[#This Row],[Average_Before]]*100</f>
        <v>4.0293996045147349</v>
      </c>
    </row>
    <row r="170" spans="1:24">
      <c r="A170" s="42" t="s">
        <v>40</v>
      </c>
      <c r="B170" s="42" t="s">
        <v>24</v>
      </c>
      <c r="C170" s="43">
        <v>45823</v>
      </c>
      <c r="D170" s="44" t="s">
        <v>15</v>
      </c>
      <c r="E170" s="44" t="s">
        <v>41</v>
      </c>
      <c r="F170" s="44">
        <v>4432</v>
      </c>
      <c r="G170" s="44">
        <v>223</v>
      </c>
      <c r="H170" s="44">
        <v>299</v>
      </c>
      <c r="I170" s="44">
        <v>59016</v>
      </c>
      <c r="J170" s="44">
        <v>21742</v>
      </c>
      <c r="K170" s="44">
        <v>171</v>
      </c>
      <c r="L170" s="42" t="s">
        <v>42</v>
      </c>
      <c r="M170" s="42" t="s">
        <v>381</v>
      </c>
      <c r="N170" s="42" t="s">
        <v>18</v>
      </c>
      <c r="O170" s="45">
        <f>((Posts!$F163+Posts!$G163+Posts!$H163)/Posts!$I163)*100</f>
        <v>11.258173796580792</v>
      </c>
      <c r="P170" s="28">
        <f>SUM(Table2[[#This Row],[Likes]],Table2[[#This Row],[Shares]],Table2[[#This Row],[Comments]])</f>
        <v>4410</v>
      </c>
      <c r="Q17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70" s="29">
        <f>Table2[[#This Row],[Net_Engagement]]/Table2[[#This Row],[Total_Budget]]</f>
        <v>2.75625E-2</v>
      </c>
      <c r="S17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7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70" s="32" t="str">
        <f t="shared" si="6"/>
        <v>Before</v>
      </c>
      <c r="V170" s="16">
        <f t="shared" ca="1" si="7"/>
        <v>9.0740397030075677</v>
      </c>
      <c r="W170" s="16">
        <f t="shared" ca="1" si="8"/>
        <v>8.262991225176199</v>
      </c>
      <c r="X170" s="16">
        <f ca="1">(Table1[[#This Row],[Average_During]]-Table1[[#This Row],[Average_Before]])/Table1[[#This Row],[Average_Before]]*100</f>
        <v>-8.9381191219887288</v>
      </c>
    </row>
    <row r="171" spans="1:24">
      <c r="A171" s="38" t="s">
        <v>300</v>
      </c>
      <c r="B171" s="38" t="s">
        <v>24</v>
      </c>
      <c r="C171" s="39">
        <v>45662</v>
      </c>
      <c r="D171" s="40" t="s">
        <v>25</v>
      </c>
      <c r="E171" s="40" t="s">
        <v>20</v>
      </c>
      <c r="F171" s="40">
        <v>3341</v>
      </c>
      <c r="G171" s="40">
        <v>154</v>
      </c>
      <c r="H171" s="40">
        <v>123</v>
      </c>
      <c r="I171" s="40">
        <v>43369</v>
      </c>
      <c r="J171" s="40">
        <v>49035</v>
      </c>
      <c r="K171" s="40">
        <v>128</v>
      </c>
      <c r="L171" s="38" t="s">
        <v>379</v>
      </c>
      <c r="M171" s="38" t="s">
        <v>42</v>
      </c>
      <c r="N171" s="38" t="s">
        <v>18</v>
      </c>
      <c r="O171" s="41">
        <f>((Posts!$F164+Posts!$G164+Posts!$H164)/Posts!$I164)*100</f>
        <v>11.046681895390382</v>
      </c>
      <c r="P171" s="24">
        <f>SUM(Table2[[#This Row],[Likes]],Table2[[#This Row],[Shares]],Table2[[#This Row],[Comments]])</f>
        <v>5018</v>
      </c>
      <c r="Q17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71" s="25">
        <f>Table2[[#This Row],[Net_Engagement]]/Table2[[#This Row],[Total_Budget]]</f>
        <v>3.1362500000000001E-2</v>
      </c>
      <c r="S17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7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71" s="32" t="str">
        <f t="shared" si="6"/>
        <v>Before</v>
      </c>
      <c r="V171" s="16">
        <f t="shared" ca="1" si="7"/>
        <v>8.8699555596773969</v>
      </c>
      <c r="W171" s="16">
        <f t="shared" ca="1" si="8"/>
        <v>10.223863555678559</v>
      </c>
      <c r="X171" s="16">
        <f ca="1">(Table1[[#This Row],[Average_During]]-Table1[[#This Row],[Average_Before]])/Table1[[#This Row],[Average_Before]]*100</f>
        <v>15.263977219412405</v>
      </c>
    </row>
    <row r="172" spans="1:24">
      <c r="A172" s="42" t="s">
        <v>199</v>
      </c>
      <c r="B172" s="42" t="s">
        <v>14</v>
      </c>
      <c r="C172" s="43">
        <v>45394</v>
      </c>
      <c r="D172" s="44" t="s">
        <v>25</v>
      </c>
      <c r="E172" s="44" t="s">
        <v>37</v>
      </c>
      <c r="F172" s="44">
        <v>1558</v>
      </c>
      <c r="G172" s="44">
        <v>352</v>
      </c>
      <c r="H172" s="44">
        <v>202</v>
      </c>
      <c r="I172" s="44">
        <v>25405</v>
      </c>
      <c r="J172" s="44">
        <v>69941</v>
      </c>
      <c r="K172" s="44">
        <v>219</v>
      </c>
      <c r="L172" s="42" t="s">
        <v>42</v>
      </c>
      <c r="M172" s="42" t="s">
        <v>381</v>
      </c>
      <c r="N172" s="42" t="s">
        <v>55</v>
      </c>
      <c r="O172" s="45">
        <f>((Posts!$F165+Posts!$G165+Posts!$H165)/Posts!$I165)*100</f>
        <v>3.5523669554455446</v>
      </c>
      <c r="P172" s="28">
        <f>SUM(Table2[[#This Row],[Likes]],Table2[[#This Row],[Shares]],Table2[[#This Row],[Comments]])</f>
        <v>2560</v>
      </c>
      <c r="Q17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72" s="29">
        <f>Table2[[#This Row],[Net_Engagement]]/Table2[[#This Row],[Total_Budget]]</f>
        <v>1.1377777777777778E-2</v>
      </c>
      <c r="S17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7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72" s="32" t="str">
        <f t="shared" si="6"/>
        <v>Before</v>
      </c>
      <c r="V172" s="16">
        <f t="shared" ca="1" si="7"/>
        <v>9.0301600997495619</v>
      </c>
      <c r="W172" s="16">
        <f t="shared" ca="1" si="8"/>
        <v>8.3736724019507722</v>
      </c>
      <c r="X172" s="16">
        <f ca="1">(Table1[[#This Row],[Average_During]]-Table1[[#This Row],[Average_Before]])/Table1[[#This Row],[Average_Before]]*100</f>
        <v>-7.2699452783455785</v>
      </c>
    </row>
    <row r="173" spans="1:24">
      <c r="A173" s="38" t="s">
        <v>141</v>
      </c>
      <c r="B173" s="38" t="s">
        <v>24</v>
      </c>
      <c r="C173" s="39">
        <v>45577</v>
      </c>
      <c r="D173" s="40" t="s">
        <v>15</v>
      </c>
      <c r="E173" s="40" t="s">
        <v>37</v>
      </c>
      <c r="F173" s="40">
        <v>3169</v>
      </c>
      <c r="G173" s="40">
        <v>386</v>
      </c>
      <c r="H173" s="40">
        <v>175</v>
      </c>
      <c r="I173" s="40">
        <v>45012</v>
      </c>
      <c r="J173" s="40">
        <v>38508</v>
      </c>
      <c r="K173" s="40">
        <v>218</v>
      </c>
      <c r="L173" s="38" t="s">
        <v>42</v>
      </c>
      <c r="M173" s="38" t="s">
        <v>381</v>
      </c>
      <c r="N173" s="38" t="s">
        <v>18</v>
      </c>
      <c r="O173" s="41">
        <f>((Posts!$F166+Posts!$G166+Posts!$H166)/Posts!$I166)*100</f>
        <v>10.652531529884847</v>
      </c>
      <c r="P173" s="24">
        <f>SUM(Table2[[#This Row],[Likes]],Table2[[#This Row],[Shares]],Table2[[#This Row],[Comments]])</f>
        <v>4407</v>
      </c>
      <c r="Q17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73" s="25">
        <f>Table2[[#This Row],[Net_Engagement]]/Table2[[#This Row],[Total_Budget]]</f>
        <v>2.7543749999999999E-2</v>
      </c>
      <c r="S17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7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73" s="32" t="str">
        <f t="shared" si="6"/>
        <v>Before</v>
      </c>
      <c r="V173" s="16">
        <f t="shared" ca="1" si="7"/>
        <v>9.0900068367052906</v>
      </c>
      <c r="W173" s="16">
        <f t="shared" ca="1" si="8"/>
        <v>8.2117388821002386</v>
      </c>
      <c r="X173" s="16">
        <f ca="1">(Table1[[#This Row],[Average_During]]-Table1[[#This Row],[Average_Before]])/Table1[[#This Row],[Average_Before]]*100</f>
        <v>-9.6619064251813445</v>
      </c>
    </row>
    <row r="174" spans="1:24">
      <c r="A174" s="42" t="s">
        <v>255</v>
      </c>
      <c r="B174" s="42" t="s">
        <v>31</v>
      </c>
      <c r="C174" s="43">
        <v>45672</v>
      </c>
      <c r="D174" s="44" t="s">
        <v>15</v>
      </c>
      <c r="E174" s="44" t="s">
        <v>51</v>
      </c>
      <c r="F174" s="44">
        <v>2599</v>
      </c>
      <c r="G174" s="44">
        <v>324</v>
      </c>
      <c r="H174" s="44">
        <v>182</v>
      </c>
      <c r="I174" s="44">
        <v>37525</v>
      </c>
      <c r="J174" s="44">
        <v>37216</v>
      </c>
      <c r="K174" s="44">
        <v>186</v>
      </c>
      <c r="L174" s="42" t="s">
        <v>21</v>
      </c>
      <c r="M174" s="42" t="s">
        <v>380</v>
      </c>
      <c r="N174" s="42" t="s">
        <v>22</v>
      </c>
      <c r="O174" s="45">
        <f>((Posts!$F167+Posts!$G167+Posts!$H167)/Posts!$I167)*100</f>
        <v>9.2244407295403743</v>
      </c>
      <c r="P174" s="28">
        <f>SUM(Table2[[#This Row],[Likes]],Table2[[#This Row],[Shares]],Table2[[#This Row],[Comments]])</f>
        <v>4348</v>
      </c>
      <c r="Q17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74" s="29">
        <f>Table2[[#This Row],[Net_Engagement]]/Table2[[#This Row],[Total_Budget]]</f>
        <v>2.7175000000000001E-2</v>
      </c>
      <c r="S17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7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74" s="32" t="str">
        <f t="shared" si="6"/>
        <v>During</v>
      </c>
      <c r="V174" s="16">
        <f t="shared" ca="1" si="7"/>
        <v>8.948715739378569</v>
      </c>
      <c r="W174" s="16">
        <f t="shared" ca="1" si="8"/>
        <v>9.5297622386008367</v>
      </c>
      <c r="X174" s="16">
        <f ca="1">(Table1[[#This Row],[Average_During]]-Table1[[#This Row],[Average_Before]])/Table1[[#This Row],[Average_Before]]*100</f>
        <v>6.493071365150076</v>
      </c>
    </row>
    <row r="175" spans="1:24">
      <c r="A175" s="38" t="s">
        <v>243</v>
      </c>
      <c r="B175" s="38" t="s">
        <v>14</v>
      </c>
      <c r="C175" s="39">
        <v>45571</v>
      </c>
      <c r="D175" s="40" t="s">
        <v>15</v>
      </c>
      <c r="E175" s="40" t="s">
        <v>41</v>
      </c>
      <c r="F175" s="40">
        <v>2080</v>
      </c>
      <c r="G175" s="40">
        <v>389</v>
      </c>
      <c r="H175" s="40">
        <v>92</v>
      </c>
      <c r="I175" s="40">
        <v>30971</v>
      </c>
      <c r="J175" s="40">
        <v>25347</v>
      </c>
      <c r="K175" s="40">
        <v>111</v>
      </c>
      <c r="L175" s="38" t="s">
        <v>21</v>
      </c>
      <c r="M175" s="38" t="s">
        <v>381</v>
      </c>
      <c r="N175" s="38" t="s">
        <v>22</v>
      </c>
      <c r="O175" s="41">
        <f>((Posts!$F168+Posts!$G168+Posts!$H168)/Posts!$I168)*100</f>
        <v>16.125787850341961</v>
      </c>
      <c r="P175" s="24">
        <f>SUM(Table2[[#This Row],[Likes]],Table2[[#This Row],[Shares]],Table2[[#This Row],[Comments]])</f>
        <v>5431</v>
      </c>
      <c r="Q17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75" s="25">
        <f>Table2[[#This Row],[Net_Engagement]]/Table2[[#This Row],[Total_Budget]]</f>
        <v>3.3943750000000002E-2</v>
      </c>
      <c r="S17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7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75" s="32" t="str">
        <f t="shared" si="6"/>
        <v>Before</v>
      </c>
      <c r="V175" s="16">
        <f t="shared" ca="1" si="7"/>
        <v>9.0589623308400409</v>
      </c>
      <c r="W175" s="16">
        <f t="shared" ca="1" si="8"/>
        <v>8.3247613985371913</v>
      </c>
      <c r="X175" s="16">
        <f ca="1">(Table1[[#This Row],[Average_During]]-Table1[[#This Row],[Average_Before]])/Table1[[#This Row],[Average_Before]]*100</f>
        <v>-8.1046913044704851</v>
      </c>
    </row>
    <row r="176" spans="1:24">
      <c r="A176" s="42" t="s">
        <v>193</v>
      </c>
      <c r="B176" s="42" t="s">
        <v>24</v>
      </c>
      <c r="C176" s="43">
        <v>45819</v>
      </c>
      <c r="D176" s="44" t="s">
        <v>25</v>
      </c>
      <c r="E176" s="44" t="s">
        <v>20</v>
      </c>
      <c r="F176" s="44">
        <v>3805</v>
      </c>
      <c r="G176" s="44">
        <v>453</v>
      </c>
      <c r="H176" s="44">
        <v>63</v>
      </c>
      <c r="I176" s="44">
        <v>52395</v>
      </c>
      <c r="J176" s="44">
        <v>72934</v>
      </c>
      <c r="K176" s="44">
        <v>87</v>
      </c>
      <c r="L176" s="42" t="s">
        <v>21</v>
      </c>
      <c r="M176" s="42" t="s">
        <v>379</v>
      </c>
      <c r="N176" s="42" t="s">
        <v>18</v>
      </c>
      <c r="O176" s="45">
        <f>((Posts!$F169+Posts!$G169+Posts!$H169)/Posts!$I169)*100</f>
        <v>10.143081434961637</v>
      </c>
      <c r="P176" s="28">
        <f>SUM(Table2[[#This Row],[Likes]],Table2[[#This Row],[Shares]],Table2[[#This Row],[Comments]])</f>
        <v>3123</v>
      </c>
      <c r="Q17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76" s="29">
        <f>Table2[[#This Row],[Net_Engagement]]/Table2[[#This Row],[Total_Budget]]</f>
        <v>1.5615E-2</v>
      </c>
      <c r="S17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7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76" s="32" t="str">
        <f t="shared" si="6"/>
        <v>Before</v>
      </c>
      <c r="V176" s="16">
        <f t="shared" ca="1" si="7"/>
        <v>9.009578402993613</v>
      </c>
      <c r="W176" s="16">
        <f t="shared" ca="1" si="8"/>
        <v>8.230035369242815</v>
      </c>
      <c r="X176" s="16">
        <f ca="1">(Table1[[#This Row],[Average_During]]-Table1[[#This Row],[Average_Before]])/Table1[[#This Row],[Average_Before]]*100</f>
        <v>-8.6523808205251775</v>
      </c>
    </row>
    <row r="177" spans="1:24">
      <c r="A177" s="38" t="s">
        <v>68</v>
      </c>
      <c r="B177" s="38" t="s">
        <v>31</v>
      </c>
      <c r="C177" s="39">
        <v>45356</v>
      </c>
      <c r="D177" s="40" t="s">
        <v>57</v>
      </c>
      <c r="E177" s="40" t="s">
        <v>20</v>
      </c>
      <c r="F177" s="40">
        <v>3558</v>
      </c>
      <c r="G177" s="40">
        <v>314</v>
      </c>
      <c r="H177" s="40">
        <v>199</v>
      </c>
      <c r="I177" s="40">
        <v>49612</v>
      </c>
      <c r="J177" s="40">
        <v>53929</v>
      </c>
      <c r="K177" s="40">
        <v>206</v>
      </c>
      <c r="L177" s="38" t="s">
        <v>21</v>
      </c>
      <c r="M177" s="38" t="s">
        <v>45</v>
      </c>
      <c r="N177" s="38" t="s">
        <v>59</v>
      </c>
      <c r="O177" s="41">
        <f>((Posts!$F170+Posts!$G170+Posts!$H170)/Posts!$I170)*100</f>
        <v>8.4528099363643339</v>
      </c>
      <c r="P177" s="24">
        <f>SUM(Table2[[#This Row],[Likes]],Table2[[#This Row],[Shares]],Table2[[#This Row],[Comments]])</f>
        <v>3916</v>
      </c>
      <c r="Q17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77" s="25">
        <f>Table2[[#This Row],[Net_Engagement]]/Table2[[#This Row],[Total_Budget]]</f>
        <v>1.958E-2</v>
      </c>
      <c r="S17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7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77" s="32" t="str">
        <f t="shared" si="6"/>
        <v>Before</v>
      </c>
      <c r="V177" s="16">
        <f t="shared" ca="1" si="7"/>
        <v>8.915462724071908</v>
      </c>
      <c r="W177" s="16">
        <f t="shared" ca="1" si="8"/>
        <v>9.1622621072026487</v>
      </c>
      <c r="X177" s="16">
        <f ca="1">(Table1[[#This Row],[Average_During]]-Table1[[#This Row],[Average_Before]])/Table1[[#This Row],[Average_Before]]*100</f>
        <v>2.7682173182596337</v>
      </c>
    </row>
    <row r="178" spans="1:24">
      <c r="A178" s="42" t="s">
        <v>276</v>
      </c>
      <c r="B178" s="42" t="s">
        <v>14</v>
      </c>
      <c r="C178" s="43">
        <v>45646</v>
      </c>
      <c r="D178" s="44" t="s">
        <v>15</v>
      </c>
      <c r="E178" s="44" t="s">
        <v>16</v>
      </c>
      <c r="F178" s="44">
        <v>2519</v>
      </c>
      <c r="G178" s="44">
        <v>202</v>
      </c>
      <c r="H178" s="44">
        <v>239</v>
      </c>
      <c r="I178" s="44">
        <v>36245</v>
      </c>
      <c r="J178" s="44">
        <v>48606</v>
      </c>
      <c r="K178" s="44">
        <v>145</v>
      </c>
      <c r="L178" s="42" t="s">
        <v>21</v>
      </c>
      <c r="M178" s="42" t="s">
        <v>381</v>
      </c>
      <c r="N178" s="42" t="s">
        <v>22</v>
      </c>
      <c r="O178" s="45">
        <f>((Posts!$F171+Posts!$G171+Posts!$H171)/Posts!$I171)*100</f>
        <v>15.513030574705535</v>
      </c>
      <c r="P178" s="28">
        <f>SUM(Table2[[#This Row],[Likes]],Table2[[#This Row],[Shares]],Table2[[#This Row],[Comments]])</f>
        <v>5614</v>
      </c>
      <c r="Q17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78" s="29">
        <f>Table2[[#This Row],[Net_Engagement]]/Table2[[#This Row],[Total_Budget]]</f>
        <v>3.5087500000000001E-2</v>
      </c>
      <c r="S17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7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78" s="32" t="str">
        <f t="shared" si="6"/>
        <v>Before</v>
      </c>
      <c r="V178" s="16">
        <f t="shared" ca="1" si="7"/>
        <v>8.9175785024064282</v>
      </c>
      <c r="W178" s="16">
        <f t="shared" ca="1" si="8"/>
        <v>9.1812402333449015</v>
      </c>
      <c r="X178" s="16">
        <f ca="1">(Table1[[#This Row],[Average_During]]-Table1[[#This Row],[Average_Before]])/Table1[[#This Row],[Average_Before]]*100</f>
        <v>2.956651638865007</v>
      </c>
    </row>
    <row r="179" spans="1:24">
      <c r="A179" s="38" t="s">
        <v>112</v>
      </c>
      <c r="B179" s="38" t="s">
        <v>14</v>
      </c>
      <c r="C179" s="39">
        <v>45576</v>
      </c>
      <c r="D179" s="40" t="s">
        <v>15</v>
      </c>
      <c r="E179" s="40" t="s">
        <v>49</v>
      </c>
      <c r="F179" s="40">
        <v>1360</v>
      </c>
      <c r="G179" s="40">
        <v>249</v>
      </c>
      <c r="H179" s="40">
        <v>52</v>
      </c>
      <c r="I179" s="40">
        <v>20368</v>
      </c>
      <c r="J179" s="40">
        <v>42152</v>
      </c>
      <c r="K179" s="40">
        <v>193</v>
      </c>
      <c r="L179" s="38" t="s">
        <v>21</v>
      </c>
      <c r="M179" s="38" t="s">
        <v>381</v>
      </c>
      <c r="N179" s="38" t="s">
        <v>22</v>
      </c>
      <c r="O179" s="41">
        <f>((Posts!$F172+Posts!$G172+Posts!$H172)/Posts!$I172)*100</f>
        <v>9.8031707130274945</v>
      </c>
      <c r="P179" s="24">
        <f>SUM(Table2[[#This Row],[Likes]],Table2[[#This Row],[Shares]],Table2[[#This Row],[Comments]])</f>
        <v>4422</v>
      </c>
      <c r="Q17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179" s="25">
        <f>Table2[[#This Row],[Net_Engagement]]/Table2[[#This Row],[Total_Budget]]</f>
        <v>1.9653333333333332E-2</v>
      </c>
      <c r="S17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17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179" s="32" t="str">
        <f t="shared" si="6"/>
        <v>Before</v>
      </c>
      <c r="V179" s="16">
        <f t="shared" ca="1" si="7"/>
        <v>8.9317466886146288</v>
      </c>
      <c r="W179" s="16">
        <f t="shared" ca="1" si="8"/>
        <v>8.4283796668835649</v>
      </c>
      <c r="X179" s="16">
        <f ca="1">(Table1[[#This Row],[Average_During]]-Table1[[#This Row],[Average_Before]])/Table1[[#This Row],[Average_Before]]*100</f>
        <v>-5.6357064220451978</v>
      </c>
    </row>
    <row r="180" spans="1:24">
      <c r="A180" s="42" t="s">
        <v>186</v>
      </c>
      <c r="B180" s="42" t="s">
        <v>14</v>
      </c>
      <c r="C180" s="43">
        <v>45799</v>
      </c>
      <c r="D180" s="44" t="s">
        <v>15</v>
      </c>
      <c r="E180" s="44" t="s">
        <v>16</v>
      </c>
      <c r="F180" s="44">
        <v>2633</v>
      </c>
      <c r="G180" s="44">
        <v>318</v>
      </c>
      <c r="H180" s="44">
        <v>380</v>
      </c>
      <c r="I180" s="44">
        <v>40869</v>
      </c>
      <c r="J180" s="44">
        <v>64474</v>
      </c>
      <c r="K180" s="44">
        <v>245</v>
      </c>
      <c r="L180" s="42" t="s">
        <v>21</v>
      </c>
      <c r="M180" s="42" t="s">
        <v>381</v>
      </c>
      <c r="N180" s="42" t="s">
        <v>22</v>
      </c>
      <c r="O180" s="45">
        <f>((Posts!$F173+Posts!$G173+Posts!$H173)/Posts!$I173)*100</f>
        <v>16.447098339242398</v>
      </c>
      <c r="P180" s="28">
        <f>SUM(Table2[[#This Row],[Likes]],Table2[[#This Row],[Shares]],Table2[[#This Row],[Comments]])</f>
        <v>2818</v>
      </c>
      <c r="Q18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80" s="29">
        <f>Table2[[#This Row],[Net_Engagement]]/Table2[[#This Row],[Total_Budget]]</f>
        <v>1.76125E-2</v>
      </c>
      <c r="S18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8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80" s="32" t="str">
        <f t="shared" si="6"/>
        <v>Before</v>
      </c>
      <c r="V180" s="16">
        <f t="shared" ca="1" si="7"/>
        <v>9.0767461642971039</v>
      </c>
      <c r="W180" s="16">
        <f t="shared" ca="1" si="8"/>
        <v>6.7937103800704142</v>
      </c>
      <c r="X180" s="16">
        <f ca="1">(Table1[[#This Row],[Average_During]]-Table1[[#This Row],[Average_Before]])/Table1[[#This Row],[Average_Before]]*100</f>
        <v>-25.152579381440553</v>
      </c>
    </row>
    <row r="181" spans="1:24">
      <c r="A181" s="38" t="s">
        <v>189</v>
      </c>
      <c r="B181" s="38" t="s">
        <v>24</v>
      </c>
      <c r="C181" s="39">
        <v>45760</v>
      </c>
      <c r="D181" s="40" t="s">
        <v>15</v>
      </c>
      <c r="E181" s="40" t="s">
        <v>49</v>
      </c>
      <c r="F181" s="40">
        <v>3890</v>
      </c>
      <c r="G181" s="40">
        <v>408</v>
      </c>
      <c r="H181" s="40">
        <v>338</v>
      </c>
      <c r="I181" s="40">
        <v>56994</v>
      </c>
      <c r="J181" s="40">
        <v>32621</v>
      </c>
      <c r="K181" s="40">
        <v>286</v>
      </c>
      <c r="L181" s="38" t="s">
        <v>45</v>
      </c>
      <c r="M181" s="38" t="s">
        <v>381</v>
      </c>
      <c r="N181" s="38" t="s">
        <v>22</v>
      </c>
      <c r="O181" s="41">
        <f>((Posts!$F174+Posts!$G174+Posts!$H174)/Posts!$I174)*100</f>
        <v>10.077178019329269</v>
      </c>
      <c r="P181" s="24">
        <f>SUM(Table2[[#This Row],[Likes]],Table2[[#This Row],[Shares]],Table2[[#This Row],[Comments]])</f>
        <v>4534</v>
      </c>
      <c r="Q18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81" s="25">
        <f>Table2[[#This Row],[Net_Engagement]]/Table2[[#This Row],[Total_Budget]]</f>
        <v>2.2669999999999999E-2</v>
      </c>
      <c r="S18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8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81" s="32" t="str">
        <f t="shared" si="6"/>
        <v>Before</v>
      </c>
      <c r="V181" s="16">
        <f t="shared" ca="1" si="7"/>
        <v>8.9354939561061659</v>
      </c>
      <c r="W181" s="16">
        <f t="shared" ca="1" si="8"/>
        <v>7.6260882149244313</v>
      </c>
      <c r="X181" s="16">
        <f ca="1">(Table1[[#This Row],[Average_During]]-Table1[[#This Row],[Average_Before]])/Table1[[#This Row],[Average_Before]]*100</f>
        <v>-14.653982730153805</v>
      </c>
    </row>
    <row r="182" spans="1:24">
      <c r="A182" s="42" t="s">
        <v>65</v>
      </c>
      <c r="B182" s="42" t="s">
        <v>31</v>
      </c>
      <c r="C182" s="43">
        <v>45575</v>
      </c>
      <c r="D182" s="44" t="s">
        <v>57</v>
      </c>
      <c r="E182" s="44" t="s">
        <v>49</v>
      </c>
      <c r="F182" s="44">
        <v>4013</v>
      </c>
      <c r="G182" s="44">
        <v>320</v>
      </c>
      <c r="H182" s="44">
        <v>92</v>
      </c>
      <c r="I182" s="44">
        <v>54605</v>
      </c>
      <c r="J182" s="44">
        <v>60169</v>
      </c>
      <c r="K182" s="44">
        <v>232</v>
      </c>
      <c r="L182" s="42" t="s">
        <v>21</v>
      </c>
      <c r="M182" s="42" t="s">
        <v>45</v>
      </c>
      <c r="N182" s="42" t="s">
        <v>59</v>
      </c>
      <c r="O182" s="45">
        <f>((Posts!$F175+Posts!$G175+Posts!$H175)/Posts!$I175)*100</f>
        <v>10.256458679558845</v>
      </c>
      <c r="P182" s="28">
        <f>SUM(Table2[[#This Row],[Likes]],Table2[[#This Row],[Shares]],Table2[[#This Row],[Comments]])</f>
        <v>2562</v>
      </c>
      <c r="Q18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82" s="29">
        <f>Table2[[#This Row],[Net_Engagement]]/Table2[[#This Row],[Total_Budget]]</f>
        <v>1.6012499999999999E-2</v>
      </c>
      <c r="S18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8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82" s="32" t="str">
        <f t="shared" si="6"/>
        <v>Before</v>
      </c>
      <c r="V182" s="16">
        <f t="shared" ca="1" si="7"/>
        <v>8.7859190104578957</v>
      </c>
      <c r="W182" s="16">
        <f t="shared" ca="1" si="8"/>
        <v>9.1310060985687169</v>
      </c>
      <c r="X182" s="16">
        <f ca="1">(Table1[[#This Row],[Average_During]]-Table1[[#This Row],[Average_Before]])/Table1[[#This Row],[Average_Before]]*100</f>
        <v>3.9277289911284567</v>
      </c>
    </row>
    <row r="183" spans="1:24">
      <c r="A183" s="38" t="s">
        <v>273</v>
      </c>
      <c r="B183" s="38" t="s">
        <v>24</v>
      </c>
      <c r="C183" s="39">
        <v>45585</v>
      </c>
      <c r="D183" s="40" t="s">
        <v>15</v>
      </c>
      <c r="E183" s="40" t="s">
        <v>49</v>
      </c>
      <c r="F183" s="40">
        <v>2752</v>
      </c>
      <c r="G183" s="40">
        <v>309</v>
      </c>
      <c r="H183" s="40">
        <v>91</v>
      </c>
      <c r="I183" s="40">
        <v>39038</v>
      </c>
      <c r="J183" s="40">
        <v>28095</v>
      </c>
      <c r="K183" s="40">
        <v>277</v>
      </c>
      <c r="L183" s="38" t="s">
        <v>42</v>
      </c>
      <c r="M183" s="38" t="s">
        <v>381</v>
      </c>
      <c r="N183" s="38" t="s">
        <v>18</v>
      </c>
      <c r="O183" s="41">
        <f>((Posts!$F176+Posts!$G176+Posts!$H176)/Posts!$I176)*100</f>
        <v>5.6980732739746021</v>
      </c>
      <c r="P183" s="24">
        <f>SUM(Table2[[#This Row],[Likes]],Table2[[#This Row],[Shares]],Table2[[#This Row],[Comments]])</f>
        <v>3411</v>
      </c>
      <c r="Q18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83" s="25">
        <f>Table2[[#This Row],[Net_Engagement]]/Table2[[#This Row],[Total_Budget]]</f>
        <v>1.7055000000000001E-2</v>
      </c>
      <c r="S18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8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83" s="32" t="str">
        <f t="shared" si="6"/>
        <v>Before</v>
      </c>
      <c r="V183" s="16">
        <f t="shared" ca="1" si="7"/>
        <v>8.9910695115387842</v>
      </c>
      <c r="W183" s="16">
        <f t="shared" ca="1" si="8"/>
        <v>6.604206319120304</v>
      </c>
      <c r="X183" s="16">
        <f ca="1">(Table1[[#This Row],[Average_During]]-Table1[[#This Row],[Average_Before]])/Table1[[#This Row],[Average_Before]]*100</f>
        <v>-26.54704414591917</v>
      </c>
    </row>
    <row r="184" spans="1:24">
      <c r="A184" s="42" t="s">
        <v>71</v>
      </c>
      <c r="B184" s="42" t="s">
        <v>14</v>
      </c>
      <c r="C184" s="43">
        <v>45658</v>
      </c>
      <c r="D184" s="44" t="s">
        <v>15</v>
      </c>
      <c r="E184" s="44" t="s">
        <v>26</v>
      </c>
      <c r="F184" s="44">
        <v>4036</v>
      </c>
      <c r="G184" s="44">
        <v>112</v>
      </c>
      <c r="H184" s="44">
        <v>382</v>
      </c>
      <c r="I184" s="44">
        <v>56284</v>
      </c>
      <c r="J184" s="44">
        <v>29440</v>
      </c>
      <c r="K184" s="44">
        <v>279</v>
      </c>
      <c r="L184" s="42" t="s">
        <v>45</v>
      </c>
      <c r="M184" s="42" t="s">
        <v>42</v>
      </c>
      <c r="N184" s="42" t="s">
        <v>18</v>
      </c>
      <c r="O184" s="45">
        <f>((Posts!$F177+Posts!$G177+Posts!$H177)/Posts!$I177)*100</f>
        <v>8.4227733207149456</v>
      </c>
      <c r="P184" s="28">
        <f>SUM(Table2[[#This Row],[Likes]],Table2[[#This Row],[Shares]],Table2[[#This Row],[Comments]])</f>
        <v>3687</v>
      </c>
      <c r="Q18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84" s="29">
        <f>Table2[[#This Row],[Net_Engagement]]/Table2[[#This Row],[Total_Budget]]</f>
        <v>2.3043750000000002E-2</v>
      </c>
      <c r="S18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8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84" s="32" t="str">
        <f t="shared" si="6"/>
        <v>Before</v>
      </c>
      <c r="V184" s="16">
        <f t="shared" ca="1" si="7"/>
        <v>8.9373728478312344</v>
      </c>
      <c r="W184" s="16">
        <f t="shared" ca="1" si="8"/>
        <v>7.5510175755135522</v>
      </c>
      <c r="X184" s="16">
        <f ca="1">(Table1[[#This Row],[Average_During]]-Table1[[#This Row],[Average_Before]])/Table1[[#This Row],[Average_Before]]*100</f>
        <v>-15.511888067354141</v>
      </c>
    </row>
    <row r="185" spans="1:24">
      <c r="A185" s="38" t="s">
        <v>260</v>
      </c>
      <c r="B185" s="38" t="s">
        <v>31</v>
      </c>
      <c r="C185" s="39">
        <v>45636</v>
      </c>
      <c r="D185" s="40" t="s">
        <v>15</v>
      </c>
      <c r="E185" s="40" t="s">
        <v>35</v>
      </c>
      <c r="F185" s="40">
        <v>2569</v>
      </c>
      <c r="G185" s="40">
        <v>140</v>
      </c>
      <c r="H185" s="40">
        <v>375</v>
      </c>
      <c r="I185" s="40">
        <v>38372</v>
      </c>
      <c r="J185" s="40">
        <v>22102</v>
      </c>
      <c r="K185" s="40">
        <v>255</v>
      </c>
      <c r="L185" s="38" t="s">
        <v>21</v>
      </c>
      <c r="M185" s="38" t="s">
        <v>380</v>
      </c>
      <c r="N185" s="38" t="s">
        <v>22</v>
      </c>
      <c r="O185" s="41">
        <f>((Posts!$F178+Posts!$G178+Posts!$H178)/Posts!$I178)*100</f>
        <v>17.289805974745921</v>
      </c>
      <c r="P185" s="24">
        <f>SUM(Table2[[#This Row],[Likes]],Table2[[#This Row],[Shares]],Table2[[#This Row],[Comments]])</f>
        <v>2982</v>
      </c>
      <c r="Q18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85" s="25">
        <f>Table2[[#This Row],[Net_Engagement]]/Table2[[#This Row],[Total_Budget]]</f>
        <v>1.491E-2</v>
      </c>
      <c r="S18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8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85" s="32" t="str">
        <f t="shared" si="6"/>
        <v>Before</v>
      </c>
      <c r="V185" s="16">
        <f t="shared" ca="1" si="7"/>
        <v>8.8050598870414518</v>
      </c>
      <c r="W185" s="16">
        <f t="shared" ca="1" si="8"/>
        <v>9.1108452812286824</v>
      </c>
      <c r="X185" s="16">
        <f ca="1">(Table1[[#This Row],[Average_During]]-Table1[[#This Row],[Average_Before]])/Table1[[#This Row],[Average_Before]]*100</f>
        <v>3.4728371880497924</v>
      </c>
    </row>
    <row r="186" spans="1:24">
      <c r="A186" s="42" t="s">
        <v>63</v>
      </c>
      <c r="B186" s="42" t="s">
        <v>31</v>
      </c>
      <c r="C186" s="43">
        <v>45452</v>
      </c>
      <c r="D186" s="44" t="s">
        <v>57</v>
      </c>
      <c r="E186" s="44" t="s">
        <v>49</v>
      </c>
      <c r="F186" s="44">
        <v>2786</v>
      </c>
      <c r="G186" s="44">
        <v>368</v>
      </c>
      <c r="H186" s="44">
        <v>208</v>
      </c>
      <c r="I186" s="44">
        <v>42000</v>
      </c>
      <c r="J186" s="44">
        <v>39967</v>
      </c>
      <c r="K186" s="44">
        <v>103</v>
      </c>
      <c r="L186" s="42" t="s">
        <v>21</v>
      </c>
      <c r="M186" s="42" t="s">
        <v>45</v>
      </c>
      <c r="N186" s="42" t="s">
        <v>59</v>
      </c>
      <c r="O186" s="45">
        <f>((Posts!$F179+Posts!$G179+Posts!$H179)/Posts!$I179)*100</f>
        <v>7.3899528727564414</v>
      </c>
      <c r="P186" s="28">
        <f>SUM(Table2[[#This Row],[Likes]],Table2[[#This Row],[Shares]],Table2[[#This Row],[Comments]])</f>
        <v>3265</v>
      </c>
      <c r="Q18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86" s="29">
        <f>Table2[[#This Row],[Net_Engagement]]/Table2[[#This Row],[Total_Budget]]</f>
        <v>1.8657142857142858E-2</v>
      </c>
      <c r="S18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8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86" s="32" t="str">
        <f t="shared" si="6"/>
        <v>Before</v>
      </c>
      <c r="V186" s="16">
        <f t="shared" ca="1" si="7"/>
        <v>8.7912198668171193</v>
      </c>
      <c r="W186" s="16">
        <f t="shared" ca="1" si="8"/>
        <v>8.3773787936794601</v>
      </c>
      <c r="X186" s="16">
        <f ca="1">(Table1[[#This Row],[Average_During]]-Table1[[#This Row],[Average_Before]])/Table1[[#This Row],[Average_Before]]*100</f>
        <v>-4.7074362762751747</v>
      </c>
    </row>
    <row r="187" spans="1:24">
      <c r="A187" s="38" t="s">
        <v>169</v>
      </c>
      <c r="B187" s="38" t="s">
        <v>24</v>
      </c>
      <c r="C187" s="39">
        <v>45839</v>
      </c>
      <c r="D187" s="40" t="s">
        <v>25</v>
      </c>
      <c r="E187" s="40" t="s">
        <v>20</v>
      </c>
      <c r="F187" s="40">
        <v>3219</v>
      </c>
      <c r="G187" s="40">
        <v>424</v>
      </c>
      <c r="H187" s="40">
        <v>267</v>
      </c>
      <c r="I187" s="40">
        <v>48879</v>
      </c>
      <c r="J187" s="40">
        <v>37691</v>
      </c>
      <c r="K187" s="40">
        <v>224</v>
      </c>
      <c r="L187" s="38" t="s">
        <v>21</v>
      </c>
      <c r="M187" s="38" t="s">
        <v>379</v>
      </c>
      <c r="N187" s="38" t="s">
        <v>18</v>
      </c>
      <c r="O187" s="41">
        <f>((Posts!$F180+Posts!$G180+Posts!$H180)/Posts!$I180)*100</f>
        <v>7.0902000251603976</v>
      </c>
      <c r="P187" s="24">
        <f>SUM(Table2[[#This Row],[Likes]],Table2[[#This Row],[Shares]],Table2[[#This Row],[Comments]])</f>
        <v>5184</v>
      </c>
      <c r="Q18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87" s="25">
        <f>Table2[[#This Row],[Net_Engagement]]/Table2[[#This Row],[Total_Budget]]</f>
        <v>2.5919999999999999E-2</v>
      </c>
      <c r="S18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8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87" s="32" t="str">
        <f t="shared" si="6"/>
        <v>Before</v>
      </c>
      <c r="V187" s="16">
        <f t="shared" ca="1" si="7"/>
        <v>8.8975717844713813</v>
      </c>
      <c r="W187" s="16">
        <f t="shared" ca="1" si="8"/>
        <v>7.1977677158049183</v>
      </c>
      <c r="X187" s="16">
        <f ca="1">(Table1[[#This Row],[Average_During]]-Table1[[#This Row],[Average_Before]])/Table1[[#This Row],[Average_Before]]*100</f>
        <v>-19.104134362063494</v>
      </c>
    </row>
    <row r="188" spans="1:24">
      <c r="A188" s="42" t="s">
        <v>246</v>
      </c>
      <c r="B188" s="42" t="s">
        <v>24</v>
      </c>
      <c r="C188" s="43">
        <v>45525</v>
      </c>
      <c r="D188" s="44" t="s">
        <v>25</v>
      </c>
      <c r="E188" s="44" t="s">
        <v>20</v>
      </c>
      <c r="F188" s="44">
        <v>3989</v>
      </c>
      <c r="G188" s="44">
        <v>476</v>
      </c>
      <c r="H188" s="44">
        <v>128</v>
      </c>
      <c r="I188" s="44">
        <v>57569</v>
      </c>
      <c r="J188" s="44">
        <v>40193</v>
      </c>
      <c r="K188" s="44">
        <v>222</v>
      </c>
      <c r="L188" s="42" t="s">
        <v>21</v>
      </c>
      <c r="M188" s="42" t="s">
        <v>379</v>
      </c>
      <c r="N188" s="42" t="s">
        <v>18</v>
      </c>
      <c r="O188" s="45">
        <f>((Posts!$F181+Posts!$G181+Posts!$H181)/Posts!$I181)*100</f>
        <v>7.773148862486928</v>
      </c>
      <c r="P188" s="28">
        <f>SUM(Table2[[#This Row],[Likes]],Table2[[#This Row],[Shares]],Table2[[#This Row],[Comments]])</f>
        <v>4879</v>
      </c>
      <c r="Q18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88" s="29">
        <f>Table2[[#This Row],[Net_Engagement]]/Table2[[#This Row],[Total_Budget]]</f>
        <v>2.7879999999999999E-2</v>
      </c>
      <c r="S18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8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88" s="32" t="str">
        <f t="shared" si="6"/>
        <v>Before</v>
      </c>
      <c r="V188" s="16">
        <f t="shared" ca="1" si="7"/>
        <v>8.6941063949278874</v>
      </c>
      <c r="W188" s="16">
        <f t="shared" ca="1" si="8"/>
        <v>9.9306005367140546</v>
      </c>
      <c r="X188" s="16">
        <f ca="1">(Table1[[#This Row],[Average_During]]-Table1[[#This Row],[Average_Before]])/Table1[[#This Row],[Average_Before]]*100</f>
        <v>14.222210835923676</v>
      </c>
    </row>
    <row r="189" spans="1:24">
      <c r="A189" s="38" t="s">
        <v>132</v>
      </c>
      <c r="B189" s="38" t="s">
        <v>31</v>
      </c>
      <c r="C189" s="39">
        <v>45376</v>
      </c>
      <c r="D189" s="40" t="s">
        <v>57</v>
      </c>
      <c r="E189" s="40" t="s">
        <v>20</v>
      </c>
      <c r="F189" s="40">
        <v>1948</v>
      </c>
      <c r="G189" s="40">
        <v>155</v>
      </c>
      <c r="H189" s="40">
        <v>315</v>
      </c>
      <c r="I189" s="40">
        <v>30321</v>
      </c>
      <c r="J189" s="40">
        <v>57121</v>
      </c>
      <c r="K189" s="40">
        <v>82</v>
      </c>
      <c r="L189" s="38" t="s">
        <v>21</v>
      </c>
      <c r="M189" s="38" t="s">
        <v>45</v>
      </c>
      <c r="N189" s="38" t="s">
        <v>59</v>
      </c>
      <c r="O189" s="41">
        <f>((Posts!$F182+Posts!$G182+Posts!$H182)/Posts!$I182)*100</f>
        <v>4.2982250109049422</v>
      </c>
      <c r="P189" s="24">
        <f>SUM(Table2[[#This Row],[Likes]],Table2[[#This Row],[Shares]],Table2[[#This Row],[Comments]])</f>
        <v>4432</v>
      </c>
      <c r="Q18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89" s="25">
        <f>Table2[[#This Row],[Net_Engagement]]/Table2[[#This Row],[Total_Budget]]</f>
        <v>2.7699999999999999E-2</v>
      </c>
      <c r="S18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8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89" s="32" t="str">
        <f t="shared" si="6"/>
        <v>Before</v>
      </c>
      <c r="V189" s="16">
        <f t="shared" ca="1" si="7"/>
        <v>8.9284215686914106</v>
      </c>
      <c r="W189" s="16">
        <f t="shared" ca="1" si="8"/>
        <v>7.1430420083462582</v>
      </c>
      <c r="X189" s="16">
        <f ca="1">(Table1[[#This Row],[Average_During]]-Table1[[#This Row],[Average_Before]])/Table1[[#This Row],[Average_Before]]*100</f>
        <v>-19.996586704707152</v>
      </c>
    </row>
    <row r="190" spans="1:24">
      <c r="A190" s="42" t="s">
        <v>131</v>
      </c>
      <c r="B190" s="42" t="s">
        <v>24</v>
      </c>
      <c r="C190" s="43">
        <v>45774</v>
      </c>
      <c r="D190" s="44" t="s">
        <v>15</v>
      </c>
      <c r="E190" s="44" t="s">
        <v>20</v>
      </c>
      <c r="F190" s="44">
        <v>1165</v>
      </c>
      <c r="G190" s="44">
        <v>294</v>
      </c>
      <c r="H190" s="44">
        <v>163</v>
      </c>
      <c r="I190" s="44">
        <v>20659</v>
      </c>
      <c r="J190" s="44">
        <v>45926</v>
      </c>
      <c r="K190" s="44">
        <v>111</v>
      </c>
      <c r="L190" s="42" t="s">
        <v>45</v>
      </c>
      <c r="M190" s="42" t="s">
        <v>381</v>
      </c>
      <c r="N190" s="42" t="s">
        <v>22</v>
      </c>
      <c r="O190" s="45">
        <f>((Posts!$F183+Posts!$G183+Posts!$H183)/Posts!$I183)*100</f>
        <v>7.2213401079707848</v>
      </c>
      <c r="P190" s="28">
        <f>SUM(Table2[[#This Row],[Likes]],Table2[[#This Row],[Shares]],Table2[[#This Row],[Comments]])</f>
        <v>5584</v>
      </c>
      <c r="Q19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90" s="29">
        <f>Table2[[#This Row],[Net_Engagement]]/Table2[[#This Row],[Total_Budget]]</f>
        <v>3.1908571428571432E-2</v>
      </c>
      <c r="S19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9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90" s="32" t="str">
        <f t="shared" si="6"/>
        <v>Before</v>
      </c>
      <c r="V190" s="16">
        <f t="shared" ca="1" si="7"/>
        <v>8.8047777793831496</v>
      </c>
      <c r="W190" s="16">
        <f t="shared" ca="1" si="8"/>
        <v>9.1687101618679545</v>
      </c>
      <c r="X190" s="16">
        <f ca="1">(Table1[[#This Row],[Average_During]]-Table1[[#This Row],[Average_Before]])/Table1[[#This Row],[Average_Before]]*100</f>
        <v>4.1333511373446781</v>
      </c>
    </row>
    <row r="191" spans="1:24">
      <c r="A191" s="38" t="s">
        <v>220</v>
      </c>
      <c r="B191" s="38" t="s">
        <v>24</v>
      </c>
      <c r="C191" s="39">
        <v>45777</v>
      </c>
      <c r="D191" s="40" t="s">
        <v>25</v>
      </c>
      <c r="E191" s="40" t="s">
        <v>29</v>
      </c>
      <c r="F191" s="40">
        <v>3929</v>
      </c>
      <c r="G191" s="40">
        <v>275</v>
      </c>
      <c r="H191" s="40">
        <v>330</v>
      </c>
      <c r="I191" s="40">
        <v>58329</v>
      </c>
      <c r="J191" s="40">
        <v>33196</v>
      </c>
      <c r="K191" s="40">
        <v>85</v>
      </c>
      <c r="L191" s="38" t="s">
        <v>379</v>
      </c>
      <c r="M191" s="38" t="s">
        <v>42</v>
      </c>
      <c r="N191" s="38" t="s">
        <v>18</v>
      </c>
      <c r="O191" s="41">
        <f>((Posts!$F184+Posts!$G184+Posts!$H184)/Posts!$I184)*100</f>
        <v>16.743869209809265</v>
      </c>
      <c r="P191" s="24">
        <f>SUM(Table2[[#This Row],[Likes]],Table2[[#This Row],[Shares]],Table2[[#This Row],[Comments]])</f>
        <v>3035</v>
      </c>
      <c r="Q19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91" s="25">
        <f>Table2[[#This Row],[Net_Engagement]]/Table2[[#This Row],[Total_Budget]]</f>
        <v>1.5174999999999999E-2</v>
      </c>
      <c r="S19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9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91" s="32" t="str">
        <f t="shared" si="6"/>
        <v>Before</v>
      </c>
      <c r="V191" s="16">
        <f t="shared" ca="1" si="7"/>
        <v>8.944349919500052</v>
      </c>
      <c r="W191" s="16">
        <f t="shared" ca="1" si="8"/>
        <v>7.654273983942379</v>
      </c>
      <c r="X191" s="16">
        <f ca="1">(Table1[[#This Row],[Average_During]]-Table1[[#This Row],[Average_Before]])/Table1[[#This Row],[Average_Before]]*100</f>
        <v>-14.423361643590329</v>
      </c>
    </row>
    <row r="192" spans="1:24">
      <c r="A192" s="42" t="s">
        <v>245</v>
      </c>
      <c r="B192" s="42" t="s">
        <v>24</v>
      </c>
      <c r="C192" s="43">
        <v>45763</v>
      </c>
      <c r="D192" s="44" t="s">
        <v>15</v>
      </c>
      <c r="E192" s="44" t="s">
        <v>29</v>
      </c>
      <c r="F192" s="44">
        <v>3792</v>
      </c>
      <c r="G192" s="44">
        <v>315</v>
      </c>
      <c r="H192" s="44">
        <v>120</v>
      </c>
      <c r="I192" s="44">
        <v>54592</v>
      </c>
      <c r="J192" s="44">
        <v>67886</v>
      </c>
      <c r="K192" s="44">
        <v>117</v>
      </c>
      <c r="L192" s="42" t="s">
        <v>45</v>
      </c>
      <c r="M192" s="42" t="s">
        <v>381</v>
      </c>
      <c r="N192" s="42" t="s">
        <v>22</v>
      </c>
      <c r="O192" s="45">
        <f>((Posts!$F185+Posts!$G185+Posts!$H185)/Posts!$I185)*100</f>
        <v>6.2648374965860638</v>
      </c>
      <c r="P192" s="28">
        <f>SUM(Table2[[#This Row],[Likes]],Table2[[#This Row],[Shares]],Table2[[#This Row],[Comments]])</f>
        <v>4586</v>
      </c>
      <c r="Q19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92" s="29">
        <f>Table2[[#This Row],[Net_Engagement]]/Table2[[#This Row],[Total_Budget]]</f>
        <v>2.6205714285714287E-2</v>
      </c>
      <c r="S19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9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92" s="32" t="str">
        <f t="shared" si="6"/>
        <v>Before</v>
      </c>
      <c r="V192" s="16">
        <f t="shared" ca="1" si="7"/>
        <v>8.6364624846943592</v>
      </c>
      <c r="W192" s="16">
        <f t="shared" ca="1" si="8"/>
        <v>10.482309947131903</v>
      </c>
      <c r="X192" s="16">
        <f ca="1">(Table1[[#This Row],[Average_During]]-Table1[[#This Row],[Average_Before]])/Table1[[#This Row],[Average_Before]]*100</f>
        <v>21.372725994106684</v>
      </c>
    </row>
    <row r="193" spans="1:24">
      <c r="A193" s="38" t="s">
        <v>249</v>
      </c>
      <c r="B193" s="38" t="s">
        <v>24</v>
      </c>
      <c r="C193" s="39">
        <v>45492</v>
      </c>
      <c r="D193" s="40" t="s">
        <v>25</v>
      </c>
      <c r="E193" s="40" t="s">
        <v>35</v>
      </c>
      <c r="F193" s="40">
        <v>3071</v>
      </c>
      <c r="G193" s="40">
        <v>126</v>
      </c>
      <c r="H193" s="40">
        <v>200</v>
      </c>
      <c r="I193" s="40">
        <v>44013</v>
      </c>
      <c r="J193" s="40">
        <v>44679</v>
      </c>
      <c r="K193" s="40">
        <v>118</v>
      </c>
      <c r="L193" s="38" t="s">
        <v>21</v>
      </c>
      <c r="M193" s="38" t="s">
        <v>379</v>
      </c>
      <c r="N193" s="38" t="s">
        <v>18</v>
      </c>
      <c r="O193" s="41">
        <f>((Posts!$F186+Posts!$G186+Posts!$H186)/Posts!$I186)*100</f>
        <v>8.5966298051606103</v>
      </c>
      <c r="P193" s="24">
        <f>SUM(Table2[[#This Row],[Likes]],Table2[[#This Row],[Shares]],Table2[[#This Row],[Comments]])</f>
        <v>5012</v>
      </c>
      <c r="Q19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93" s="25">
        <f>Table2[[#This Row],[Net_Engagement]]/Table2[[#This Row],[Total_Budget]]</f>
        <v>2.5059999999999999E-2</v>
      </c>
      <c r="S19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9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93" s="32" t="str">
        <f t="shared" si="6"/>
        <v>Before</v>
      </c>
      <c r="V193" s="16">
        <f t="shared" ca="1" si="7"/>
        <v>8.6283855398468141</v>
      </c>
      <c r="W193" s="16">
        <f t="shared" ca="1" si="8"/>
        <v>10.841849734553621</v>
      </c>
      <c r="X193" s="16">
        <f ca="1">(Table1[[#This Row],[Average_During]]-Table1[[#This Row],[Average_Before]])/Table1[[#This Row],[Average_Before]]*100</f>
        <v>25.653283392180278</v>
      </c>
    </row>
    <row r="194" spans="1:24">
      <c r="A194" s="42" t="s">
        <v>116</v>
      </c>
      <c r="B194" s="42" t="s">
        <v>14</v>
      </c>
      <c r="C194" s="43">
        <v>45487</v>
      </c>
      <c r="D194" s="44" t="s">
        <v>15</v>
      </c>
      <c r="E194" s="44" t="s">
        <v>29</v>
      </c>
      <c r="F194" s="44">
        <v>2464</v>
      </c>
      <c r="G194" s="44">
        <v>401</v>
      </c>
      <c r="H194" s="44">
        <v>78</v>
      </c>
      <c r="I194" s="44">
        <v>38665</v>
      </c>
      <c r="J194" s="44">
        <v>73593</v>
      </c>
      <c r="K194" s="44">
        <v>207</v>
      </c>
      <c r="L194" s="42" t="s">
        <v>21</v>
      </c>
      <c r="M194" s="42" t="s">
        <v>381</v>
      </c>
      <c r="N194" s="42" t="s">
        <v>22</v>
      </c>
      <c r="O194" s="45">
        <f>((Posts!$F187+Posts!$G187+Posts!$H187)/Posts!$I187)*100</f>
        <v>22.967524699836073</v>
      </c>
      <c r="P194" s="28">
        <f>SUM(Table2[[#This Row],[Likes]],Table2[[#This Row],[Shares]],Table2[[#This Row],[Comments]])</f>
        <v>1725</v>
      </c>
      <c r="Q19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194" s="29">
        <f>Table2[[#This Row],[Net_Engagement]]/Table2[[#This Row],[Total_Budget]]</f>
        <v>9.8571428571428577E-3</v>
      </c>
      <c r="S19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19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194" s="32" t="str">
        <f t="shared" si="6"/>
        <v>Before</v>
      </c>
      <c r="V194" s="16">
        <f t="shared" ca="1" si="7"/>
        <v>8.8516058394525565</v>
      </c>
      <c r="W194" s="16">
        <f t="shared" ca="1" si="8"/>
        <v>8.2163390652733383</v>
      </c>
      <c r="X194" s="16">
        <f ca="1">(Table1[[#This Row],[Average_During]]-Table1[[#This Row],[Average_Before]])/Table1[[#This Row],[Average_Before]]*100</f>
        <v>-7.1768533947565309</v>
      </c>
    </row>
    <row r="195" spans="1:24">
      <c r="A195" s="38" t="s">
        <v>72</v>
      </c>
      <c r="B195" s="38" t="s">
        <v>24</v>
      </c>
      <c r="C195" s="39">
        <v>45419</v>
      </c>
      <c r="D195" s="40" t="s">
        <v>25</v>
      </c>
      <c r="E195" s="40" t="s">
        <v>20</v>
      </c>
      <c r="F195" s="40">
        <v>2776</v>
      </c>
      <c r="G195" s="40">
        <v>307</v>
      </c>
      <c r="H195" s="40">
        <v>178</v>
      </c>
      <c r="I195" s="40">
        <v>43365</v>
      </c>
      <c r="J195" s="40">
        <v>48408</v>
      </c>
      <c r="K195" s="40">
        <v>138</v>
      </c>
      <c r="L195" s="38" t="s">
        <v>45</v>
      </c>
      <c r="M195" s="38" t="s">
        <v>42</v>
      </c>
      <c r="N195" s="38" t="s">
        <v>18</v>
      </c>
      <c r="O195" s="41">
        <f>((Posts!$F188+Posts!$G188+Posts!$H188)/Posts!$I188)*100</f>
        <v>12.920396165457337</v>
      </c>
      <c r="P195" s="24">
        <f>SUM(Table2[[#This Row],[Likes]],Table2[[#This Row],[Shares]],Table2[[#This Row],[Comments]])</f>
        <v>3294</v>
      </c>
      <c r="Q19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95" s="25">
        <f>Table2[[#This Row],[Net_Engagement]]/Table2[[#This Row],[Total_Budget]]</f>
        <v>1.6469999999999999E-2</v>
      </c>
      <c r="S19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9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95" s="32" t="str">
        <f t="shared" si="6"/>
        <v>Before</v>
      </c>
      <c r="V195" s="16">
        <f t="shared" ca="1" si="7"/>
        <v>8.7578091436068934</v>
      </c>
      <c r="W195" s="16">
        <f t="shared" ca="1" si="8"/>
        <v>7.7421984212079167</v>
      </c>
      <c r="X195" s="16">
        <f ca="1">(Table1[[#This Row],[Average_During]]-Table1[[#This Row],[Average_Before]])/Table1[[#This Row],[Average_Before]]*100</f>
        <v>-11.596629998957694</v>
      </c>
    </row>
    <row r="196" spans="1:24">
      <c r="A196" s="42" t="s">
        <v>299</v>
      </c>
      <c r="B196" s="42" t="s">
        <v>24</v>
      </c>
      <c r="C196" s="43">
        <v>45676</v>
      </c>
      <c r="D196" s="44" t="s">
        <v>25</v>
      </c>
      <c r="E196" s="44" t="s">
        <v>32</v>
      </c>
      <c r="F196" s="44">
        <v>1651</v>
      </c>
      <c r="G196" s="44">
        <v>480</v>
      </c>
      <c r="H196" s="44">
        <v>282</v>
      </c>
      <c r="I196" s="44">
        <v>32140</v>
      </c>
      <c r="J196" s="44">
        <v>70560</v>
      </c>
      <c r="K196" s="44">
        <v>138</v>
      </c>
      <c r="L196" s="42" t="s">
        <v>45</v>
      </c>
      <c r="M196" s="42" t="s">
        <v>42</v>
      </c>
      <c r="N196" s="42" t="s">
        <v>18</v>
      </c>
      <c r="O196" s="45">
        <f>((Posts!$F189+Posts!$G189+Posts!$H189)/Posts!$I189)*100</f>
        <v>9.8222596516111871</v>
      </c>
      <c r="P196" s="28">
        <f>SUM(Table2[[#This Row],[Likes]],Table2[[#This Row],[Shares]],Table2[[#This Row],[Comments]])</f>
        <v>4313</v>
      </c>
      <c r="Q19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96" s="29">
        <f>Table2[[#This Row],[Net_Engagement]]/Table2[[#This Row],[Total_Budget]]</f>
        <v>2.6956250000000001E-2</v>
      </c>
      <c r="S19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9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96" s="32" t="str">
        <f t="shared" si="6"/>
        <v>During</v>
      </c>
      <c r="V196" s="16">
        <f t="shared" ca="1" si="7"/>
        <v>8.3407252433340435</v>
      </c>
      <c r="W196" s="16">
        <f t="shared" ca="1" si="8"/>
        <v>12.099324933044123</v>
      </c>
      <c r="X196" s="16">
        <f ca="1">(Table1[[#This Row],[Average_During]]-Table1[[#This Row],[Average_Before]])/Table1[[#This Row],[Average_Before]]*100</f>
        <v>45.063223881088447</v>
      </c>
    </row>
    <row r="197" spans="1:24">
      <c r="A197" s="38" t="s">
        <v>174</v>
      </c>
      <c r="B197" s="38" t="s">
        <v>24</v>
      </c>
      <c r="C197" s="39">
        <v>45792</v>
      </c>
      <c r="D197" s="40" t="s">
        <v>15</v>
      </c>
      <c r="E197" s="40" t="s">
        <v>26</v>
      </c>
      <c r="F197" s="40">
        <v>1583</v>
      </c>
      <c r="G197" s="40">
        <v>433</v>
      </c>
      <c r="H197" s="40">
        <v>249</v>
      </c>
      <c r="I197" s="40">
        <v>30256</v>
      </c>
      <c r="J197" s="40">
        <v>47066</v>
      </c>
      <c r="K197" s="40">
        <v>196</v>
      </c>
      <c r="L197" s="38" t="s">
        <v>42</v>
      </c>
      <c r="M197" s="38" t="s">
        <v>381</v>
      </c>
      <c r="N197" s="38" t="s">
        <v>18</v>
      </c>
      <c r="O197" s="41">
        <f>((Posts!$F190+Posts!$G190+Posts!$H190)/Posts!$I190)*100</f>
        <v>11.349824183418363</v>
      </c>
      <c r="P197" s="24">
        <f>SUM(Table2[[#This Row],[Likes]],Table2[[#This Row],[Shares]],Table2[[#This Row],[Comments]])</f>
        <v>2530</v>
      </c>
      <c r="Q19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97" s="25">
        <f>Table2[[#This Row],[Net_Engagement]]/Table2[[#This Row],[Total_Budget]]</f>
        <v>1.265E-2</v>
      </c>
      <c r="S19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9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97" s="32" t="str">
        <f t="shared" si="6"/>
        <v>Before</v>
      </c>
      <c r="V197" s="16">
        <f t="shared" ca="1" si="7"/>
        <v>8.4010183694969705</v>
      </c>
      <c r="W197" s="16">
        <f t="shared" ca="1" si="8"/>
        <v>11.244688666037607</v>
      </c>
      <c r="X197" s="16">
        <f ca="1">(Table1[[#This Row],[Average_During]]-Table1[[#This Row],[Average_Before]])/Table1[[#This Row],[Average_Before]]*100</f>
        <v>33.849114136753258</v>
      </c>
    </row>
    <row r="198" spans="1:24">
      <c r="A198" s="42" t="s">
        <v>34</v>
      </c>
      <c r="B198" s="42" t="s">
        <v>31</v>
      </c>
      <c r="C198" s="43">
        <v>45456</v>
      </c>
      <c r="D198" s="44" t="s">
        <v>15</v>
      </c>
      <c r="E198" s="44" t="s">
        <v>35</v>
      </c>
      <c r="F198" s="44">
        <v>3882</v>
      </c>
      <c r="G198" s="44">
        <v>239</v>
      </c>
      <c r="H198" s="44">
        <v>275</v>
      </c>
      <c r="I198" s="44">
        <v>58748</v>
      </c>
      <c r="J198" s="44">
        <v>44646</v>
      </c>
      <c r="K198" s="44">
        <v>149</v>
      </c>
      <c r="L198" s="42" t="s">
        <v>21</v>
      </c>
      <c r="M198" s="42" t="s">
        <v>380</v>
      </c>
      <c r="N198" s="42" t="s">
        <v>22</v>
      </c>
      <c r="O198" s="45">
        <f>((Posts!$F191+Posts!$G191+Posts!$H191)/Posts!$I191)*100</f>
        <v>9.4251731312692151</v>
      </c>
      <c r="P198" s="28">
        <f>SUM(Table2[[#This Row],[Likes]],Table2[[#This Row],[Shares]],Table2[[#This Row],[Comments]])</f>
        <v>2132</v>
      </c>
      <c r="Q19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198" s="29">
        <f>Table2[[#This Row],[Net_Engagement]]/Table2[[#This Row],[Total_Budget]]</f>
        <v>1.3325E-2</v>
      </c>
      <c r="S19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19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198" s="32" t="str">
        <f t="shared" si="6"/>
        <v>Before</v>
      </c>
      <c r="V198" s="16">
        <f t="shared" ca="1" si="7"/>
        <v>8.7377024695440468</v>
      </c>
      <c r="W198" s="16">
        <f t="shared" ca="1" si="8"/>
        <v>7.101290441735042</v>
      </c>
      <c r="X198" s="16">
        <f ca="1">(Table1[[#This Row],[Average_During]]-Table1[[#This Row],[Average_Before]])/Table1[[#This Row],[Average_Before]]*100</f>
        <v>-18.728172920889083</v>
      </c>
    </row>
    <row r="199" spans="1:24">
      <c r="A199" s="38" t="s">
        <v>47</v>
      </c>
      <c r="B199" s="38" t="s">
        <v>24</v>
      </c>
      <c r="C199" s="39">
        <v>45826</v>
      </c>
      <c r="D199" s="40" t="s">
        <v>25</v>
      </c>
      <c r="E199" s="40" t="s">
        <v>16</v>
      </c>
      <c r="F199" s="40">
        <v>3956</v>
      </c>
      <c r="G199" s="40">
        <v>319</v>
      </c>
      <c r="H199" s="40">
        <v>61</v>
      </c>
      <c r="I199" s="40">
        <v>58162</v>
      </c>
      <c r="J199" s="40">
        <v>28720</v>
      </c>
      <c r="K199" s="40">
        <v>213</v>
      </c>
      <c r="L199" s="38" t="s">
        <v>379</v>
      </c>
      <c r="M199" s="38" t="s">
        <v>42</v>
      </c>
      <c r="N199" s="38" t="s">
        <v>18</v>
      </c>
      <c r="O199" s="41">
        <f>((Posts!$F192+Posts!$G192+Posts!$H192)/Posts!$I192)*100</f>
        <v>10.173025732031943</v>
      </c>
      <c r="P199" s="24">
        <f>SUM(Table2[[#This Row],[Likes]],Table2[[#This Row],[Shares]],Table2[[#This Row],[Comments]])</f>
        <v>1534</v>
      </c>
      <c r="Q19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199" s="25">
        <f>Table2[[#This Row],[Net_Engagement]]/Table2[[#This Row],[Total_Budget]]</f>
        <v>7.6699999999999997E-3</v>
      </c>
      <c r="S19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19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199" s="32" t="str">
        <f t="shared" si="6"/>
        <v>Before</v>
      </c>
      <c r="V199" s="16">
        <f t="shared" ca="1" si="7"/>
        <v>8.6251040064838822</v>
      </c>
      <c r="W199" s="16">
        <f t="shared" ca="1" si="8"/>
        <v>8.2885097869963058</v>
      </c>
      <c r="X199" s="16">
        <f ca="1">(Table1[[#This Row],[Average_During]]-Table1[[#This Row],[Average_Before]])/Table1[[#This Row],[Average_Before]]*100</f>
        <v>-3.9024946161175937</v>
      </c>
    </row>
    <row r="200" spans="1:24">
      <c r="A200" s="42" t="s">
        <v>218</v>
      </c>
      <c r="B200" s="42" t="s">
        <v>14</v>
      </c>
      <c r="C200" s="43">
        <v>45640</v>
      </c>
      <c r="D200" s="44" t="s">
        <v>25</v>
      </c>
      <c r="E200" s="44" t="s">
        <v>49</v>
      </c>
      <c r="F200" s="44">
        <v>3812</v>
      </c>
      <c r="G200" s="44">
        <v>321</v>
      </c>
      <c r="H200" s="44">
        <v>289</v>
      </c>
      <c r="I200" s="44">
        <v>59838</v>
      </c>
      <c r="J200" s="44">
        <v>36337</v>
      </c>
      <c r="K200" s="44">
        <v>161</v>
      </c>
      <c r="L200" s="42" t="s">
        <v>42</v>
      </c>
      <c r="M200" s="42" t="s">
        <v>381</v>
      </c>
      <c r="N200" s="42" t="s">
        <v>55</v>
      </c>
      <c r="O200" s="45">
        <f>((Posts!$F193+Posts!$G193+Posts!$H193)/Posts!$I193)*100</f>
        <v>8.9237069349238851</v>
      </c>
      <c r="P200" s="28">
        <f>SUM(Table2[[#This Row],[Likes]],Table2[[#This Row],[Shares]],Table2[[#This Row],[Comments]])</f>
        <v>4601</v>
      </c>
      <c r="Q20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00" s="29">
        <f>Table2[[#This Row],[Net_Engagement]]/Table2[[#This Row],[Total_Budget]]</f>
        <v>2.3005000000000001E-2</v>
      </c>
      <c r="S20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0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00" s="32" t="str">
        <f t="shared" si="6"/>
        <v>Before</v>
      </c>
      <c r="V200" s="16">
        <f t="shared" ca="1" si="7"/>
        <v>8.6121557005258254</v>
      </c>
      <c r="W200" s="16">
        <f t="shared" ca="1" si="8"/>
        <v>8.260388550358261</v>
      </c>
      <c r="X200" s="16">
        <f ca="1">(Table1[[#This Row],[Average_During]]-Table1[[#This Row],[Average_Before]])/Table1[[#This Row],[Average_Before]]*100</f>
        <v>-4.0845423886854109</v>
      </c>
    </row>
    <row r="201" spans="1:24">
      <c r="A201" s="38" t="s">
        <v>308</v>
      </c>
      <c r="B201" s="38" t="s">
        <v>31</v>
      </c>
      <c r="C201" s="39">
        <v>45368</v>
      </c>
      <c r="D201" s="40" t="s">
        <v>57</v>
      </c>
      <c r="E201" s="40" t="s">
        <v>20</v>
      </c>
      <c r="F201" s="40">
        <v>2692</v>
      </c>
      <c r="G201" s="40">
        <v>446</v>
      </c>
      <c r="H201" s="40">
        <v>216</v>
      </c>
      <c r="I201" s="40">
        <v>45818</v>
      </c>
      <c r="J201" s="40">
        <v>62723</v>
      </c>
      <c r="K201" s="40">
        <v>85</v>
      </c>
      <c r="L201" s="38" t="s">
        <v>21</v>
      </c>
      <c r="M201" s="38" t="s">
        <v>45</v>
      </c>
      <c r="N201" s="38" t="s">
        <v>59</v>
      </c>
      <c r="O201" s="41">
        <f>((Posts!$F194+Posts!$G194+Posts!$H194)/Posts!$I194)*100</f>
        <v>6.5015829941203069</v>
      </c>
      <c r="P201" s="24">
        <f>SUM(Table2[[#This Row],[Likes]],Table2[[#This Row],[Shares]],Table2[[#This Row],[Comments]])</f>
        <v>2547</v>
      </c>
      <c r="Q20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01" s="25">
        <f>Table2[[#This Row],[Net_Engagement]]/Table2[[#This Row],[Total_Budget]]</f>
        <v>1.2735E-2</v>
      </c>
      <c r="S20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0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01" s="32" t="str">
        <f t="shared" si="6"/>
        <v>Before</v>
      </c>
      <c r="V201" s="16">
        <f t="shared" ca="1" si="7"/>
        <v>8.6752449645078435</v>
      </c>
      <c r="W201" s="16">
        <f t="shared" ca="1" si="8"/>
        <v>7.5317898427340459</v>
      </c>
      <c r="X201" s="16">
        <f ca="1">(Table1[[#This Row],[Average_During]]-Table1[[#This Row],[Average_Before]])/Table1[[#This Row],[Average_Before]]*100</f>
        <v>-13.18066667225998</v>
      </c>
    </row>
    <row r="202" spans="1:24">
      <c r="A202" s="42" t="s">
        <v>120</v>
      </c>
      <c r="B202" s="42" t="s">
        <v>14</v>
      </c>
      <c r="C202" s="43">
        <v>45825</v>
      </c>
      <c r="D202" s="44" t="s">
        <v>15</v>
      </c>
      <c r="E202" s="44" t="s">
        <v>32</v>
      </c>
      <c r="F202" s="44">
        <v>2284</v>
      </c>
      <c r="G202" s="44">
        <v>187</v>
      </c>
      <c r="H202" s="44">
        <v>260</v>
      </c>
      <c r="I202" s="44">
        <v>37400</v>
      </c>
      <c r="J202" s="44">
        <v>65014</v>
      </c>
      <c r="K202" s="44">
        <v>157</v>
      </c>
      <c r="L202" s="42" t="s">
        <v>45</v>
      </c>
      <c r="M202" s="42" t="s">
        <v>42</v>
      </c>
      <c r="N202" s="42" t="s">
        <v>18</v>
      </c>
      <c r="O202" s="45">
        <f>((Posts!$F195+Posts!$G195+Posts!$H195)/Posts!$I195)*100</f>
        <v>5.6436966727204192</v>
      </c>
      <c r="P202" s="28">
        <f>SUM(Table2[[#This Row],[Likes]],Table2[[#This Row],[Shares]],Table2[[#This Row],[Comments]])</f>
        <v>2233</v>
      </c>
      <c r="Q20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02" s="29">
        <f>Table2[[#This Row],[Net_Engagement]]/Table2[[#This Row],[Total_Budget]]</f>
        <v>1.1165E-2</v>
      </c>
      <c r="S20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0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02" s="32" t="str">
        <f t="shared" ref="U202:U265" si="9">IF(AND(C202&gt;=$S$9,C202&lt;=$T$9),"During","Before")</f>
        <v>Before</v>
      </c>
      <c r="V202" s="16">
        <f t="shared" ref="V202:V265" ca="1" si="10">AVERAGEIF($U$9:$U$308,"Before",O202)</f>
        <v>8.7530493146790622</v>
      </c>
      <c r="W202" s="16">
        <f t="shared" ref="W202:W265" ca="1" si="11">IFERROR(AVERAGEIF($U$9:$U$308,"During",O202),0)</f>
        <v>6.9261049153571879</v>
      </c>
      <c r="X202" s="16">
        <f ca="1">(Table1[[#This Row],[Average_During]]-Table1[[#This Row],[Average_Before]])/Table1[[#This Row],[Average_Before]]*100</f>
        <v>-20.872090783928833</v>
      </c>
    </row>
    <row r="203" spans="1:24">
      <c r="A203" s="38" t="s">
        <v>222</v>
      </c>
      <c r="B203" s="38" t="s">
        <v>14</v>
      </c>
      <c r="C203" s="39">
        <v>45370</v>
      </c>
      <c r="D203" s="40" t="s">
        <v>15</v>
      </c>
      <c r="E203" s="40" t="s">
        <v>49</v>
      </c>
      <c r="F203" s="40">
        <v>2878</v>
      </c>
      <c r="G203" s="40">
        <v>278</v>
      </c>
      <c r="H203" s="40">
        <v>255</v>
      </c>
      <c r="I203" s="40">
        <v>47235</v>
      </c>
      <c r="J203" s="40">
        <v>57922</v>
      </c>
      <c r="K203" s="40">
        <v>112</v>
      </c>
      <c r="L203" s="38" t="s">
        <v>45</v>
      </c>
      <c r="M203" s="38" t="s">
        <v>42</v>
      </c>
      <c r="N203" s="38" t="s">
        <v>18</v>
      </c>
      <c r="O203" s="41">
        <f>((Posts!$F196+Posts!$G196+Posts!$H196)/Posts!$I196)*100</f>
        <v>10.713930842607313</v>
      </c>
      <c r="P203" s="24">
        <f>SUM(Table2[[#This Row],[Likes]],Table2[[#This Row],[Shares]],Table2[[#This Row],[Comments]])</f>
        <v>2687</v>
      </c>
      <c r="Q20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03" s="25">
        <f>Table2[[#This Row],[Net_Engagement]]/Table2[[#This Row],[Total_Budget]]</f>
        <v>1.3435000000000001E-2</v>
      </c>
      <c r="S20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0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03" s="32" t="str">
        <f t="shared" si="9"/>
        <v>Before</v>
      </c>
      <c r="V203" s="16">
        <f t="shared" ca="1" si="10"/>
        <v>8.7014315659357866</v>
      </c>
      <c r="W203" s="16">
        <f t="shared" ca="1" si="11"/>
        <v>7.8279131675856677</v>
      </c>
      <c r="X203" s="16">
        <f ca="1">(Table1[[#This Row],[Average_During]]-Table1[[#This Row],[Average_Before]])/Table1[[#This Row],[Average_Before]]*100</f>
        <v>-10.038789499531935</v>
      </c>
    </row>
    <row r="204" spans="1:24">
      <c r="A204" s="42" t="s">
        <v>187</v>
      </c>
      <c r="B204" s="42" t="s">
        <v>24</v>
      </c>
      <c r="C204" s="43">
        <v>45312</v>
      </c>
      <c r="D204" s="44" t="s">
        <v>25</v>
      </c>
      <c r="E204" s="44" t="s">
        <v>16</v>
      </c>
      <c r="F204" s="44">
        <v>2383</v>
      </c>
      <c r="G204" s="44">
        <v>136</v>
      </c>
      <c r="H204" s="44">
        <v>302</v>
      </c>
      <c r="I204" s="44">
        <v>39187</v>
      </c>
      <c r="J204" s="44">
        <v>22133</v>
      </c>
      <c r="K204" s="44">
        <v>208</v>
      </c>
      <c r="L204" s="42" t="s">
        <v>379</v>
      </c>
      <c r="M204" s="42" t="s">
        <v>42</v>
      </c>
      <c r="N204" s="42" t="s">
        <v>18</v>
      </c>
      <c r="O204" s="45">
        <f>((Posts!$F197+Posts!$G197+Posts!$H197)/Posts!$I197)*100</f>
        <v>5.1833640647408314</v>
      </c>
      <c r="P204" s="28">
        <f>SUM(Table2[[#This Row],[Likes]],Table2[[#This Row],[Shares]],Table2[[#This Row],[Comments]])</f>
        <v>2561</v>
      </c>
      <c r="Q20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04" s="29">
        <f>Table2[[#This Row],[Net_Engagement]]/Table2[[#This Row],[Total_Budget]]</f>
        <v>1.600625E-2</v>
      </c>
      <c r="S20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0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04" s="32" t="str">
        <f t="shared" si="9"/>
        <v>Before</v>
      </c>
      <c r="V204" s="16">
        <f t="shared" ca="1" si="10"/>
        <v>8.5124415595430083</v>
      </c>
      <c r="W204" s="16">
        <f t="shared" ca="1" si="11"/>
        <v>9.6201955383673781</v>
      </c>
      <c r="X204" s="16">
        <f ca="1">(Table1[[#This Row],[Average_During]]-Table1[[#This Row],[Average_Before]])/Table1[[#This Row],[Average_Before]]*100</f>
        <v>13.013351939932022</v>
      </c>
    </row>
    <row r="205" spans="1:24">
      <c r="A205" s="38" t="s">
        <v>287</v>
      </c>
      <c r="B205" s="38" t="s">
        <v>24</v>
      </c>
      <c r="C205" s="39">
        <v>45551</v>
      </c>
      <c r="D205" s="40" t="s">
        <v>25</v>
      </c>
      <c r="E205" s="40" t="s">
        <v>51</v>
      </c>
      <c r="F205" s="40">
        <v>3300</v>
      </c>
      <c r="G205" s="40">
        <v>354</v>
      </c>
      <c r="H205" s="40">
        <v>397</v>
      </c>
      <c r="I205" s="40">
        <v>56773</v>
      </c>
      <c r="J205" s="40">
        <v>72110</v>
      </c>
      <c r="K205" s="40">
        <v>163</v>
      </c>
      <c r="L205" s="38" t="s">
        <v>21</v>
      </c>
      <c r="M205" s="38" t="s">
        <v>379</v>
      </c>
      <c r="N205" s="38" t="s">
        <v>18</v>
      </c>
      <c r="O205" s="41">
        <f>((Posts!$F198+Posts!$G198+Posts!$H198)/Posts!$I198)*100</f>
        <v>3.5821698002251456</v>
      </c>
      <c r="P205" s="24">
        <f>SUM(Table2[[#This Row],[Likes]],Table2[[#This Row],[Shares]],Table2[[#This Row],[Comments]])</f>
        <v>4627</v>
      </c>
      <c r="Q20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05" s="25">
        <f>Table2[[#This Row],[Net_Engagement]]/Table2[[#This Row],[Total_Budget]]</f>
        <v>2.3134999999999999E-2</v>
      </c>
      <c r="S20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0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05" s="32" t="str">
        <f t="shared" si="9"/>
        <v>Before</v>
      </c>
      <c r="V205" s="16">
        <f t="shared" ca="1" si="10"/>
        <v>8.8402751477828438</v>
      </c>
      <c r="W205" s="16">
        <f t="shared" ca="1" si="11"/>
        <v>6.5296273841471137</v>
      </c>
      <c r="X205" s="16">
        <f ca="1">(Table1[[#This Row],[Average_During]]-Table1[[#This Row],[Average_Before]])/Table1[[#This Row],[Average_Before]]*100</f>
        <v>-26.137735817139635</v>
      </c>
    </row>
    <row r="206" spans="1:24">
      <c r="A206" s="42" t="s">
        <v>247</v>
      </c>
      <c r="B206" s="42" t="s">
        <v>24</v>
      </c>
      <c r="C206" s="43">
        <v>45387</v>
      </c>
      <c r="D206" s="44" t="s">
        <v>25</v>
      </c>
      <c r="E206" s="44" t="s">
        <v>29</v>
      </c>
      <c r="F206" s="44">
        <v>2857</v>
      </c>
      <c r="G206" s="44">
        <v>443</v>
      </c>
      <c r="H206" s="44">
        <v>359</v>
      </c>
      <c r="I206" s="44">
        <v>51519</v>
      </c>
      <c r="J206" s="44">
        <v>28256</v>
      </c>
      <c r="K206" s="44">
        <v>155</v>
      </c>
      <c r="L206" s="42" t="s">
        <v>45</v>
      </c>
      <c r="M206" s="42" t="s">
        <v>42</v>
      </c>
      <c r="N206" s="42" t="s">
        <v>18</v>
      </c>
      <c r="O206" s="45">
        <f>((Posts!$F199+Posts!$G199+Posts!$H199)/Posts!$I199)*100</f>
        <v>3.5034029141734799</v>
      </c>
      <c r="P206" s="28">
        <f>SUM(Table2[[#This Row],[Likes]],Table2[[#This Row],[Shares]],Table2[[#This Row],[Comments]])</f>
        <v>4227</v>
      </c>
      <c r="Q20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06" s="29">
        <f>Table2[[#This Row],[Net_Engagement]]/Table2[[#This Row],[Total_Budget]]</f>
        <v>2.6418750000000001E-2</v>
      </c>
      <c r="S20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0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06" s="32" t="str">
        <f t="shared" si="9"/>
        <v>Before</v>
      </c>
      <c r="V206" s="16">
        <f t="shared" ca="1" si="10"/>
        <v>8.5179646035921071</v>
      </c>
      <c r="W206" s="16">
        <f t="shared" ca="1" si="11"/>
        <v>10.480215884312367</v>
      </c>
      <c r="X206" s="16">
        <f ca="1">(Table1[[#This Row],[Average_During]]-Table1[[#This Row],[Average_Before]])/Table1[[#This Row],[Average_Before]]*100</f>
        <v>23.036621681813042</v>
      </c>
    </row>
    <row r="207" spans="1:24">
      <c r="A207" s="38" t="s">
        <v>219</v>
      </c>
      <c r="B207" s="38" t="s">
        <v>24</v>
      </c>
      <c r="C207" s="39">
        <v>45615</v>
      </c>
      <c r="D207" s="40" t="s">
        <v>15</v>
      </c>
      <c r="E207" s="40" t="s">
        <v>20</v>
      </c>
      <c r="F207" s="40">
        <v>2387</v>
      </c>
      <c r="G207" s="40">
        <v>353</v>
      </c>
      <c r="H207" s="40">
        <v>78</v>
      </c>
      <c r="I207" s="40">
        <v>39745</v>
      </c>
      <c r="J207" s="40">
        <v>69226</v>
      </c>
      <c r="K207" s="40">
        <v>208</v>
      </c>
      <c r="L207" s="38" t="s">
        <v>45</v>
      </c>
      <c r="M207" s="38" t="s">
        <v>381</v>
      </c>
      <c r="N207" s="38" t="s">
        <v>22</v>
      </c>
      <c r="O207" s="41">
        <f>((Posts!$F200+Posts!$G200+Posts!$H200)/Posts!$I200)*100</f>
        <v>13.946227759085811</v>
      </c>
      <c r="P207" s="24">
        <f>SUM(Table2[[#This Row],[Likes]],Table2[[#This Row],[Shares]],Table2[[#This Row],[Comments]])</f>
        <v>4593</v>
      </c>
      <c r="Q20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07" s="25">
        <f>Table2[[#This Row],[Net_Engagement]]/Table2[[#This Row],[Total_Budget]]</f>
        <v>2.2964999999999999E-2</v>
      </c>
      <c r="S20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0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07" s="32" t="str">
        <f t="shared" si="9"/>
        <v>Before</v>
      </c>
      <c r="V207" s="16">
        <f t="shared" ca="1" si="10"/>
        <v>8.6524344744818045</v>
      </c>
      <c r="W207" s="16">
        <f t="shared" ca="1" si="11"/>
        <v>9.6478674061653251</v>
      </c>
      <c r="X207" s="16">
        <f ca="1">(Table1[[#This Row],[Average_During]]-Table1[[#This Row],[Average_Before]])/Table1[[#This Row],[Average_Before]]*100</f>
        <v>11.504657268648513</v>
      </c>
    </row>
    <row r="208" spans="1:24">
      <c r="A208" s="42" t="s">
        <v>166</v>
      </c>
      <c r="B208" s="42" t="s">
        <v>24</v>
      </c>
      <c r="C208" s="43">
        <v>45295</v>
      </c>
      <c r="D208" s="44" t="s">
        <v>25</v>
      </c>
      <c r="E208" s="44" t="s">
        <v>35</v>
      </c>
      <c r="F208" s="44">
        <v>3208</v>
      </c>
      <c r="G208" s="44">
        <v>476</v>
      </c>
      <c r="H208" s="44">
        <v>277</v>
      </c>
      <c r="I208" s="44">
        <v>56072</v>
      </c>
      <c r="J208" s="44">
        <v>21061</v>
      </c>
      <c r="K208" s="44">
        <v>113</v>
      </c>
      <c r="L208" s="42" t="s">
        <v>379</v>
      </c>
      <c r="M208" s="42" t="s">
        <v>42</v>
      </c>
      <c r="N208" s="42" t="s">
        <v>18</v>
      </c>
      <c r="O208" s="45">
        <f>((Posts!$F201+Posts!$G201+Posts!$H201)/Posts!$I201)*100</f>
        <v>4.5247823769763729</v>
      </c>
      <c r="P208" s="28">
        <f>SUM(Table2[[#This Row],[Likes]],Table2[[#This Row],[Shares]],Table2[[#This Row],[Comments]])</f>
        <v>3659</v>
      </c>
      <c r="Q20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08" s="29">
        <f>Table2[[#This Row],[Net_Engagement]]/Table2[[#This Row],[Total_Budget]]</f>
        <v>1.8294999999999999E-2</v>
      </c>
      <c r="S20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0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08" s="32" t="str">
        <f t="shared" si="9"/>
        <v>Before</v>
      </c>
      <c r="V208" s="16">
        <f t="shared" ca="1" si="10"/>
        <v>8.6957028700049204</v>
      </c>
      <c r="W208" s="16">
        <f t="shared" ca="1" si="11"/>
        <v>8.6075772640940507</v>
      </c>
      <c r="X208" s="16">
        <f ca="1">(Table1[[#This Row],[Average_During]]-Table1[[#This Row],[Average_Before]])/Table1[[#This Row],[Average_Before]]*100</f>
        <v>-1.0134385595769539</v>
      </c>
    </row>
    <row r="209" spans="1:24">
      <c r="A209" s="38" t="s">
        <v>181</v>
      </c>
      <c r="B209" s="38" t="s">
        <v>31</v>
      </c>
      <c r="C209" s="39">
        <v>45566</v>
      </c>
      <c r="D209" s="40" t="s">
        <v>57</v>
      </c>
      <c r="E209" s="40" t="s">
        <v>20</v>
      </c>
      <c r="F209" s="40">
        <v>3543</v>
      </c>
      <c r="G209" s="40">
        <v>334</v>
      </c>
      <c r="H209" s="40">
        <v>218</v>
      </c>
      <c r="I209" s="40">
        <v>58007</v>
      </c>
      <c r="J209" s="40">
        <v>24792</v>
      </c>
      <c r="K209" s="40">
        <v>273</v>
      </c>
      <c r="L209" s="38" t="s">
        <v>21</v>
      </c>
      <c r="M209" s="38" t="s">
        <v>45</v>
      </c>
      <c r="N209" s="38" t="s">
        <v>59</v>
      </c>
      <c r="O209" s="41">
        <f>((Posts!$F202+Posts!$G202+Posts!$H202)/Posts!$I202)*100</f>
        <v>6.2974139146620036</v>
      </c>
      <c r="P209" s="24">
        <f>SUM(Table2[[#This Row],[Likes]],Table2[[#This Row],[Shares]],Table2[[#This Row],[Comments]])</f>
        <v>2132</v>
      </c>
      <c r="Q20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09" s="25">
        <f>Table2[[#This Row],[Net_Engagement]]/Table2[[#This Row],[Total_Budget]]</f>
        <v>1.3325E-2</v>
      </c>
      <c r="S20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0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09" s="32" t="str">
        <f t="shared" si="9"/>
        <v>Before</v>
      </c>
      <c r="V209" s="16">
        <f t="shared" ca="1" si="10"/>
        <v>8.6411061661453026</v>
      </c>
      <c r="W209" s="16">
        <f t="shared" ca="1" si="11"/>
        <v>9.7568044201081996</v>
      </c>
      <c r="X209" s="16">
        <f ca="1">(Table1[[#This Row],[Average_During]]-Table1[[#This Row],[Average_Before]])/Table1[[#This Row],[Average_Before]]*100</f>
        <v>12.911521193132119</v>
      </c>
    </row>
    <row r="210" spans="1:24">
      <c r="A210" s="42" t="s">
        <v>23</v>
      </c>
      <c r="B210" s="42" t="s">
        <v>24</v>
      </c>
      <c r="C210" s="43">
        <v>45629</v>
      </c>
      <c r="D210" s="44" t="s">
        <v>25</v>
      </c>
      <c r="E210" s="44" t="s">
        <v>26</v>
      </c>
      <c r="F210" s="44">
        <v>3092</v>
      </c>
      <c r="G210" s="44">
        <v>177</v>
      </c>
      <c r="H210" s="44">
        <v>81</v>
      </c>
      <c r="I210" s="44">
        <v>47533</v>
      </c>
      <c r="J210" s="44">
        <v>29220</v>
      </c>
      <c r="K210" s="44">
        <v>121</v>
      </c>
      <c r="L210" s="42" t="s">
        <v>379</v>
      </c>
      <c r="M210" s="42" t="s">
        <v>42</v>
      </c>
      <c r="N210" s="42" t="s">
        <v>18</v>
      </c>
      <c r="O210" s="45">
        <f>((Posts!$F203+Posts!$G203+Posts!$H203)/Posts!$I203)*100</f>
        <v>10.784235029699792</v>
      </c>
      <c r="P210" s="28">
        <f>SUM(Table2[[#This Row],[Likes]],Table2[[#This Row],[Shares]],Table2[[#This Row],[Comments]])</f>
        <v>3397</v>
      </c>
      <c r="Q21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10" s="29">
        <f>Table2[[#This Row],[Net_Engagement]]/Table2[[#This Row],[Total_Budget]]</f>
        <v>1.6985E-2</v>
      </c>
      <c r="S21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1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10" s="32" t="str">
        <f t="shared" si="9"/>
        <v>Before</v>
      </c>
      <c r="V210" s="16">
        <f t="shared" ca="1" si="10"/>
        <v>8.8408165929392393</v>
      </c>
      <c r="W210" s="16">
        <f t="shared" ca="1" si="11"/>
        <v>7.7780598467625675</v>
      </c>
      <c r="X210" s="16">
        <f ca="1">(Table1[[#This Row],[Average_During]]-Table1[[#This Row],[Average_Before]])/Table1[[#This Row],[Average_Before]]*100</f>
        <v>-12.021024698390956</v>
      </c>
    </row>
    <row r="211" spans="1:24">
      <c r="A211" s="38" t="s">
        <v>69</v>
      </c>
      <c r="B211" s="38" t="s">
        <v>24</v>
      </c>
      <c r="C211" s="39">
        <v>45734</v>
      </c>
      <c r="D211" s="40" t="s">
        <v>25</v>
      </c>
      <c r="E211" s="40" t="s">
        <v>20</v>
      </c>
      <c r="F211" s="40">
        <v>3418</v>
      </c>
      <c r="G211" s="40">
        <v>188</v>
      </c>
      <c r="H211" s="40">
        <v>387</v>
      </c>
      <c r="I211" s="40">
        <v>57431</v>
      </c>
      <c r="J211" s="40">
        <v>36933</v>
      </c>
      <c r="K211" s="40">
        <v>202</v>
      </c>
      <c r="L211" s="38" t="s">
        <v>379</v>
      </c>
      <c r="M211" s="38" t="s">
        <v>42</v>
      </c>
      <c r="N211" s="38" t="s">
        <v>18</v>
      </c>
      <c r="O211" s="41">
        <f>((Posts!$F204+Posts!$G204+Posts!$H204)/Posts!$I204)*100</f>
        <v>8.269025862904007</v>
      </c>
      <c r="P211" s="24">
        <f>SUM(Table2[[#This Row],[Likes]],Table2[[#This Row],[Shares]],Table2[[#This Row],[Comments]])</f>
        <v>1611</v>
      </c>
      <c r="Q21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11" s="25">
        <f>Table2[[#This Row],[Net_Engagement]]/Table2[[#This Row],[Total_Budget]]</f>
        <v>8.0549999999999997E-3</v>
      </c>
      <c r="S21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1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11" s="32" t="str">
        <f t="shared" si="9"/>
        <v>Before</v>
      </c>
      <c r="V211" s="16">
        <f t="shared" ca="1" si="10"/>
        <v>8.7837284284372767</v>
      </c>
      <c r="W211" s="16">
        <f t="shared" ca="1" si="11"/>
        <v>8.1773743928145812</v>
      </c>
      <c r="X211" s="16">
        <f ca="1">(Table1[[#This Row],[Average_During]]-Table1[[#This Row],[Average_Before]])/Table1[[#This Row],[Average_Before]]*100</f>
        <v>-6.9031509860849907</v>
      </c>
    </row>
    <row r="212" spans="1:24">
      <c r="A212" s="42" t="s">
        <v>191</v>
      </c>
      <c r="B212" s="42" t="s">
        <v>14</v>
      </c>
      <c r="C212" s="43">
        <v>45516</v>
      </c>
      <c r="D212" s="44" t="s">
        <v>25</v>
      </c>
      <c r="E212" s="44" t="s">
        <v>16</v>
      </c>
      <c r="F212" s="44">
        <v>2962</v>
      </c>
      <c r="G212" s="44">
        <v>400</v>
      </c>
      <c r="H212" s="44">
        <v>280</v>
      </c>
      <c r="I212" s="44">
        <v>52508</v>
      </c>
      <c r="J212" s="44">
        <v>58329</v>
      </c>
      <c r="K212" s="44">
        <v>219</v>
      </c>
      <c r="L212" s="42" t="s">
        <v>42</v>
      </c>
      <c r="M212" s="42" t="s">
        <v>381</v>
      </c>
      <c r="N212" s="42" t="s">
        <v>55</v>
      </c>
      <c r="O212" s="45">
        <f>((Posts!$F205+Posts!$G205+Posts!$H205)/Posts!$I205)*100</f>
        <v>9.7836889180216957</v>
      </c>
      <c r="P212" s="28">
        <f>SUM(Table2[[#This Row],[Likes]],Table2[[#This Row],[Shares]],Table2[[#This Row],[Comments]])</f>
        <v>1529</v>
      </c>
      <c r="Q21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12" s="29">
        <f>Table2[[#This Row],[Net_Engagement]]/Table2[[#This Row],[Total_Budget]]</f>
        <v>7.6449999999999999E-3</v>
      </c>
      <c r="S21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1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12" s="32" t="str">
        <f t="shared" si="9"/>
        <v>Before</v>
      </c>
      <c r="V212" s="16">
        <f t="shared" ca="1" si="10"/>
        <v>8.6000111646974275</v>
      </c>
      <c r="W212" s="16">
        <f t="shared" ca="1" si="11"/>
        <v>10.285566772612038</v>
      </c>
      <c r="X212" s="16">
        <f ca="1">(Table1[[#This Row],[Average_During]]-Table1[[#This Row],[Average_Before]])/Table1[[#This Row],[Average_Before]]*100</f>
        <v>19.59945836853937</v>
      </c>
    </row>
    <row r="213" spans="1:24">
      <c r="A213" s="38" t="s">
        <v>139</v>
      </c>
      <c r="B213" s="38" t="s">
        <v>24</v>
      </c>
      <c r="C213" s="39">
        <v>45580</v>
      </c>
      <c r="D213" s="40" t="s">
        <v>15</v>
      </c>
      <c r="E213" s="40" t="s">
        <v>29</v>
      </c>
      <c r="F213" s="40">
        <v>1984</v>
      </c>
      <c r="G213" s="40">
        <v>481</v>
      </c>
      <c r="H213" s="40">
        <v>356</v>
      </c>
      <c r="I213" s="40">
        <v>40681</v>
      </c>
      <c r="J213" s="40">
        <v>63111</v>
      </c>
      <c r="K213" s="40">
        <v>258</v>
      </c>
      <c r="L213" s="38" t="s">
        <v>42</v>
      </c>
      <c r="M213" s="38" t="s">
        <v>381</v>
      </c>
      <c r="N213" s="38" t="s">
        <v>18</v>
      </c>
      <c r="O213" s="41">
        <f>((Posts!$F206+Posts!$G206+Posts!$H206)/Posts!$I206)*100</f>
        <v>7.7428927315357567</v>
      </c>
      <c r="P213" s="24">
        <f>SUM(Table2[[#This Row],[Likes]],Table2[[#This Row],[Shares]],Table2[[#This Row],[Comments]])</f>
        <v>2190</v>
      </c>
      <c r="Q21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13" s="25">
        <f>Table2[[#This Row],[Net_Engagement]]/Table2[[#This Row],[Total_Budget]]</f>
        <v>1.095E-2</v>
      </c>
      <c r="S21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1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13" s="32" t="str">
        <f t="shared" si="9"/>
        <v>Before</v>
      </c>
      <c r="V213" s="16">
        <f t="shared" ca="1" si="10"/>
        <v>8.8232596025071199</v>
      </c>
      <c r="W213" s="16">
        <f t="shared" ca="1" si="11"/>
        <v>7.6818742375398994</v>
      </c>
      <c r="X213" s="16">
        <f ca="1">(Table1[[#This Row],[Average_During]]-Table1[[#This Row],[Average_Before]])/Table1[[#This Row],[Average_Before]]*100</f>
        <v>-12.93609636786497</v>
      </c>
    </row>
    <row r="214" spans="1:24">
      <c r="A214" s="42" t="s">
        <v>301</v>
      </c>
      <c r="B214" s="42" t="s">
        <v>24</v>
      </c>
      <c r="C214" s="43">
        <v>45612</v>
      </c>
      <c r="D214" s="44" t="s">
        <v>15</v>
      </c>
      <c r="E214" s="44" t="s">
        <v>49</v>
      </c>
      <c r="F214" s="44">
        <v>2972</v>
      </c>
      <c r="G214" s="44">
        <v>263</v>
      </c>
      <c r="H214" s="44">
        <v>308</v>
      </c>
      <c r="I214" s="44">
        <v>51740</v>
      </c>
      <c r="J214" s="44">
        <v>28214</v>
      </c>
      <c r="K214" s="44">
        <v>190</v>
      </c>
      <c r="L214" s="42" t="s">
        <v>45</v>
      </c>
      <c r="M214" s="42" t="s">
        <v>381</v>
      </c>
      <c r="N214" s="42" t="s">
        <v>22</v>
      </c>
      <c r="O214" s="45">
        <f>((Posts!$F207+Posts!$G207+Posts!$H207)/Posts!$I207)*100</f>
        <v>7.9782521843353189</v>
      </c>
      <c r="P214" s="28">
        <f>SUM(Table2[[#This Row],[Likes]],Table2[[#This Row],[Shares]],Table2[[#This Row],[Comments]])</f>
        <v>5700</v>
      </c>
      <c r="Q21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214" s="29">
        <f>Table2[[#This Row],[Net_Engagement]]/Table2[[#This Row],[Total_Budget]]</f>
        <v>2.5333333333333333E-2</v>
      </c>
      <c r="S21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21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214" s="32" t="str">
        <f t="shared" si="9"/>
        <v>Before</v>
      </c>
      <c r="V214" s="16">
        <f t="shared" ca="1" si="10"/>
        <v>8.7402767319344665</v>
      </c>
      <c r="W214" s="16">
        <f t="shared" ca="1" si="11"/>
        <v>8.7193588138889293</v>
      </c>
      <c r="X214" s="16">
        <f ca="1">(Table1[[#This Row],[Average_During]]-Table1[[#This Row],[Average_Before]])/Table1[[#This Row],[Average_Before]]*100</f>
        <v>-0.23932786898049971</v>
      </c>
    </row>
    <row r="215" spans="1:24">
      <c r="A215" s="38" t="s">
        <v>271</v>
      </c>
      <c r="B215" s="38" t="s">
        <v>14</v>
      </c>
      <c r="C215" s="39">
        <v>45379</v>
      </c>
      <c r="D215" s="40" t="s">
        <v>15</v>
      </c>
      <c r="E215" s="40" t="s">
        <v>35</v>
      </c>
      <c r="F215" s="40">
        <v>1673</v>
      </c>
      <c r="G215" s="40">
        <v>280</v>
      </c>
      <c r="H215" s="40">
        <v>67</v>
      </c>
      <c r="I215" s="40">
        <v>29847</v>
      </c>
      <c r="J215" s="40">
        <v>48016</v>
      </c>
      <c r="K215" s="40">
        <v>213</v>
      </c>
      <c r="L215" s="38" t="s">
        <v>45</v>
      </c>
      <c r="M215" s="38" t="s">
        <v>42</v>
      </c>
      <c r="N215" s="38" t="s">
        <v>18</v>
      </c>
      <c r="O215" s="41">
        <f>((Posts!$F208+Posts!$G208+Posts!$H208)/Posts!$I208)*100</f>
        <v>7.102234127215203</v>
      </c>
      <c r="P215" s="24">
        <f>SUM(Table2[[#This Row],[Likes]],Table2[[#This Row],[Shares]],Table2[[#This Row],[Comments]])</f>
        <v>2899</v>
      </c>
      <c r="Q21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15" s="25">
        <f>Table2[[#This Row],[Net_Engagement]]/Table2[[#This Row],[Total_Budget]]</f>
        <v>1.8118749999999999E-2</v>
      </c>
      <c r="S21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1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15" s="32" t="str">
        <f t="shared" si="9"/>
        <v>Before</v>
      </c>
      <c r="V215" s="16">
        <f t="shared" ca="1" si="10"/>
        <v>8.8447931093718886</v>
      </c>
      <c r="W215" s="16">
        <f t="shared" ca="1" si="11"/>
        <v>7.6910608248865469</v>
      </c>
      <c r="X215" s="16">
        <f ca="1">(Table1[[#This Row],[Average_During]]-Table1[[#This Row],[Average_Before]])/Table1[[#This Row],[Average_Before]]*100</f>
        <v>-13.044197532024281</v>
      </c>
    </row>
    <row r="216" spans="1:24">
      <c r="A216" s="42" t="s">
        <v>143</v>
      </c>
      <c r="B216" s="42" t="s">
        <v>14</v>
      </c>
      <c r="C216" s="43">
        <v>45336</v>
      </c>
      <c r="D216" s="44" t="s">
        <v>15</v>
      </c>
      <c r="E216" s="44" t="s">
        <v>32</v>
      </c>
      <c r="F216" s="44">
        <v>1830</v>
      </c>
      <c r="G216" s="44">
        <v>112</v>
      </c>
      <c r="H216" s="44">
        <v>181</v>
      </c>
      <c r="I216" s="44">
        <v>31870</v>
      </c>
      <c r="J216" s="44">
        <v>55742</v>
      </c>
      <c r="K216" s="44">
        <v>263</v>
      </c>
      <c r="L216" s="42" t="s">
        <v>45</v>
      </c>
      <c r="M216" s="42" t="s">
        <v>42</v>
      </c>
      <c r="N216" s="42" t="s">
        <v>18</v>
      </c>
      <c r="O216" s="45">
        <f>((Posts!$F209+Posts!$G209+Posts!$H209)/Posts!$I209)*100</f>
        <v>3.9319108127547353</v>
      </c>
      <c r="P216" s="28">
        <f>SUM(Table2[[#This Row],[Likes]],Table2[[#This Row],[Shares]],Table2[[#This Row],[Comments]])</f>
        <v>3105</v>
      </c>
      <c r="Q21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16" s="29">
        <f>Table2[[#This Row],[Net_Engagement]]/Table2[[#This Row],[Total_Budget]]</f>
        <v>1.940625E-2</v>
      </c>
      <c r="S21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1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16" s="32" t="str">
        <f t="shared" si="9"/>
        <v>Before</v>
      </c>
      <c r="V216" s="16">
        <f t="shared" ca="1" si="10"/>
        <v>8.9484983922451296</v>
      </c>
      <c r="W216" s="16">
        <f t="shared" ca="1" si="11"/>
        <v>6.8070120671279462</v>
      </c>
      <c r="X216" s="16">
        <f ca="1">(Table1[[#This Row],[Average_During]]-Table1[[#This Row],[Average_Before]])/Table1[[#This Row],[Average_Before]]*100</f>
        <v>-23.931236630416336</v>
      </c>
    </row>
    <row r="217" spans="1:24">
      <c r="A217" s="38" t="s">
        <v>318</v>
      </c>
      <c r="B217" s="38" t="s">
        <v>14</v>
      </c>
      <c r="C217" s="39">
        <v>45628</v>
      </c>
      <c r="D217" s="40" t="s">
        <v>15</v>
      </c>
      <c r="E217" s="40" t="s">
        <v>41</v>
      </c>
      <c r="F217" s="40">
        <v>3194</v>
      </c>
      <c r="G217" s="40">
        <v>292</v>
      </c>
      <c r="H217" s="40">
        <v>245</v>
      </c>
      <c r="I217" s="40">
        <v>56371</v>
      </c>
      <c r="J217" s="40">
        <v>65597</v>
      </c>
      <c r="K217" s="40">
        <v>163</v>
      </c>
      <c r="L217" s="38" t="s">
        <v>45</v>
      </c>
      <c r="M217" s="38" t="s">
        <v>42</v>
      </c>
      <c r="N217" s="38" t="s">
        <v>18</v>
      </c>
      <c r="O217" s="41">
        <f>((Posts!$F210+Posts!$G210+Posts!$H210)/Posts!$I210)*100</f>
        <v>7.7181741758116917</v>
      </c>
      <c r="P217" s="24">
        <f>SUM(Table2[[#This Row],[Likes]],Table2[[#This Row],[Shares]],Table2[[#This Row],[Comments]])</f>
        <v>2150</v>
      </c>
      <c r="Q21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17" s="25">
        <f>Table2[[#This Row],[Net_Engagement]]/Table2[[#This Row],[Total_Budget]]</f>
        <v>1.34375E-2</v>
      </c>
      <c r="S21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1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17" s="32" t="str">
        <f t="shared" si="9"/>
        <v>Before</v>
      </c>
      <c r="V217" s="16">
        <f t="shared" ca="1" si="10"/>
        <v>8.8334146087756586</v>
      </c>
      <c r="W217" s="16">
        <f t="shared" ca="1" si="11"/>
        <v>8.6424652409936744</v>
      </c>
      <c r="X217" s="16">
        <f ca="1">(Table1[[#This Row],[Average_During]]-Table1[[#This Row],[Average_Before]])/Table1[[#This Row],[Average_Before]]*100</f>
        <v>-2.1616710665010941</v>
      </c>
    </row>
    <row r="218" spans="1:24">
      <c r="A218" s="42" t="s">
        <v>313</v>
      </c>
      <c r="B218" s="42" t="s">
        <v>24</v>
      </c>
      <c r="C218" s="43">
        <v>45334</v>
      </c>
      <c r="D218" s="44" t="s">
        <v>15</v>
      </c>
      <c r="E218" s="44" t="s">
        <v>20</v>
      </c>
      <c r="F218" s="44">
        <v>2691</v>
      </c>
      <c r="G218" s="44">
        <v>486</v>
      </c>
      <c r="H218" s="44">
        <v>206</v>
      </c>
      <c r="I218" s="44">
        <v>51133</v>
      </c>
      <c r="J218" s="44">
        <v>44583</v>
      </c>
      <c r="K218" s="44">
        <v>276</v>
      </c>
      <c r="L218" s="42" t="s">
        <v>42</v>
      </c>
      <c r="M218" s="42" t="s">
        <v>381</v>
      </c>
      <c r="N218" s="42" t="s">
        <v>18</v>
      </c>
      <c r="O218" s="45">
        <f>((Posts!$F211+Posts!$G211+Posts!$H211)/Posts!$I211)*100</f>
        <v>3.4110398272247981</v>
      </c>
      <c r="P218" s="28">
        <f>SUM(Table2[[#This Row],[Likes]],Table2[[#This Row],[Shares]],Table2[[#This Row],[Comments]])</f>
        <v>2466</v>
      </c>
      <c r="Q21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18" s="29">
        <f>Table2[[#This Row],[Net_Engagement]]/Table2[[#This Row],[Total_Budget]]</f>
        <v>1.2330000000000001E-2</v>
      </c>
      <c r="S21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1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18" s="32" t="str">
        <f t="shared" si="9"/>
        <v>Before</v>
      </c>
      <c r="V218" s="16">
        <f t="shared" ca="1" si="10"/>
        <v>8.6199707305914686</v>
      </c>
      <c r="W218" s="16">
        <f t="shared" ca="1" si="11"/>
        <v>11.335833359944241</v>
      </c>
      <c r="X218" s="16">
        <f ca="1">(Table1[[#This Row],[Average_During]]-Table1[[#This Row],[Average_Before]])/Table1[[#This Row],[Average_Before]]*100</f>
        <v>31.506634004155377</v>
      </c>
    </row>
    <row r="219" spans="1:24">
      <c r="A219" s="38" t="s">
        <v>233</v>
      </c>
      <c r="B219" s="38" t="s">
        <v>31</v>
      </c>
      <c r="C219" s="39">
        <v>45447</v>
      </c>
      <c r="D219" s="40" t="s">
        <v>57</v>
      </c>
      <c r="E219" s="40" t="s">
        <v>29</v>
      </c>
      <c r="F219" s="40">
        <v>1211</v>
      </c>
      <c r="G219" s="40">
        <v>431</v>
      </c>
      <c r="H219" s="40">
        <v>83</v>
      </c>
      <c r="I219" s="40">
        <v>26532</v>
      </c>
      <c r="J219" s="40">
        <v>47305</v>
      </c>
      <c r="K219" s="40">
        <v>232</v>
      </c>
      <c r="L219" s="38" t="s">
        <v>21</v>
      </c>
      <c r="M219" s="38" t="s">
        <v>45</v>
      </c>
      <c r="N219" s="38" t="s">
        <v>59</v>
      </c>
      <c r="O219" s="41">
        <f>((Posts!$F212+Posts!$G212+Posts!$H212)/Posts!$I212)*100</f>
        <v>3.1623578076525334</v>
      </c>
      <c r="P219" s="24">
        <f>SUM(Table2[[#This Row],[Likes]],Table2[[#This Row],[Shares]],Table2[[#This Row],[Comments]])</f>
        <v>4911</v>
      </c>
      <c r="Q21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19" s="25">
        <f>Table2[[#This Row],[Net_Engagement]]/Table2[[#This Row],[Total_Budget]]</f>
        <v>2.4555E-2</v>
      </c>
      <c r="S21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1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19" s="32" t="str">
        <f t="shared" si="9"/>
        <v>Before</v>
      </c>
      <c r="V219" s="16">
        <f t="shared" ca="1" si="10"/>
        <v>8.9409410901485682</v>
      </c>
      <c r="W219" s="16">
        <f t="shared" ca="1" si="11"/>
        <v>8.2741749399624318</v>
      </c>
      <c r="X219" s="16">
        <f ca="1">(Table1[[#This Row],[Average_During]]-Table1[[#This Row],[Average_Before]])/Table1[[#This Row],[Average_Before]]*100</f>
        <v>-7.4574493161665272</v>
      </c>
    </row>
    <row r="220" spans="1:24">
      <c r="A220" s="42" t="s">
        <v>275</v>
      </c>
      <c r="B220" s="42" t="s">
        <v>31</v>
      </c>
      <c r="C220" s="43">
        <v>45542</v>
      </c>
      <c r="D220" s="44" t="s">
        <v>15</v>
      </c>
      <c r="E220" s="44" t="s">
        <v>51</v>
      </c>
      <c r="F220" s="44">
        <v>2101</v>
      </c>
      <c r="G220" s="44">
        <v>411</v>
      </c>
      <c r="H220" s="44">
        <v>190</v>
      </c>
      <c r="I220" s="44">
        <v>41791</v>
      </c>
      <c r="J220" s="44">
        <v>57090</v>
      </c>
      <c r="K220" s="44">
        <v>172</v>
      </c>
      <c r="L220" s="42" t="s">
        <v>21</v>
      </c>
      <c r="M220" s="42" t="s">
        <v>380</v>
      </c>
      <c r="N220" s="42" t="s">
        <v>22</v>
      </c>
      <c r="O220" s="45">
        <f>((Posts!$F213+Posts!$G213+Posts!$H213)/Posts!$I213)*100</f>
        <v>4.0153279184466735</v>
      </c>
      <c r="P220" s="28">
        <f>SUM(Table2[[#This Row],[Likes]],Table2[[#This Row],[Shares]],Table2[[#This Row],[Comments]])</f>
        <v>2354</v>
      </c>
      <c r="Q22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20" s="29">
        <f>Table2[[#This Row],[Net_Engagement]]/Table2[[#This Row],[Total_Budget]]</f>
        <v>1.47125E-2</v>
      </c>
      <c r="S22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2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20" s="32" t="str">
        <f t="shared" si="9"/>
        <v>Before</v>
      </c>
      <c r="V220" s="16">
        <f t="shared" ca="1" si="10"/>
        <v>8.6824945326835312</v>
      </c>
      <c r="W220" s="16">
        <f t="shared" ca="1" si="11"/>
        <v>12.127203653480864</v>
      </c>
      <c r="X220" s="16">
        <f ca="1">(Table1[[#This Row],[Average_During]]-Table1[[#This Row],[Average_Before]])/Table1[[#This Row],[Average_Before]]*100</f>
        <v>39.674187041873822</v>
      </c>
    </row>
    <row r="221" spans="1:24">
      <c r="A221" s="38" t="s">
        <v>56</v>
      </c>
      <c r="B221" s="38" t="s">
        <v>31</v>
      </c>
      <c r="C221" s="39">
        <v>45458</v>
      </c>
      <c r="D221" s="40" t="s">
        <v>57</v>
      </c>
      <c r="E221" s="40" t="s">
        <v>37</v>
      </c>
      <c r="F221" s="40">
        <v>1751</v>
      </c>
      <c r="G221" s="40">
        <v>143</v>
      </c>
      <c r="H221" s="40">
        <v>151</v>
      </c>
      <c r="I221" s="40">
        <v>31826</v>
      </c>
      <c r="J221" s="40">
        <v>47729</v>
      </c>
      <c r="K221" s="40">
        <v>95</v>
      </c>
      <c r="L221" s="38" t="s">
        <v>21</v>
      </c>
      <c r="M221" s="38" t="s">
        <v>45</v>
      </c>
      <c r="N221" s="38" t="s">
        <v>59</v>
      </c>
      <c r="O221" s="41">
        <f>((Posts!$F214+Posts!$G214+Posts!$H214)/Posts!$I214)*100</f>
        <v>17.995832544042432</v>
      </c>
      <c r="P221" s="24">
        <f>SUM(Table2[[#This Row],[Likes]],Table2[[#This Row],[Shares]],Table2[[#This Row],[Comments]])</f>
        <v>3084</v>
      </c>
      <c r="Q22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21" s="25">
        <f>Table2[[#This Row],[Net_Engagement]]/Table2[[#This Row],[Total_Budget]]</f>
        <v>1.9275E-2</v>
      </c>
      <c r="S22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2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21" s="32" t="str">
        <f t="shared" si="9"/>
        <v>Before</v>
      </c>
      <c r="V221" s="16">
        <f t="shared" ca="1" si="10"/>
        <v>8.8860204002432841</v>
      </c>
      <c r="W221" s="16">
        <f t="shared" ca="1" si="11"/>
        <v>10.438856702323291</v>
      </c>
      <c r="X221" s="16">
        <f ca="1">(Table1[[#This Row],[Average_During]]-Table1[[#This Row],[Average_Before]])/Table1[[#This Row],[Average_Before]]*100</f>
        <v>17.475047683184393</v>
      </c>
    </row>
    <row r="222" spans="1:24">
      <c r="A222" s="42" t="s">
        <v>133</v>
      </c>
      <c r="B222" s="42" t="s">
        <v>14</v>
      </c>
      <c r="C222" s="43">
        <v>45351</v>
      </c>
      <c r="D222" s="44" t="s">
        <v>15</v>
      </c>
      <c r="E222" s="44" t="s">
        <v>49</v>
      </c>
      <c r="F222" s="44">
        <v>1100</v>
      </c>
      <c r="G222" s="44">
        <v>229</v>
      </c>
      <c r="H222" s="44">
        <v>312</v>
      </c>
      <c r="I222" s="44">
        <v>25641</v>
      </c>
      <c r="J222" s="44">
        <v>34601</v>
      </c>
      <c r="K222" s="44">
        <v>169</v>
      </c>
      <c r="L222" s="42" t="s">
        <v>21</v>
      </c>
      <c r="M222" s="42" t="s">
        <v>381</v>
      </c>
      <c r="N222" s="42" t="s">
        <v>22</v>
      </c>
      <c r="O222" s="45">
        <f>((Posts!$F215+Posts!$G215+Posts!$H215)/Posts!$I215)*100</f>
        <v>12.555218709398009</v>
      </c>
      <c r="P222" s="28">
        <f>SUM(Table2[[#This Row],[Likes]],Table2[[#This Row],[Shares]],Table2[[#This Row],[Comments]])</f>
        <v>3336</v>
      </c>
      <c r="Q22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22" s="29">
        <f>Table2[[#This Row],[Net_Engagement]]/Table2[[#This Row],[Total_Budget]]</f>
        <v>1.668E-2</v>
      </c>
      <c r="S22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2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22" s="32" t="str">
        <f t="shared" si="9"/>
        <v>Before</v>
      </c>
      <c r="V222" s="16">
        <f t="shared" ca="1" si="10"/>
        <v>8.7474484952141047</v>
      </c>
      <c r="W222" s="16">
        <f t="shared" ca="1" si="11"/>
        <v>10.721133882114028</v>
      </c>
      <c r="X222" s="16">
        <f ca="1">(Table1[[#This Row],[Average_During]]-Table1[[#This Row],[Average_Before]])/Table1[[#This Row],[Average_Before]]*100</f>
        <v>22.562983800130564</v>
      </c>
    </row>
    <row r="223" spans="1:24">
      <c r="A223" s="38" t="s">
        <v>76</v>
      </c>
      <c r="B223" s="38" t="s">
        <v>14</v>
      </c>
      <c r="C223" s="39">
        <v>45416</v>
      </c>
      <c r="D223" s="40" t="s">
        <v>15</v>
      </c>
      <c r="E223" s="40" t="s">
        <v>29</v>
      </c>
      <c r="F223" s="40">
        <v>2274</v>
      </c>
      <c r="G223" s="40">
        <v>243</v>
      </c>
      <c r="H223" s="40">
        <v>222</v>
      </c>
      <c r="I223" s="40">
        <v>43066</v>
      </c>
      <c r="J223" s="40">
        <v>59174</v>
      </c>
      <c r="K223" s="40">
        <v>80</v>
      </c>
      <c r="L223" s="38" t="s">
        <v>21</v>
      </c>
      <c r="M223" s="38" t="s">
        <v>381</v>
      </c>
      <c r="N223" s="38" t="s">
        <v>22</v>
      </c>
      <c r="O223" s="41">
        <f>((Posts!$F216+Posts!$G216+Posts!$H216)/Posts!$I216)*100</f>
        <v>8.2744836775483019</v>
      </c>
      <c r="P223" s="24">
        <f>SUM(Table2[[#This Row],[Likes]],Table2[[#This Row],[Shares]],Table2[[#This Row],[Comments]])</f>
        <v>3877</v>
      </c>
      <c r="Q22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23" s="25">
        <f>Table2[[#This Row],[Net_Engagement]]/Table2[[#This Row],[Total_Budget]]</f>
        <v>1.9384999999999999E-2</v>
      </c>
      <c r="S22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2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23" s="32" t="str">
        <f t="shared" si="9"/>
        <v>Before</v>
      </c>
      <c r="V223" s="16">
        <f t="shared" ca="1" si="10"/>
        <v>8.7685287800944813</v>
      </c>
      <c r="W223" s="16">
        <f t="shared" ca="1" si="11"/>
        <v>9.939260636437794</v>
      </c>
      <c r="X223" s="16">
        <f ca="1">(Table1[[#This Row],[Average_During]]-Table1[[#This Row],[Average_Before]])/Table1[[#This Row],[Average_Before]]*100</f>
        <v>13.351519801143857</v>
      </c>
    </row>
    <row r="224" spans="1:24">
      <c r="A224" s="42" t="s">
        <v>241</v>
      </c>
      <c r="B224" s="42" t="s">
        <v>24</v>
      </c>
      <c r="C224" s="43">
        <v>45547</v>
      </c>
      <c r="D224" s="44" t="s">
        <v>25</v>
      </c>
      <c r="E224" s="44" t="s">
        <v>29</v>
      </c>
      <c r="F224" s="44">
        <v>1839</v>
      </c>
      <c r="G224" s="44">
        <v>223</v>
      </c>
      <c r="H224" s="44">
        <v>171</v>
      </c>
      <c r="I224" s="44">
        <v>35459</v>
      </c>
      <c r="J224" s="44">
        <v>69988</v>
      </c>
      <c r="K224" s="44">
        <v>114</v>
      </c>
      <c r="L224" s="42" t="s">
        <v>379</v>
      </c>
      <c r="M224" s="42" t="s">
        <v>42</v>
      </c>
      <c r="N224" s="42" t="s">
        <v>18</v>
      </c>
      <c r="O224" s="45">
        <f>((Posts!$F217+Posts!$G217+Posts!$H217)/Posts!$I217)*100</f>
        <v>5.2041730205988426</v>
      </c>
      <c r="P224" s="28">
        <f>SUM(Table2[[#This Row],[Likes]],Table2[[#This Row],[Shares]],Table2[[#This Row],[Comments]])</f>
        <v>1591</v>
      </c>
      <c r="Q22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24" s="29">
        <f>Table2[[#This Row],[Net_Engagement]]/Table2[[#This Row],[Total_Budget]]</f>
        <v>9.9437499999999995E-3</v>
      </c>
      <c r="S22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2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24" s="32" t="str">
        <f t="shared" si="9"/>
        <v>Before</v>
      </c>
      <c r="V224" s="16">
        <f t="shared" ca="1" si="10"/>
        <v>8.8305714982335246</v>
      </c>
      <c r="W224" s="16">
        <f t="shared" ca="1" si="11"/>
        <v>9.3185053632521715</v>
      </c>
      <c r="X224" s="16">
        <f ca="1">(Table1[[#This Row],[Average_During]]-Table1[[#This Row],[Average_Before]])/Table1[[#This Row],[Average_Before]]*100</f>
        <v>5.5255072122597459</v>
      </c>
    </row>
    <row r="225" spans="1:24">
      <c r="A225" s="38" t="s">
        <v>224</v>
      </c>
      <c r="B225" s="38" t="s">
        <v>24</v>
      </c>
      <c r="C225" s="39">
        <v>45486</v>
      </c>
      <c r="D225" s="40" t="s">
        <v>25</v>
      </c>
      <c r="E225" s="40" t="s">
        <v>37</v>
      </c>
      <c r="F225" s="40">
        <v>2408</v>
      </c>
      <c r="G225" s="40">
        <v>323</v>
      </c>
      <c r="H225" s="40">
        <v>251</v>
      </c>
      <c r="I225" s="40">
        <v>47599</v>
      </c>
      <c r="J225" s="40">
        <v>35543</v>
      </c>
      <c r="K225" s="40">
        <v>287</v>
      </c>
      <c r="L225" s="38" t="s">
        <v>379</v>
      </c>
      <c r="M225" s="38" t="s">
        <v>42</v>
      </c>
      <c r="N225" s="38" t="s">
        <v>18</v>
      </c>
      <c r="O225" s="41">
        <f>((Posts!$F218+Posts!$G218+Posts!$H218)/Posts!$I218)*100</f>
        <v>9.4450189589796612</v>
      </c>
      <c r="P225" s="24">
        <f>SUM(Table2[[#This Row],[Likes]],Table2[[#This Row],[Shares]],Table2[[#This Row],[Comments]])</f>
        <v>5036</v>
      </c>
      <c r="Q22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25" s="25">
        <f>Table2[[#This Row],[Net_Engagement]]/Table2[[#This Row],[Total_Budget]]</f>
        <v>2.5180000000000001E-2</v>
      </c>
      <c r="S22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2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25" s="32" t="str">
        <f t="shared" si="9"/>
        <v>Before</v>
      </c>
      <c r="V225" s="16">
        <f t="shared" ca="1" si="10"/>
        <v>8.6953572248784088</v>
      </c>
      <c r="W225" s="16">
        <f t="shared" ca="1" si="11"/>
        <v>11.323919295534861</v>
      </c>
      <c r="X225" s="16">
        <f ca="1">(Table1[[#This Row],[Average_During]]-Table1[[#This Row],[Average_Before]])/Table1[[#This Row],[Average_Before]]*100</f>
        <v>30.229489170793766</v>
      </c>
    </row>
    <row r="226" spans="1:24">
      <c r="A226" s="42" t="s">
        <v>145</v>
      </c>
      <c r="B226" s="42" t="s">
        <v>24</v>
      </c>
      <c r="C226" s="43">
        <v>45553</v>
      </c>
      <c r="D226" s="44" t="s">
        <v>15</v>
      </c>
      <c r="E226" s="44" t="s">
        <v>16</v>
      </c>
      <c r="F226" s="44">
        <v>2878</v>
      </c>
      <c r="G226" s="44">
        <v>265</v>
      </c>
      <c r="H226" s="44">
        <v>91</v>
      </c>
      <c r="I226" s="44">
        <v>52090</v>
      </c>
      <c r="J226" s="44">
        <v>28924</v>
      </c>
      <c r="K226" s="44">
        <v>133</v>
      </c>
      <c r="L226" s="42" t="s">
        <v>42</v>
      </c>
      <c r="M226" s="42" t="s">
        <v>381</v>
      </c>
      <c r="N226" s="42" t="s">
        <v>18</v>
      </c>
      <c r="O226" s="45">
        <f>((Posts!$F219+Posts!$G219+Posts!$H219)/Posts!$I219)*100</f>
        <v>12.409349336702464</v>
      </c>
      <c r="P226" s="28">
        <f>SUM(Table2[[#This Row],[Likes]],Table2[[#This Row],[Shares]],Table2[[#This Row],[Comments]])</f>
        <v>2136</v>
      </c>
      <c r="Q22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26" s="29">
        <f>Table2[[#This Row],[Net_Engagement]]/Table2[[#This Row],[Total_Budget]]</f>
        <v>1.3350000000000001E-2</v>
      </c>
      <c r="S22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2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26" s="32" t="str">
        <f t="shared" si="9"/>
        <v>Before</v>
      </c>
      <c r="V226" s="16">
        <f t="shared" ca="1" si="10"/>
        <v>8.9202855296545369</v>
      </c>
      <c r="W226" s="16">
        <f t="shared" ca="1" si="11"/>
        <v>8.7747460245224023</v>
      </c>
      <c r="X226" s="16">
        <f ca="1">(Table1[[#This Row],[Average_During]]-Table1[[#This Row],[Average_Before]])/Table1[[#This Row],[Average_Before]]*100</f>
        <v>-1.6315565757206325</v>
      </c>
    </row>
    <row r="227" spans="1:24">
      <c r="A227" s="38" t="s">
        <v>307</v>
      </c>
      <c r="B227" s="38" t="s">
        <v>31</v>
      </c>
      <c r="C227" s="39">
        <v>45604</v>
      </c>
      <c r="D227" s="40" t="s">
        <v>15</v>
      </c>
      <c r="E227" s="40" t="s">
        <v>41</v>
      </c>
      <c r="F227" s="40">
        <v>2471</v>
      </c>
      <c r="G227" s="40">
        <v>166</v>
      </c>
      <c r="H227" s="40">
        <v>320</v>
      </c>
      <c r="I227" s="40">
        <v>48254</v>
      </c>
      <c r="J227" s="40">
        <v>46900</v>
      </c>
      <c r="K227" s="40">
        <v>111</v>
      </c>
      <c r="L227" s="38" t="s">
        <v>21</v>
      </c>
      <c r="M227" s="38" t="s">
        <v>380</v>
      </c>
      <c r="N227" s="38" t="s">
        <v>22</v>
      </c>
      <c r="O227" s="41">
        <f>((Posts!$F220+Posts!$G220+Posts!$H220)/Posts!$I220)*100</f>
        <v>4.5610431884675746</v>
      </c>
      <c r="P227" s="24">
        <f>SUM(Table2[[#This Row],[Likes]],Table2[[#This Row],[Shares]],Table2[[#This Row],[Comments]])</f>
        <v>2885</v>
      </c>
      <c r="Q22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27" s="25">
        <f>Table2[[#This Row],[Net_Engagement]]/Table2[[#This Row],[Total_Budget]]</f>
        <v>1.4425E-2</v>
      </c>
      <c r="S22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2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27" s="32" t="str">
        <f t="shared" si="9"/>
        <v>Before</v>
      </c>
      <c r="V227" s="16">
        <f t="shared" ca="1" si="10"/>
        <v>8.753902125917886</v>
      </c>
      <c r="W227" s="16">
        <f t="shared" ca="1" si="11"/>
        <v>10.058987663551095</v>
      </c>
      <c r="X227" s="16">
        <f ca="1">(Table1[[#This Row],[Average_During]]-Table1[[#This Row],[Average_Before]])/Table1[[#This Row],[Average_Before]]*100</f>
        <v>14.908614682464993</v>
      </c>
    </row>
    <row r="228" spans="1:24">
      <c r="A228" s="42" t="s">
        <v>127</v>
      </c>
      <c r="B228" s="42" t="s">
        <v>24</v>
      </c>
      <c r="C228" s="43">
        <v>45405</v>
      </c>
      <c r="D228" s="44" t="s">
        <v>25</v>
      </c>
      <c r="E228" s="44" t="s">
        <v>16</v>
      </c>
      <c r="F228" s="44">
        <v>2683</v>
      </c>
      <c r="G228" s="44">
        <v>496</v>
      </c>
      <c r="H228" s="44">
        <v>89</v>
      </c>
      <c r="I228" s="44">
        <v>53435</v>
      </c>
      <c r="J228" s="44">
        <v>30334</v>
      </c>
      <c r="K228" s="44">
        <v>160</v>
      </c>
      <c r="L228" s="42" t="s">
        <v>45</v>
      </c>
      <c r="M228" s="42" t="s">
        <v>42</v>
      </c>
      <c r="N228" s="42" t="s">
        <v>18</v>
      </c>
      <c r="O228" s="45">
        <f>((Posts!$F221+Posts!$G221+Posts!$H221)/Posts!$I221)*100</f>
        <v>8.0371103929948919</v>
      </c>
      <c r="P228" s="28">
        <f>SUM(Table2[[#This Row],[Likes]],Table2[[#This Row],[Shares]],Table2[[#This Row],[Comments]])</f>
        <v>4585</v>
      </c>
      <c r="Q22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28" s="29">
        <f>Table2[[#This Row],[Net_Engagement]]/Table2[[#This Row],[Total_Budget]]</f>
        <v>2.8656250000000001E-2</v>
      </c>
      <c r="S22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2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28" s="32" t="str">
        <f t="shared" si="9"/>
        <v>Before</v>
      </c>
      <c r="V228" s="16">
        <f t="shared" ca="1" si="10"/>
        <v>9.0432627045338609</v>
      </c>
      <c r="W228" s="16">
        <f t="shared" ca="1" si="11"/>
        <v>7.5990128235322825</v>
      </c>
      <c r="X228" s="16">
        <f ca="1">(Table1[[#This Row],[Average_During]]-Table1[[#This Row],[Average_Before]])/Table1[[#This Row],[Average_Before]]*100</f>
        <v>-15.970451464132523</v>
      </c>
    </row>
    <row r="229" spans="1:24">
      <c r="A229" s="38" t="s">
        <v>338</v>
      </c>
      <c r="B229" s="38" t="s">
        <v>24</v>
      </c>
      <c r="C229" s="39">
        <v>45838</v>
      </c>
      <c r="D229" s="40" t="s">
        <v>15</v>
      </c>
      <c r="E229" s="40" t="s">
        <v>35</v>
      </c>
      <c r="F229" s="40">
        <v>2275</v>
      </c>
      <c r="G229" s="40">
        <v>285</v>
      </c>
      <c r="H229" s="40">
        <v>125</v>
      </c>
      <c r="I229" s="40">
        <v>43970</v>
      </c>
      <c r="J229" s="40">
        <v>74761</v>
      </c>
      <c r="K229" s="40">
        <v>83</v>
      </c>
      <c r="L229" s="38" t="s">
        <v>42</v>
      </c>
      <c r="M229" s="38" t="s">
        <v>381</v>
      </c>
      <c r="N229" s="38" t="s">
        <v>18</v>
      </c>
      <c r="O229" s="41">
        <f>((Posts!$F222+Posts!$G222+Posts!$H222)/Posts!$I222)*100</f>
        <v>12.71002400274317</v>
      </c>
      <c r="P229" s="24">
        <f>SUM(Table2[[#This Row],[Likes]],Table2[[#This Row],[Shares]],Table2[[#This Row],[Comments]])</f>
        <v>1821</v>
      </c>
      <c r="Q22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29" s="25">
        <f>Table2[[#This Row],[Net_Engagement]]/Table2[[#This Row],[Total_Budget]]</f>
        <v>1.0405714285714285E-2</v>
      </c>
      <c r="S22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2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29" s="32" t="str">
        <f t="shared" si="9"/>
        <v>Before</v>
      </c>
      <c r="V229" s="16">
        <f t="shared" ca="1" si="10"/>
        <v>8.5128494393901715</v>
      </c>
      <c r="W229" s="16">
        <f t="shared" ca="1" si="11"/>
        <v>13.27420149025059</v>
      </c>
      <c r="X229" s="16">
        <f ca="1">(Table1[[#This Row],[Average_During]]-Table1[[#This Row],[Average_Before]])/Table1[[#This Row],[Average_Before]]*100</f>
        <v>55.931355120988769</v>
      </c>
    </row>
    <row r="230" spans="1:24">
      <c r="A230" s="42" t="s">
        <v>184</v>
      </c>
      <c r="B230" s="42" t="s">
        <v>14</v>
      </c>
      <c r="C230" s="43">
        <v>45702</v>
      </c>
      <c r="D230" s="44" t="s">
        <v>15</v>
      </c>
      <c r="E230" s="44" t="s">
        <v>16</v>
      </c>
      <c r="F230" s="44">
        <v>2329</v>
      </c>
      <c r="G230" s="44">
        <v>373</v>
      </c>
      <c r="H230" s="44">
        <v>291</v>
      </c>
      <c r="I230" s="44">
        <v>49577</v>
      </c>
      <c r="J230" s="44">
        <v>28002</v>
      </c>
      <c r="K230" s="44">
        <v>82</v>
      </c>
      <c r="L230" s="42" t="s">
        <v>45</v>
      </c>
      <c r="M230" s="42" t="s">
        <v>42</v>
      </c>
      <c r="N230" s="42" t="s">
        <v>18</v>
      </c>
      <c r="O230" s="45">
        <f>((Posts!$F223+Posts!$G223+Posts!$H223)/Posts!$I223)*100</f>
        <v>8.6602037169406714</v>
      </c>
      <c r="P230" s="28">
        <f>SUM(Table2[[#This Row],[Likes]],Table2[[#This Row],[Shares]],Table2[[#This Row],[Comments]])</f>
        <v>5228</v>
      </c>
      <c r="Q23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30" s="29">
        <f>Table2[[#This Row],[Net_Engagement]]/Table2[[#This Row],[Total_Budget]]</f>
        <v>3.2675000000000003E-2</v>
      </c>
      <c r="S23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3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30" s="32" t="str">
        <f t="shared" si="9"/>
        <v>Before</v>
      </c>
      <c r="V230" s="16">
        <f t="shared" ca="1" si="10"/>
        <v>9.2720316848334203</v>
      </c>
      <c r="W230" s="16">
        <f t="shared" ca="1" si="11"/>
        <v>4.8658734566410482</v>
      </c>
      <c r="X230" s="16">
        <f ca="1">(Table1[[#This Row],[Average_During]]-Table1[[#This Row],[Average_Before]])/Table1[[#This Row],[Average_Before]]*100</f>
        <v>-47.520957412167562</v>
      </c>
    </row>
    <row r="231" spans="1:24">
      <c r="A231" s="38" t="s">
        <v>125</v>
      </c>
      <c r="B231" s="38" t="s">
        <v>14</v>
      </c>
      <c r="C231" s="39">
        <v>45522</v>
      </c>
      <c r="D231" s="40" t="s">
        <v>15</v>
      </c>
      <c r="E231" s="40" t="s">
        <v>20</v>
      </c>
      <c r="F231" s="40">
        <v>2965</v>
      </c>
      <c r="G231" s="40">
        <v>328</v>
      </c>
      <c r="H231" s="40">
        <v>171</v>
      </c>
      <c r="I231" s="40">
        <v>57685</v>
      </c>
      <c r="J231" s="40">
        <v>67536</v>
      </c>
      <c r="K231" s="40">
        <v>264</v>
      </c>
      <c r="L231" s="38" t="s">
        <v>45</v>
      </c>
      <c r="M231" s="38" t="s">
        <v>42</v>
      </c>
      <c r="N231" s="38" t="s">
        <v>18</v>
      </c>
      <c r="O231" s="41">
        <f>((Posts!$F224+Posts!$G224+Posts!$H224)/Posts!$I224)*100</f>
        <v>2.9336922849977873</v>
      </c>
      <c r="P231" s="24">
        <f>SUM(Table2[[#This Row],[Likes]],Table2[[#This Row],[Shares]],Table2[[#This Row],[Comments]])</f>
        <v>2358</v>
      </c>
      <c r="Q23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31" s="25">
        <f>Table2[[#This Row],[Net_Engagement]]/Table2[[#This Row],[Total_Budget]]</f>
        <v>1.4737500000000001E-2</v>
      </c>
      <c r="S23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3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31" s="32" t="str">
        <f t="shared" si="9"/>
        <v>Before</v>
      </c>
      <c r="V231" s="16">
        <f t="shared" ca="1" si="10"/>
        <v>8.8342218187472437</v>
      </c>
      <c r="W231" s="16">
        <f t="shared" ca="1" si="11"/>
        <v>9.3939203794998036</v>
      </c>
      <c r="X231" s="16">
        <f ca="1">(Table1[[#This Row],[Average_During]]-Table1[[#This Row],[Average_Before]])/Table1[[#This Row],[Average_Before]]*100</f>
        <v>6.3355728691893916</v>
      </c>
    </row>
    <row r="232" spans="1:24">
      <c r="A232" s="42" t="s">
        <v>337</v>
      </c>
      <c r="B232" s="42" t="s">
        <v>24</v>
      </c>
      <c r="C232" s="43">
        <v>45612</v>
      </c>
      <c r="D232" s="44" t="s">
        <v>15</v>
      </c>
      <c r="E232" s="44" t="s">
        <v>20</v>
      </c>
      <c r="F232" s="44">
        <v>2901</v>
      </c>
      <c r="G232" s="44">
        <v>108</v>
      </c>
      <c r="H232" s="44">
        <v>86</v>
      </c>
      <c r="I232" s="44">
        <v>51777</v>
      </c>
      <c r="J232" s="44">
        <v>23773</v>
      </c>
      <c r="K232" s="44">
        <v>160</v>
      </c>
      <c r="L232" s="42" t="s">
        <v>45</v>
      </c>
      <c r="M232" s="42" t="s">
        <v>381</v>
      </c>
      <c r="N232" s="42" t="s">
        <v>22</v>
      </c>
      <c r="O232" s="45">
        <f>((Posts!$F225+Posts!$G225+Posts!$H225)/Posts!$I225)*100</f>
        <v>11.126822801590809</v>
      </c>
      <c r="P232" s="28">
        <f>SUM(Table2[[#This Row],[Likes]],Table2[[#This Row],[Shares]],Table2[[#This Row],[Comments]])</f>
        <v>2020</v>
      </c>
      <c r="Q23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32" s="29">
        <f>Table2[[#This Row],[Net_Engagement]]/Table2[[#This Row],[Total_Budget]]</f>
        <v>1.01E-2</v>
      </c>
      <c r="S23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3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32" s="32" t="str">
        <f t="shared" si="9"/>
        <v>Before</v>
      </c>
      <c r="V232" s="16">
        <f t="shared" ca="1" si="10"/>
        <v>9.0048029139744585</v>
      </c>
      <c r="W232" s="16">
        <f t="shared" ca="1" si="11"/>
        <v>8.5310422177632805</v>
      </c>
      <c r="X232" s="16">
        <f ca="1">(Table1[[#This Row],[Average_During]]-Table1[[#This Row],[Average_Before]])/Table1[[#This Row],[Average_Before]]*100</f>
        <v>-5.2612000588702923</v>
      </c>
    </row>
    <row r="233" spans="1:24">
      <c r="A233" s="38" t="s">
        <v>194</v>
      </c>
      <c r="B233" s="38" t="s">
        <v>14</v>
      </c>
      <c r="C233" s="39">
        <v>45615</v>
      </c>
      <c r="D233" s="40" t="s">
        <v>15</v>
      </c>
      <c r="E233" s="40" t="s">
        <v>35</v>
      </c>
      <c r="F233" s="40">
        <v>2525</v>
      </c>
      <c r="G233" s="40">
        <v>272</v>
      </c>
      <c r="H233" s="40">
        <v>294</v>
      </c>
      <c r="I233" s="40">
        <v>51875</v>
      </c>
      <c r="J233" s="40">
        <v>24732</v>
      </c>
      <c r="K233" s="40">
        <v>92</v>
      </c>
      <c r="L233" s="38" t="s">
        <v>21</v>
      </c>
      <c r="M233" s="38" t="s">
        <v>381</v>
      </c>
      <c r="N233" s="38" t="s">
        <v>22</v>
      </c>
      <c r="O233" s="41">
        <f>((Posts!$F226+Posts!$G226+Posts!$H226)/Posts!$I226)*100</f>
        <v>5.2566815966924256</v>
      </c>
      <c r="P233" s="24">
        <f>SUM(Table2[[#This Row],[Likes]],Table2[[#This Row],[Shares]],Table2[[#This Row],[Comments]])</f>
        <v>4900</v>
      </c>
      <c r="Q23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33" s="25">
        <f>Table2[[#This Row],[Net_Engagement]]/Table2[[#This Row],[Total_Budget]]</f>
        <v>3.0624999999999999E-2</v>
      </c>
      <c r="S23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3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33" s="32" t="str">
        <f t="shared" si="9"/>
        <v>Before</v>
      </c>
      <c r="V233" s="16">
        <f t="shared" ca="1" si="10"/>
        <v>8.9508127531267458</v>
      </c>
      <c r="W233" s="16">
        <f t="shared" ca="1" si="11"/>
        <v>8.7600852478884264</v>
      </c>
      <c r="X233" s="16">
        <f ca="1">(Table1[[#This Row],[Average_During]]-Table1[[#This Row],[Average_Before]])/Table1[[#This Row],[Average_Before]]*100</f>
        <v>-2.1308400756310486</v>
      </c>
    </row>
    <row r="234" spans="1:24">
      <c r="A234" s="42" t="s">
        <v>122</v>
      </c>
      <c r="B234" s="42" t="s">
        <v>14</v>
      </c>
      <c r="C234" s="43">
        <v>45530</v>
      </c>
      <c r="D234" s="44" t="s">
        <v>15</v>
      </c>
      <c r="E234" s="44" t="s">
        <v>51</v>
      </c>
      <c r="F234" s="44">
        <v>2102</v>
      </c>
      <c r="G234" s="44">
        <v>181</v>
      </c>
      <c r="H234" s="44">
        <v>306</v>
      </c>
      <c r="I234" s="44">
        <v>43650</v>
      </c>
      <c r="J234" s="44">
        <v>50079</v>
      </c>
      <c r="K234" s="44">
        <v>182</v>
      </c>
      <c r="L234" s="42" t="s">
        <v>21</v>
      </c>
      <c r="M234" s="42" t="s">
        <v>381</v>
      </c>
      <c r="N234" s="42" t="s">
        <v>22</v>
      </c>
      <c r="O234" s="45">
        <f>((Posts!$F227+Posts!$G227+Posts!$H227)/Posts!$I227)*100</f>
        <v>5.2513742764570974</v>
      </c>
      <c r="P234" s="28">
        <f>SUM(Table2[[#This Row],[Likes]],Table2[[#This Row],[Shares]],Table2[[#This Row],[Comments]])</f>
        <v>3152</v>
      </c>
      <c r="Q23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34" s="29">
        <f>Table2[[#This Row],[Net_Engagement]]/Table2[[#This Row],[Total_Budget]]</f>
        <v>1.576E-2</v>
      </c>
      <c r="S23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3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34" s="32" t="str">
        <f t="shared" si="9"/>
        <v>Before</v>
      </c>
      <c r="V234" s="16">
        <f t="shared" ca="1" si="10"/>
        <v>9.0651187261417849</v>
      </c>
      <c r="W234" s="16">
        <f t="shared" ca="1" si="11"/>
        <v>8.177417389518661</v>
      </c>
      <c r="X234" s="16">
        <f ca="1">(Table1[[#This Row],[Average_During]]-Table1[[#This Row],[Average_Before]])/Table1[[#This Row],[Average_Before]]*100</f>
        <v>-9.7924954260465533</v>
      </c>
    </row>
    <row r="235" spans="1:24">
      <c r="A235" s="38" t="s">
        <v>163</v>
      </c>
      <c r="B235" s="38" t="s">
        <v>31</v>
      </c>
      <c r="C235" s="39">
        <v>45424</v>
      </c>
      <c r="D235" s="40" t="s">
        <v>15</v>
      </c>
      <c r="E235" s="40" t="s">
        <v>49</v>
      </c>
      <c r="F235" s="40">
        <v>2911</v>
      </c>
      <c r="G235" s="40">
        <v>467</v>
      </c>
      <c r="H235" s="40">
        <v>94</v>
      </c>
      <c r="I235" s="40">
        <v>59083</v>
      </c>
      <c r="J235" s="40">
        <v>49762</v>
      </c>
      <c r="K235" s="40">
        <v>236</v>
      </c>
      <c r="L235" s="38" t="s">
        <v>21</v>
      </c>
      <c r="M235" s="38" t="s">
        <v>380</v>
      </c>
      <c r="N235" s="38" t="s">
        <v>22</v>
      </c>
      <c r="O235" s="41">
        <f>((Posts!$F228+Posts!$G228+Posts!$H228)/Posts!$I228)*100</f>
        <v>12.406981463942634</v>
      </c>
      <c r="P235" s="24">
        <f>SUM(Table2[[#This Row],[Likes]],Table2[[#This Row],[Shares]],Table2[[#This Row],[Comments]])</f>
        <v>4219</v>
      </c>
      <c r="Q23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35" s="25">
        <f>Table2[[#This Row],[Net_Engagement]]/Table2[[#This Row],[Total_Budget]]</f>
        <v>2.1094999999999999E-2</v>
      </c>
      <c r="S23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3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35" s="32" t="str">
        <f t="shared" si="9"/>
        <v>Before</v>
      </c>
      <c r="V235" s="16">
        <f t="shared" ca="1" si="10"/>
        <v>9.2849099184818336</v>
      </c>
      <c r="W235" s="16">
        <f t="shared" ca="1" si="11"/>
        <v>6.6185223270759854</v>
      </c>
      <c r="X235" s="16">
        <f ca="1">(Table1[[#This Row],[Average_During]]-Table1[[#This Row],[Average_Before]])/Table1[[#This Row],[Average_Before]]*100</f>
        <v>-28.717430915493757</v>
      </c>
    </row>
    <row r="236" spans="1:24">
      <c r="A236" s="42" t="s">
        <v>93</v>
      </c>
      <c r="B236" s="42" t="s">
        <v>24</v>
      </c>
      <c r="C236" s="43">
        <v>45516</v>
      </c>
      <c r="D236" s="44" t="s">
        <v>25</v>
      </c>
      <c r="E236" s="44" t="s">
        <v>35</v>
      </c>
      <c r="F236" s="44">
        <v>2842</v>
      </c>
      <c r="G236" s="44">
        <v>213</v>
      </c>
      <c r="H236" s="44">
        <v>331</v>
      </c>
      <c r="I236" s="44">
        <v>57660</v>
      </c>
      <c r="J236" s="44">
        <v>68606</v>
      </c>
      <c r="K236" s="44">
        <v>87</v>
      </c>
      <c r="L236" s="42" t="s">
        <v>379</v>
      </c>
      <c r="M236" s="42" t="s">
        <v>42</v>
      </c>
      <c r="N236" s="42" t="s">
        <v>18</v>
      </c>
      <c r="O236" s="45">
        <f>((Posts!$F229+Posts!$G229+Posts!$H229)/Posts!$I229)*100</f>
        <v>3.1839004091338254</v>
      </c>
      <c r="P236" s="28">
        <f>SUM(Table2[[#This Row],[Likes]],Table2[[#This Row],[Shares]],Table2[[#This Row],[Comments]])</f>
        <v>2702</v>
      </c>
      <c r="Q23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36" s="29">
        <f>Table2[[#This Row],[Net_Engagement]]/Table2[[#This Row],[Total_Budget]]</f>
        <v>1.68875E-2</v>
      </c>
      <c r="S23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3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36" s="32" t="str">
        <f t="shared" si="9"/>
        <v>Before</v>
      </c>
      <c r="V236" s="16">
        <f t="shared" ca="1" si="10"/>
        <v>9.2049473175377141</v>
      </c>
      <c r="W236" s="16">
        <f t="shared" ca="1" si="11"/>
        <v>6.9264452009118873</v>
      </c>
      <c r="X236" s="16">
        <f ca="1">(Table1[[#This Row],[Average_During]]-Table1[[#This Row],[Average_Before]])/Table1[[#This Row],[Average_Before]]*100</f>
        <v>-24.753016372888016</v>
      </c>
    </row>
    <row r="237" spans="1:24">
      <c r="A237" s="38" t="s">
        <v>331</v>
      </c>
      <c r="B237" s="38" t="s">
        <v>14</v>
      </c>
      <c r="C237" s="39">
        <v>45472</v>
      </c>
      <c r="D237" s="40" t="s">
        <v>15</v>
      </c>
      <c r="E237" s="40" t="s">
        <v>51</v>
      </c>
      <c r="F237" s="40">
        <v>2088</v>
      </c>
      <c r="G237" s="40">
        <v>490</v>
      </c>
      <c r="H237" s="40">
        <v>124</v>
      </c>
      <c r="I237" s="40">
        <v>46544</v>
      </c>
      <c r="J237" s="40">
        <v>69346</v>
      </c>
      <c r="K237" s="40">
        <v>178</v>
      </c>
      <c r="L237" s="38" t="s">
        <v>45</v>
      </c>
      <c r="M237" s="38" t="s">
        <v>42</v>
      </c>
      <c r="N237" s="38" t="s">
        <v>18</v>
      </c>
      <c r="O237" s="41">
        <f>((Posts!$F230+Posts!$G230+Posts!$H230)/Posts!$I230)*100</f>
        <v>9.1919262958013928</v>
      </c>
      <c r="P237" s="24">
        <f>SUM(Table2[[#This Row],[Likes]],Table2[[#This Row],[Shares]],Table2[[#This Row],[Comments]])</f>
        <v>2960</v>
      </c>
      <c r="Q23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37" s="25">
        <f>Table2[[#This Row],[Net_Engagement]]/Table2[[#This Row],[Total_Budget]]</f>
        <v>1.8499999999999999E-2</v>
      </c>
      <c r="S23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3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37" s="32" t="str">
        <f t="shared" si="9"/>
        <v>Before</v>
      </c>
      <c r="V237" s="16">
        <f t="shared" ca="1" si="10"/>
        <v>8.8667990637321168</v>
      </c>
      <c r="W237" s="16">
        <f t="shared" ca="1" si="11"/>
        <v>10.926542830307239</v>
      </c>
      <c r="X237" s="16">
        <f ca="1">(Table1[[#This Row],[Average_During]]-Table1[[#This Row],[Average_Before]])/Table1[[#This Row],[Average_Before]]*100</f>
        <v>23.229845988053299</v>
      </c>
    </row>
    <row r="238" spans="1:24">
      <c r="A238" s="42" t="s">
        <v>159</v>
      </c>
      <c r="B238" s="42" t="s">
        <v>24</v>
      </c>
      <c r="C238" s="43">
        <v>45806</v>
      </c>
      <c r="D238" s="44" t="s">
        <v>25</v>
      </c>
      <c r="E238" s="44" t="s">
        <v>32</v>
      </c>
      <c r="F238" s="44">
        <v>2134</v>
      </c>
      <c r="G238" s="44">
        <v>322</v>
      </c>
      <c r="H238" s="44">
        <v>114</v>
      </c>
      <c r="I238" s="44">
        <v>44338</v>
      </c>
      <c r="J238" s="44">
        <v>52165</v>
      </c>
      <c r="K238" s="44">
        <v>176</v>
      </c>
      <c r="L238" s="42" t="s">
        <v>379</v>
      </c>
      <c r="M238" s="42" t="s">
        <v>42</v>
      </c>
      <c r="N238" s="42" t="s">
        <v>18</v>
      </c>
      <c r="O238" s="45">
        <f>((Posts!$F231+Posts!$G231+Posts!$H231)/Posts!$I231)*100</f>
        <v>4.9646286003031834</v>
      </c>
      <c r="P238" s="28">
        <f>SUM(Table2[[#This Row],[Likes]],Table2[[#This Row],[Shares]],Table2[[#This Row],[Comments]])</f>
        <v>5126</v>
      </c>
      <c r="Q23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38" s="29">
        <f>Table2[[#This Row],[Net_Engagement]]/Table2[[#This Row],[Total_Budget]]</f>
        <v>3.2037499999999997E-2</v>
      </c>
      <c r="S23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3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38" s="32" t="str">
        <f t="shared" si="9"/>
        <v>Before</v>
      </c>
      <c r="V238" s="16">
        <f t="shared" ca="1" si="10"/>
        <v>9.1744583392958781</v>
      </c>
      <c r="W238" s="16">
        <f t="shared" ca="1" si="11"/>
        <v>8.0672112777143976</v>
      </c>
      <c r="X238" s="16">
        <f ca="1">(Table1[[#This Row],[Average_During]]-Table1[[#This Row],[Average_Before]])/Table1[[#This Row],[Average_Before]]*100</f>
        <v>-12.068800365455248</v>
      </c>
    </row>
    <row r="239" spans="1:24">
      <c r="A239" s="38" t="s">
        <v>316</v>
      </c>
      <c r="B239" s="38" t="s">
        <v>24</v>
      </c>
      <c r="C239" s="39">
        <v>45720</v>
      </c>
      <c r="D239" s="40" t="s">
        <v>15</v>
      </c>
      <c r="E239" s="40" t="s">
        <v>16</v>
      </c>
      <c r="F239" s="40">
        <v>2177</v>
      </c>
      <c r="G239" s="40">
        <v>258</v>
      </c>
      <c r="H239" s="40">
        <v>292</v>
      </c>
      <c r="I239" s="40">
        <v>47276</v>
      </c>
      <c r="J239" s="40">
        <v>51324</v>
      </c>
      <c r="K239" s="40">
        <v>143</v>
      </c>
      <c r="L239" s="38" t="s">
        <v>42</v>
      </c>
      <c r="M239" s="38" t="s">
        <v>381</v>
      </c>
      <c r="N239" s="38" t="s">
        <v>18</v>
      </c>
      <c r="O239" s="41">
        <f>((Posts!$F232+Posts!$G232+Posts!$H232)/Posts!$I232)*100</f>
        <v>6.7678493650953202</v>
      </c>
      <c r="P239" s="24">
        <f>SUM(Table2[[#This Row],[Likes]],Table2[[#This Row],[Shares]],Table2[[#This Row],[Comments]])</f>
        <v>3147</v>
      </c>
      <c r="Q23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39" s="25">
        <f>Table2[[#This Row],[Net_Engagement]]/Table2[[#This Row],[Total_Budget]]</f>
        <v>1.5734999999999999E-2</v>
      </c>
      <c r="S23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3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39" s="32" t="str">
        <f t="shared" si="9"/>
        <v>Before</v>
      </c>
      <c r="V239" s="16">
        <f t="shared" ca="1" si="10"/>
        <v>9.1403774207451001</v>
      </c>
      <c r="W239" s="16">
        <f t="shared" ca="1" si="11"/>
        <v>8.9753437930989346</v>
      </c>
      <c r="X239" s="16">
        <f ca="1">(Table1[[#This Row],[Average_During]]-Table1[[#This Row],[Average_Before]])/Table1[[#This Row],[Average_Before]]*100</f>
        <v>-1.8055450015838883</v>
      </c>
    </row>
    <row r="240" spans="1:24">
      <c r="A240" s="42" t="s">
        <v>295</v>
      </c>
      <c r="B240" s="42" t="s">
        <v>24</v>
      </c>
      <c r="C240" s="43">
        <v>45385</v>
      </c>
      <c r="D240" s="44" t="s">
        <v>25</v>
      </c>
      <c r="E240" s="44" t="s">
        <v>41</v>
      </c>
      <c r="F240" s="44">
        <v>2291</v>
      </c>
      <c r="G240" s="44">
        <v>146</v>
      </c>
      <c r="H240" s="44">
        <v>399</v>
      </c>
      <c r="I240" s="44">
        <v>49319</v>
      </c>
      <c r="J240" s="44">
        <v>28056</v>
      </c>
      <c r="K240" s="44">
        <v>90</v>
      </c>
      <c r="L240" s="42" t="s">
        <v>21</v>
      </c>
      <c r="M240" s="42" t="s">
        <v>379</v>
      </c>
      <c r="N240" s="42" t="s">
        <v>18</v>
      </c>
      <c r="O240" s="45">
        <f>((Posts!$F233+Posts!$G233+Posts!$H233)/Posts!$I233)*100</f>
        <v>10.985069273191947</v>
      </c>
      <c r="P240" s="28">
        <f>SUM(Table2[[#This Row],[Likes]],Table2[[#This Row],[Shares]],Table2[[#This Row],[Comments]])</f>
        <v>5622</v>
      </c>
      <c r="Q24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40" s="29">
        <f>Table2[[#This Row],[Net_Engagement]]/Table2[[#This Row],[Total_Budget]]</f>
        <v>2.811E-2</v>
      </c>
      <c r="S24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4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40" s="32" t="str">
        <f t="shared" si="9"/>
        <v>Before</v>
      </c>
      <c r="V240" s="16">
        <f t="shared" ca="1" si="10"/>
        <v>9.3564808843929974</v>
      </c>
      <c r="W240" s="16">
        <f t="shared" ca="1" si="11"/>
        <v>7.4002171230246665</v>
      </c>
      <c r="X240" s="16">
        <f ca="1">(Table1[[#This Row],[Average_During]]-Table1[[#This Row],[Average_Before]])/Table1[[#This Row],[Average_Before]]*100</f>
        <v>-20.908114766006321</v>
      </c>
    </row>
    <row r="241" spans="1:24">
      <c r="A241" s="38" t="s">
        <v>215</v>
      </c>
      <c r="B241" s="38" t="s">
        <v>24</v>
      </c>
      <c r="C241" s="39">
        <v>45748</v>
      </c>
      <c r="D241" s="40" t="s">
        <v>25</v>
      </c>
      <c r="E241" s="40" t="s">
        <v>32</v>
      </c>
      <c r="F241" s="40">
        <v>2665</v>
      </c>
      <c r="G241" s="40">
        <v>143</v>
      </c>
      <c r="H241" s="40">
        <v>315</v>
      </c>
      <c r="I241" s="40">
        <v>54808</v>
      </c>
      <c r="J241" s="40">
        <v>29818</v>
      </c>
      <c r="K241" s="40">
        <v>98</v>
      </c>
      <c r="L241" s="38" t="s">
        <v>21</v>
      </c>
      <c r="M241" s="38" t="s">
        <v>379</v>
      </c>
      <c r="N241" s="38" t="s">
        <v>18</v>
      </c>
      <c r="O241" s="41">
        <f>((Posts!$F234+Posts!$G234+Posts!$H234)/Posts!$I234)*100</f>
        <v>8.0741841282852604</v>
      </c>
      <c r="P241" s="24">
        <f>SUM(Table2[[#This Row],[Likes]],Table2[[#This Row],[Shares]],Table2[[#This Row],[Comments]])</f>
        <v>5521</v>
      </c>
      <c r="Q24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41" s="25">
        <f>Table2[[#This Row],[Net_Engagement]]/Table2[[#This Row],[Total_Budget]]</f>
        <v>3.4506250000000002E-2</v>
      </c>
      <c r="S24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4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41" s="32" t="str">
        <f t="shared" si="9"/>
        <v>Before</v>
      </c>
      <c r="V241" s="16">
        <f t="shared" ca="1" si="10"/>
        <v>9.0292497710261461</v>
      </c>
      <c r="W241" s="16">
        <f t="shared" ca="1" si="11"/>
        <v>10.019147055393073</v>
      </c>
      <c r="X241" s="16">
        <f ca="1">(Table1[[#This Row],[Average_During]]-Table1[[#This Row],[Average_Before]])/Table1[[#This Row],[Average_Before]]*100</f>
        <v>10.963228501479682</v>
      </c>
    </row>
    <row r="242" spans="1:24">
      <c r="A242" s="42" t="s">
        <v>234</v>
      </c>
      <c r="B242" s="42" t="s">
        <v>24</v>
      </c>
      <c r="C242" s="43">
        <v>45422</v>
      </c>
      <c r="D242" s="44" t="s">
        <v>25</v>
      </c>
      <c r="E242" s="44" t="s">
        <v>20</v>
      </c>
      <c r="F242" s="44">
        <v>2784</v>
      </c>
      <c r="G242" s="44">
        <v>111</v>
      </c>
      <c r="H242" s="44">
        <v>399</v>
      </c>
      <c r="I242" s="44">
        <v>58366</v>
      </c>
      <c r="J242" s="44">
        <v>69512</v>
      </c>
      <c r="K242" s="44">
        <v>269</v>
      </c>
      <c r="L242" s="42" t="s">
        <v>379</v>
      </c>
      <c r="M242" s="42" t="s">
        <v>42</v>
      </c>
      <c r="N242" s="42" t="s">
        <v>18</v>
      </c>
      <c r="O242" s="45">
        <f>((Posts!$F235+Posts!$G235+Posts!$H235)/Posts!$I235)*100</f>
        <v>16.790703227603775</v>
      </c>
      <c r="P242" s="28">
        <f>SUM(Table2[[#This Row],[Likes]],Table2[[#This Row],[Shares]],Table2[[#This Row],[Comments]])</f>
        <v>2570</v>
      </c>
      <c r="Q24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42" s="29">
        <f>Table2[[#This Row],[Net_Engagement]]/Table2[[#This Row],[Total_Budget]]</f>
        <v>1.285E-2</v>
      </c>
      <c r="S24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4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42" s="32" t="str">
        <f t="shared" si="9"/>
        <v>Before</v>
      </c>
      <c r="V242" s="16">
        <f t="shared" ca="1" si="10"/>
        <v>9.3742048893680252</v>
      </c>
      <c r="W242" s="16">
        <f t="shared" ca="1" si="11"/>
        <v>7.198826847139939</v>
      </c>
      <c r="X242" s="16">
        <f ca="1">(Table1[[#This Row],[Average_During]]-Table1[[#This Row],[Average_Before]])/Table1[[#This Row],[Average_Before]]*100</f>
        <v>-23.206000593131286</v>
      </c>
    </row>
    <row r="243" spans="1:24">
      <c r="A243" s="38" t="s">
        <v>339</v>
      </c>
      <c r="B243" s="38" t="s">
        <v>24</v>
      </c>
      <c r="C243" s="39">
        <v>45303</v>
      </c>
      <c r="D243" s="40" t="s">
        <v>25</v>
      </c>
      <c r="E243" s="40" t="s">
        <v>29</v>
      </c>
      <c r="F243" s="40">
        <v>2227</v>
      </c>
      <c r="G243" s="40">
        <v>494</v>
      </c>
      <c r="H243" s="40">
        <v>161</v>
      </c>
      <c r="I243" s="40">
        <v>51651</v>
      </c>
      <c r="J243" s="40">
        <v>68074</v>
      </c>
      <c r="K243" s="40">
        <v>240</v>
      </c>
      <c r="L243" s="38" t="s">
        <v>21</v>
      </c>
      <c r="M243" s="38" t="s">
        <v>379</v>
      </c>
      <c r="N243" s="38" t="s">
        <v>18</v>
      </c>
      <c r="O243" s="41">
        <f>((Posts!$F236+Posts!$G236+Posts!$H236)/Posts!$I236)*100</f>
        <v>6.4655069273288515</v>
      </c>
      <c r="P243" s="24">
        <f>SUM(Table2[[#This Row],[Likes]],Table2[[#This Row],[Shares]],Table2[[#This Row],[Comments]])</f>
        <v>4796</v>
      </c>
      <c r="Q24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43" s="25">
        <f>Table2[[#This Row],[Net_Engagement]]/Table2[[#This Row],[Total_Budget]]</f>
        <v>2.3980000000000001E-2</v>
      </c>
      <c r="S24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4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43" s="32" t="str">
        <f t="shared" si="9"/>
        <v>Before</v>
      </c>
      <c r="V243" s="16">
        <f t="shared" ca="1" si="10"/>
        <v>9.2061382492979025</v>
      </c>
      <c r="W243" s="16">
        <f t="shared" ca="1" si="11"/>
        <v>7.5558887651258448</v>
      </c>
      <c r="X243" s="16">
        <f ca="1">(Table1[[#This Row],[Average_During]]-Table1[[#This Row],[Average_Before]])/Table1[[#This Row],[Average_Before]]*100</f>
        <v>-17.92553445846756</v>
      </c>
    </row>
    <row r="244" spans="1:24">
      <c r="A244" s="42" t="s">
        <v>304</v>
      </c>
      <c r="B244" s="42" t="s">
        <v>31</v>
      </c>
      <c r="C244" s="43">
        <v>45808</v>
      </c>
      <c r="D244" s="44" t="s">
        <v>57</v>
      </c>
      <c r="E244" s="44" t="s">
        <v>37</v>
      </c>
      <c r="F244" s="44">
        <v>2162</v>
      </c>
      <c r="G244" s="44">
        <v>318</v>
      </c>
      <c r="H244" s="44">
        <v>83</v>
      </c>
      <c r="I244" s="44">
        <v>46719</v>
      </c>
      <c r="J244" s="44">
        <v>20482</v>
      </c>
      <c r="K244" s="44">
        <v>185</v>
      </c>
      <c r="L244" s="42" t="s">
        <v>21</v>
      </c>
      <c r="M244" s="42" t="s">
        <v>45</v>
      </c>
      <c r="N244" s="42" t="s">
        <v>59</v>
      </c>
      <c r="O244" s="45">
        <f>((Posts!$F237+Posts!$G237+Posts!$H237)/Posts!$I237)*100</f>
        <v>8.166643674989654</v>
      </c>
      <c r="P244" s="28">
        <f>SUM(Table2[[#This Row],[Likes]],Table2[[#This Row],[Shares]],Table2[[#This Row],[Comments]])</f>
        <v>2740</v>
      </c>
      <c r="Q24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44" s="29">
        <f>Table2[[#This Row],[Net_Engagement]]/Table2[[#This Row],[Total_Budget]]</f>
        <v>1.37E-2</v>
      </c>
      <c r="S24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4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44" s="32" t="str">
        <f t="shared" si="9"/>
        <v>Before</v>
      </c>
      <c r="V244" s="16">
        <f t="shared" ca="1" si="10"/>
        <v>8.9233885677547882</v>
      </c>
      <c r="W244" s="16">
        <f t="shared" ca="1" si="11"/>
        <v>10.290190601050112</v>
      </c>
      <c r="X244" s="16">
        <f ca="1">(Table1[[#This Row],[Average_During]]-Table1[[#This Row],[Average_Before]])/Table1[[#This Row],[Average_Before]]*100</f>
        <v>15.317074034345502</v>
      </c>
    </row>
    <row r="245" spans="1:24">
      <c r="A245" s="38" t="s">
        <v>314</v>
      </c>
      <c r="B245" s="38" t="s">
        <v>14</v>
      </c>
      <c r="C245" s="39">
        <v>45573</v>
      </c>
      <c r="D245" s="40" t="s">
        <v>15</v>
      </c>
      <c r="E245" s="40" t="s">
        <v>20</v>
      </c>
      <c r="F245" s="40">
        <v>2110</v>
      </c>
      <c r="G245" s="40">
        <v>384</v>
      </c>
      <c r="H245" s="40">
        <v>236</v>
      </c>
      <c r="I245" s="40">
        <v>49965</v>
      </c>
      <c r="J245" s="40">
        <v>61555</v>
      </c>
      <c r="K245" s="40">
        <v>195</v>
      </c>
      <c r="L245" s="38" t="s">
        <v>21</v>
      </c>
      <c r="M245" s="38" t="s">
        <v>381</v>
      </c>
      <c r="N245" s="38" t="s">
        <v>22</v>
      </c>
      <c r="O245" s="41">
        <f>((Posts!$F238+Posts!$G238+Posts!$H238)/Posts!$I238)*100</f>
        <v>13.077197816215113</v>
      </c>
      <c r="P245" s="24">
        <f>SUM(Table2[[#This Row],[Likes]],Table2[[#This Row],[Shares]],Table2[[#This Row],[Comments]])</f>
        <v>4972</v>
      </c>
      <c r="Q24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45" s="25">
        <f>Table2[[#This Row],[Net_Engagement]]/Table2[[#This Row],[Total_Budget]]</f>
        <v>3.1074999999999998E-2</v>
      </c>
      <c r="S24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4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45" s="32" t="str">
        <f t="shared" si="9"/>
        <v>Before</v>
      </c>
      <c r="V245" s="16">
        <f t="shared" ca="1" si="10"/>
        <v>9.1797792370532392</v>
      </c>
      <c r="W245" s="16">
        <f t="shared" ca="1" si="11"/>
        <v>8.3105444214434616</v>
      </c>
      <c r="X245" s="16">
        <f ca="1">(Table1[[#This Row],[Average_During]]-Table1[[#This Row],[Average_Before]])/Table1[[#This Row],[Average_Before]]*100</f>
        <v>-9.4690165543545994</v>
      </c>
    </row>
    <row r="246" spans="1:24">
      <c r="A246" s="42" t="s">
        <v>171</v>
      </c>
      <c r="B246" s="42" t="s">
        <v>24</v>
      </c>
      <c r="C246" s="43">
        <v>45736</v>
      </c>
      <c r="D246" s="44" t="s">
        <v>15</v>
      </c>
      <c r="E246" s="44" t="s">
        <v>51</v>
      </c>
      <c r="F246" s="44">
        <v>1564</v>
      </c>
      <c r="G246" s="44">
        <v>362</v>
      </c>
      <c r="H246" s="44">
        <v>371</v>
      </c>
      <c r="I246" s="44">
        <v>42075</v>
      </c>
      <c r="J246" s="44">
        <v>66659</v>
      </c>
      <c r="K246" s="44">
        <v>205</v>
      </c>
      <c r="L246" s="42" t="s">
        <v>45</v>
      </c>
      <c r="M246" s="42" t="s">
        <v>381</v>
      </c>
      <c r="N246" s="42" t="s">
        <v>22</v>
      </c>
      <c r="O246" s="45">
        <f>((Posts!$F239+Posts!$G239+Posts!$H239)/Posts!$I239)*100</f>
        <v>5.3094209744904841</v>
      </c>
      <c r="P246" s="28">
        <f>SUM(Table2[[#This Row],[Likes]],Table2[[#This Row],[Shares]],Table2[[#This Row],[Comments]])</f>
        <v>4305</v>
      </c>
      <c r="Q24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46" s="29">
        <f>Table2[[#This Row],[Net_Engagement]]/Table2[[#This Row],[Total_Budget]]</f>
        <v>2.1524999999999999E-2</v>
      </c>
      <c r="S24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4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46" s="32" t="str">
        <f t="shared" si="9"/>
        <v>Before</v>
      </c>
      <c r="V246" s="16">
        <f t="shared" ca="1" si="10"/>
        <v>9.0001293221660266</v>
      </c>
      <c r="W246" s="16">
        <f t="shared" ca="1" si="11"/>
        <v>9.1909696578037536</v>
      </c>
      <c r="X246" s="16">
        <f ca="1">(Table1[[#This Row],[Average_During]]-Table1[[#This Row],[Average_Before]])/Table1[[#This Row],[Average_Before]]*100</f>
        <v>2.1204177051957989</v>
      </c>
    </row>
    <row r="247" spans="1:24">
      <c r="A247" s="38" t="s">
        <v>322</v>
      </c>
      <c r="B247" s="38" t="s">
        <v>24</v>
      </c>
      <c r="C247" s="39">
        <v>45343</v>
      </c>
      <c r="D247" s="40" t="s">
        <v>25</v>
      </c>
      <c r="E247" s="40" t="s">
        <v>37</v>
      </c>
      <c r="F247" s="40">
        <v>2604</v>
      </c>
      <c r="G247" s="40">
        <v>439</v>
      </c>
      <c r="H247" s="40">
        <v>148</v>
      </c>
      <c r="I247" s="40">
        <v>58468</v>
      </c>
      <c r="J247" s="40">
        <v>39629</v>
      </c>
      <c r="K247" s="40">
        <v>163</v>
      </c>
      <c r="L247" s="38" t="s">
        <v>379</v>
      </c>
      <c r="M247" s="38" t="s">
        <v>42</v>
      </c>
      <c r="N247" s="38" t="s">
        <v>18</v>
      </c>
      <c r="O247" s="41">
        <f>((Posts!$F240+Posts!$G240+Posts!$H240)/Posts!$I240)*100</f>
        <v>17.088145896656535</v>
      </c>
      <c r="P247" s="24">
        <f>SUM(Table2[[#This Row],[Likes]],Table2[[#This Row],[Shares]],Table2[[#This Row],[Comments]])</f>
        <v>3407</v>
      </c>
      <c r="Q24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47" s="25">
        <f>Table2[[#This Row],[Net_Engagement]]/Table2[[#This Row],[Total_Budget]]</f>
        <v>1.7035000000000002E-2</v>
      </c>
      <c r="S24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4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47" s="32" t="str">
        <f t="shared" si="9"/>
        <v>Before</v>
      </c>
      <c r="V247" s="16">
        <f t="shared" ca="1" si="10"/>
        <v>9.1152523540253529</v>
      </c>
      <c r="W247" s="16">
        <f t="shared" ca="1" si="11"/>
        <v>8.8136756000055563</v>
      </c>
      <c r="X247" s="16">
        <f ca="1">(Table1[[#This Row],[Average_During]]-Table1[[#This Row],[Average_Before]])/Table1[[#This Row],[Average_Before]]*100</f>
        <v>-3.3084849690049283</v>
      </c>
    </row>
    <row r="248" spans="1:24">
      <c r="A248" s="42" t="s">
        <v>303</v>
      </c>
      <c r="B248" s="42" t="s">
        <v>31</v>
      </c>
      <c r="C248" s="43">
        <v>45378</v>
      </c>
      <c r="D248" s="44" t="s">
        <v>15</v>
      </c>
      <c r="E248" s="44" t="s">
        <v>32</v>
      </c>
      <c r="F248" s="44">
        <v>2399</v>
      </c>
      <c r="G248" s="44">
        <v>191</v>
      </c>
      <c r="H248" s="44">
        <v>221</v>
      </c>
      <c r="I248" s="44">
        <v>51603</v>
      </c>
      <c r="J248" s="44">
        <v>40033</v>
      </c>
      <c r="K248" s="44">
        <v>173</v>
      </c>
      <c r="L248" s="42" t="s">
        <v>21</v>
      </c>
      <c r="M248" s="42" t="s">
        <v>380</v>
      </c>
      <c r="N248" s="42" t="s">
        <v>22</v>
      </c>
      <c r="O248" s="45">
        <f>((Posts!$F241+Posts!$G241+Posts!$H241)/Posts!$I241)*100</f>
        <v>10.547128720437092</v>
      </c>
      <c r="P248" s="28">
        <f>SUM(Table2[[#This Row],[Likes]],Table2[[#This Row],[Shares]],Table2[[#This Row],[Comments]])</f>
        <v>4051</v>
      </c>
      <c r="Q24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48" s="29">
        <f>Table2[[#This Row],[Net_Engagement]]/Table2[[#This Row],[Total_Budget]]</f>
        <v>2.0254999999999999E-2</v>
      </c>
      <c r="S24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4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48" s="32" t="str">
        <f t="shared" si="9"/>
        <v>Before</v>
      </c>
      <c r="V248" s="16">
        <f t="shared" ca="1" si="10"/>
        <v>8.9796745412133721</v>
      </c>
      <c r="W248" s="16">
        <f t="shared" ca="1" si="11"/>
        <v>8.7205767927506646</v>
      </c>
      <c r="X248" s="16">
        <f ca="1">(Table1[[#This Row],[Average_During]]-Table1[[#This Row],[Average_Before]])/Table1[[#This Row],[Average_Before]]*100</f>
        <v>-2.885380169109081</v>
      </c>
    </row>
    <row r="249" spans="1:24">
      <c r="A249" s="38" t="s">
        <v>46</v>
      </c>
      <c r="B249" s="38" t="s">
        <v>14</v>
      </c>
      <c r="C249" s="39">
        <v>45426</v>
      </c>
      <c r="D249" s="40" t="s">
        <v>15</v>
      </c>
      <c r="E249" s="40" t="s">
        <v>16</v>
      </c>
      <c r="F249" s="40">
        <v>1485</v>
      </c>
      <c r="G249" s="40">
        <v>353</v>
      </c>
      <c r="H249" s="40">
        <v>244</v>
      </c>
      <c r="I249" s="40">
        <v>38419</v>
      </c>
      <c r="J249" s="40">
        <v>38556</v>
      </c>
      <c r="K249" s="40">
        <v>86</v>
      </c>
      <c r="L249" s="38" t="s">
        <v>45</v>
      </c>
      <c r="M249" s="38" t="s">
        <v>42</v>
      </c>
      <c r="N249" s="38" t="s">
        <v>18</v>
      </c>
      <c r="O249" s="41">
        <f>((Posts!$F242+Posts!$G242+Posts!$H242)/Posts!$I242)*100</f>
        <v>4.8196838137389122</v>
      </c>
      <c r="P249" s="24">
        <f>SUM(Table2[[#This Row],[Likes]],Table2[[#This Row],[Shares]],Table2[[#This Row],[Comments]])</f>
        <v>5376</v>
      </c>
      <c r="Q24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49" s="25">
        <f>Table2[[#This Row],[Net_Engagement]]/Table2[[#This Row],[Total_Budget]]</f>
        <v>3.0720000000000001E-2</v>
      </c>
      <c r="S24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4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49" s="32" t="str">
        <f t="shared" si="9"/>
        <v>Before</v>
      </c>
      <c r="V249" s="16">
        <f t="shared" ca="1" si="10"/>
        <v>9.0305954461329812</v>
      </c>
      <c r="W249" s="16">
        <f t="shared" ca="1" si="11"/>
        <v>8.1111107727559411</v>
      </c>
      <c r="X249" s="16">
        <f ca="1">(Table1[[#This Row],[Average_During]]-Table1[[#This Row],[Average_Before]])/Table1[[#This Row],[Average_Before]]*100</f>
        <v>-10.181883120129974</v>
      </c>
    </row>
    <row r="250" spans="1:24">
      <c r="A250" s="42" t="s">
        <v>278</v>
      </c>
      <c r="B250" s="42" t="s">
        <v>14</v>
      </c>
      <c r="C250" s="43">
        <v>45823</v>
      </c>
      <c r="D250" s="44" t="s">
        <v>15</v>
      </c>
      <c r="E250" s="44" t="s">
        <v>20</v>
      </c>
      <c r="F250" s="44">
        <v>2478</v>
      </c>
      <c r="G250" s="44">
        <v>427</v>
      </c>
      <c r="H250" s="44">
        <v>242</v>
      </c>
      <c r="I250" s="44">
        <v>59272</v>
      </c>
      <c r="J250" s="44">
        <v>37833</v>
      </c>
      <c r="K250" s="44">
        <v>214</v>
      </c>
      <c r="L250" s="42" t="s">
        <v>45</v>
      </c>
      <c r="M250" s="42" t="s">
        <v>42</v>
      </c>
      <c r="N250" s="42" t="s">
        <v>18</v>
      </c>
      <c r="O250" s="45">
        <f>((Posts!$F243+Posts!$G243+Posts!$H243)/Posts!$I243)*100</f>
        <v>13.404136389044158</v>
      </c>
      <c r="P250" s="28">
        <f>SUM(Table2[[#This Row],[Likes]],Table2[[#This Row],[Shares]],Table2[[#This Row],[Comments]])</f>
        <v>3899</v>
      </c>
      <c r="Q25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50" s="29">
        <f>Table2[[#This Row],[Net_Engagement]]/Table2[[#This Row],[Total_Budget]]</f>
        <v>2.4368750000000002E-2</v>
      </c>
      <c r="S25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5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50" s="32" t="str">
        <f t="shared" si="9"/>
        <v>Before</v>
      </c>
      <c r="V250" s="16">
        <f t="shared" ca="1" si="10"/>
        <v>8.8751560878793896</v>
      </c>
      <c r="W250" s="16">
        <f t="shared" ca="1" si="11"/>
        <v>9.8673619529817902</v>
      </c>
      <c r="X250" s="16">
        <f ca="1">(Table1[[#This Row],[Average_During]]-Table1[[#This Row],[Average_Before]])/Table1[[#This Row],[Average_Before]]*100</f>
        <v>11.179587776010328</v>
      </c>
    </row>
    <row r="251" spans="1:24">
      <c r="A251" s="38" t="s">
        <v>152</v>
      </c>
      <c r="B251" s="38" t="s">
        <v>14</v>
      </c>
      <c r="C251" s="39">
        <v>45704</v>
      </c>
      <c r="D251" s="40" t="s">
        <v>15</v>
      </c>
      <c r="E251" s="40" t="s">
        <v>51</v>
      </c>
      <c r="F251" s="40">
        <v>1333</v>
      </c>
      <c r="G251" s="40">
        <v>286</v>
      </c>
      <c r="H251" s="40">
        <v>298</v>
      </c>
      <c r="I251" s="40">
        <v>36174</v>
      </c>
      <c r="J251" s="40">
        <v>34517</v>
      </c>
      <c r="K251" s="40">
        <v>170</v>
      </c>
      <c r="L251" s="38" t="s">
        <v>45</v>
      </c>
      <c r="M251" s="38" t="s">
        <v>42</v>
      </c>
      <c r="N251" s="38" t="s">
        <v>18</v>
      </c>
      <c r="O251" s="41">
        <f>((Posts!$F244+Posts!$G244+Posts!$H244)/Posts!$I244)*100</f>
        <v>9.8193807339449553</v>
      </c>
      <c r="P251" s="24">
        <f>SUM(Table2[[#This Row],[Likes]],Table2[[#This Row],[Shares]],Table2[[#This Row],[Comments]])</f>
        <v>5303</v>
      </c>
      <c r="Q25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51" s="25">
        <f>Table2[[#This Row],[Net_Engagement]]/Table2[[#This Row],[Total_Budget]]</f>
        <v>2.6515E-2</v>
      </c>
      <c r="S25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5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51" s="32" t="str">
        <f t="shared" si="9"/>
        <v>Before</v>
      </c>
      <c r="V251" s="16">
        <f t="shared" ca="1" si="10"/>
        <v>8.8005113199015828</v>
      </c>
      <c r="W251" s="16">
        <f t="shared" ca="1" si="11"/>
        <v>9.7642052195108135</v>
      </c>
      <c r="X251" s="16">
        <f ca="1">(Table1[[#This Row],[Average_During]]-Table1[[#This Row],[Average_Before]])/Table1[[#This Row],[Average_Before]]*100</f>
        <v>10.950430771333954</v>
      </c>
    </row>
    <row r="252" spans="1:24">
      <c r="A252" s="42" t="s">
        <v>265</v>
      </c>
      <c r="B252" s="42" t="s">
        <v>31</v>
      </c>
      <c r="C252" s="43">
        <v>45323</v>
      </c>
      <c r="D252" s="44" t="s">
        <v>15</v>
      </c>
      <c r="E252" s="44" t="s">
        <v>29</v>
      </c>
      <c r="F252" s="44">
        <v>1432</v>
      </c>
      <c r="G252" s="44">
        <v>437</v>
      </c>
      <c r="H252" s="44">
        <v>267</v>
      </c>
      <c r="I252" s="44">
        <v>40634</v>
      </c>
      <c r="J252" s="44">
        <v>54511</v>
      </c>
      <c r="K252" s="44">
        <v>197</v>
      </c>
      <c r="L252" s="42" t="s">
        <v>21</v>
      </c>
      <c r="M252" s="42" t="s">
        <v>380</v>
      </c>
      <c r="N252" s="42" t="s">
        <v>22</v>
      </c>
      <c r="O252" s="45">
        <f>((Posts!$F245+Posts!$G245+Posts!$H245)/Posts!$I245)*100</f>
        <v>8.6517714206166918</v>
      </c>
      <c r="P252" s="28">
        <f>SUM(Table2[[#This Row],[Likes]],Table2[[#This Row],[Shares]],Table2[[#This Row],[Comments]])</f>
        <v>2559</v>
      </c>
      <c r="Q25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52" s="29">
        <f>Table2[[#This Row],[Net_Engagement]]/Table2[[#This Row],[Total_Budget]]</f>
        <v>1.5993750000000001E-2</v>
      </c>
      <c r="S25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5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52" s="32" t="str">
        <f t="shared" si="9"/>
        <v>Before</v>
      </c>
      <c r="V252" s="16">
        <f t="shared" ca="1" si="10"/>
        <v>9.0439565753487656</v>
      </c>
      <c r="W252" s="16">
        <f t="shared" ca="1" si="11"/>
        <v>7.8797577643104644</v>
      </c>
      <c r="X252" s="16">
        <f ca="1">(Table1[[#This Row],[Average_During]]-Table1[[#This Row],[Average_Before]])/Table1[[#This Row],[Average_Before]]*100</f>
        <v>-12.872671394858015</v>
      </c>
    </row>
    <row r="253" spans="1:24">
      <c r="A253" s="38" t="s">
        <v>266</v>
      </c>
      <c r="B253" s="38" t="s">
        <v>24</v>
      </c>
      <c r="C253" s="39">
        <v>45308</v>
      </c>
      <c r="D253" s="40" t="s">
        <v>25</v>
      </c>
      <c r="E253" s="40" t="s">
        <v>26</v>
      </c>
      <c r="F253" s="40">
        <v>2174</v>
      </c>
      <c r="G253" s="40">
        <v>499</v>
      </c>
      <c r="H253" s="40">
        <v>212</v>
      </c>
      <c r="I253" s="40">
        <v>54938</v>
      </c>
      <c r="J253" s="40">
        <v>27190</v>
      </c>
      <c r="K253" s="40">
        <v>265</v>
      </c>
      <c r="L253" s="38" t="s">
        <v>379</v>
      </c>
      <c r="M253" s="38" t="s">
        <v>42</v>
      </c>
      <c r="N253" s="38" t="s">
        <v>18</v>
      </c>
      <c r="O253" s="41">
        <f>((Posts!$F246+Posts!$G246+Posts!$H246)/Posts!$I246)*100</f>
        <v>9.271223672309084</v>
      </c>
      <c r="P253" s="24">
        <f>SUM(Table2[[#This Row],[Likes]],Table2[[#This Row],[Shares]],Table2[[#This Row],[Comments]])</f>
        <v>4942</v>
      </c>
      <c r="Q25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53" s="25">
        <f>Table2[[#This Row],[Net_Engagement]]/Table2[[#This Row],[Total_Budget]]</f>
        <v>3.0887499999999998E-2</v>
      </c>
      <c r="S25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5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53" s="32" t="str">
        <f t="shared" si="9"/>
        <v>Before</v>
      </c>
      <c r="V253" s="16">
        <f t="shared" ca="1" si="10"/>
        <v>8.7053326076868522</v>
      </c>
      <c r="W253" s="16">
        <f t="shared" ca="1" si="11"/>
        <v>10.306151988619872</v>
      </c>
      <c r="X253" s="16">
        <f ca="1">(Table1[[#This Row],[Average_During]]-Table1[[#This Row],[Average_Before]])/Table1[[#This Row],[Average_Before]]*100</f>
        <v>18.388951382736234</v>
      </c>
    </row>
    <row r="254" spans="1:24">
      <c r="A254" s="42" t="s">
        <v>296</v>
      </c>
      <c r="B254" s="42" t="s">
        <v>24</v>
      </c>
      <c r="C254" s="43">
        <v>45481</v>
      </c>
      <c r="D254" s="44" t="s">
        <v>25</v>
      </c>
      <c r="E254" s="44" t="s">
        <v>29</v>
      </c>
      <c r="F254" s="44">
        <v>2304</v>
      </c>
      <c r="G254" s="44">
        <v>289</v>
      </c>
      <c r="H254" s="44">
        <v>161</v>
      </c>
      <c r="I254" s="44">
        <v>52645</v>
      </c>
      <c r="J254" s="44">
        <v>66262</v>
      </c>
      <c r="K254" s="44">
        <v>146</v>
      </c>
      <c r="L254" s="42" t="s">
        <v>379</v>
      </c>
      <c r="M254" s="42" t="s">
        <v>42</v>
      </c>
      <c r="N254" s="42" t="s">
        <v>18</v>
      </c>
      <c r="O254" s="45">
        <f>((Posts!$F247+Posts!$G247+Posts!$H247)/Posts!$I247)*100</f>
        <v>16.477245248343568</v>
      </c>
      <c r="P254" s="28">
        <f>SUM(Table2[[#This Row],[Likes]],Table2[[#This Row],[Shares]],Table2[[#This Row],[Comments]])</f>
        <v>2481</v>
      </c>
      <c r="Q25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54" s="29">
        <f>Table2[[#This Row],[Net_Engagement]]/Table2[[#This Row],[Total_Budget]]</f>
        <v>1.5506249999999999E-2</v>
      </c>
      <c r="S25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5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54" s="32" t="str">
        <f t="shared" si="9"/>
        <v>Before</v>
      </c>
      <c r="V254" s="16">
        <f t="shared" ca="1" si="10"/>
        <v>8.4490015892668442</v>
      </c>
      <c r="W254" s="16">
        <f t="shared" ca="1" si="11"/>
        <v>11.983008819982462</v>
      </c>
      <c r="X254" s="16">
        <f ca="1">(Table1[[#This Row],[Average_During]]-Table1[[#This Row],[Average_Before]])/Table1[[#This Row],[Average_Before]]*100</f>
        <v>41.8275129123544</v>
      </c>
    </row>
    <row r="255" spans="1:24">
      <c r="A255" s="38" t="s">
        <v>113</v>
      </c>
      <c r="B255" s="38" t="s">
        <v>31</v>
      </c>
      <c r="C255" s="39">
        <v>45783</v>
      </c>
      <c r="D255" s="40" t="s">
        <v>57</v>
      </c>
      <c r="E255" s="40" t="s">
        <v>16</v>
      </c>
      <c r="F255" s="40">
        <v>1085</v>
      </c>
      <c r="G255" s="40">
        <v>496</v>
      </c>
      <c r="H255" s="40">
        <v>320</v>
      </c>
      <c r="I255" s="40">
        <v>36528</v>
      </c>
      <c r="J255" s="40">
        <v>38599</v>
      </c>
      <c r="K255" s="40">
        <v>270</v>
      </c>
      <c r="L255" s="38" t="s">
        <v>21</v>
      </c>
      <c r="M255" s="38" t="s">
        <v>45</v>
      </c>
      <c r="N255" s="38" t="s">
        <v>59</v>
      </c>
      <c r="O255" s="41">
        <f>((Posts!$F248+Posts!$G248+Posts!$H248)/Posts!$I248)*100</f>
        <v>7.1354340971940893</v>
      </c>
      <c r="P255" s="24">
        <f>SUM(Table2[[#This Row],[Likes]],Table2[[#This Row],[Shares]],Table2[[#This Row],[Comments]])</f>
        <v>5320</v>
      </c>
      <c r="Q25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55" s="25">
        <f>Table2[[#This Row],[Net_Engagement]]/Table2[[#This Row],[Total_Budget]]</f>
        <v>2.6599999999999999E-2</v>
      </c>
      <c r="S25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5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55" s="32" t="str">
        <f t="shared" si="9"/>
        <v>Before</v>
      </c>
      <c r="V255" s="16">
        <f t="shared" ca="1" si="10"/>
        <v>8.4916416062564988</v>
      </c>
      <c r="W255" s="16">
        <f t="shared" ca="1" si="11"/>
        <v>10.54981961175525</v>
      </c>
      <c r="X255" s="16">
        <f ca="1">(Table1[[#This Row],[Average_During]]-Table1[[#This Row],[Average_Before]])/Table1[[#This Row],[Average_Before]]*100</f>
        <v>24.237692791724992</v>
      </c>
    </row>
    <row r="256" spans="1:24">
      <c r="A256" s="42" t="s">
        <v>256</v>
      </c>
      <c r="B256" s="42" t="s">
        <v>24</v>
      </c>
      <c r="C256" s="43">
        <v>45669</v>
      </c>
      <c r="D256" s="44" t="s">
        <v>15</v>
      </c>
      <c r="E256" s="44" t="s">
        <v>32</v>
      </c>
      <c r="F256" s="44">
        <v>1765</v>
      </c>
      <c r="G256" s="44">
        <v>285</v>
      </c>
      <c r="H256" s="44">
        <v>100</v>
      </c>
      <c r="I256" s="44">
        <v>41313</v>
      </c>
      <c r="J256" s="44">
        <v>56575</v>
      </c>
      <c r="K256" s="44">
        <v>174</v>
      </c>
      <c r="L256" s="42" t="s">
        <v>45</v>
      </c>
      <c r="M256" s="42" t="s">
        <v>381</v>
      </c>
      <c r="N256" s="42" t="s">
        <v>22</v>
      </c>
      <c r="O256" s="45">
        <f>((Posts!$F249+Posts!$G249+Posts!$H249)/Posts!$I249)*100</f>
        <v>19.261223173659133</v>
      </c>
      <c r="P256" s="28">
        <f>SUM(Table2[[#This Row],[Likes]],Table2[[#This Row],[Shares]],Table2[[#This Row],[Comments]])</f>
        <v>2836</v>
      </c>
      <c r="Q25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56" s="29">
        <f>Table2[[#This Row],[Net_Engagement]]/Table2[[#This Row],[Total_Budget]]</f>
        <v>1.418E-2</v>
      </c>
      <c r="S25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5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56" s="32" t="str">
        <f t="shared" si="9"/>
        <v>During</v>
      </c>
      <c r="V256" s="16">
        <f t="shared" ca="1" si="10"/>
        <v>8.8550154962333032</v>
      </c>
      <c r="W256" s="16">
        <f t="shared" ca="1" si="11"/>
        <v>8.3556779789165994</v>
      </c>
      <c r="X256" s="16">
        <f ca="1">(Table1[[#This Row],[Average_During]]-Table1[[#This Row],[Average_Before]])/Table1[[#This Row],[Average_Before]]*100</f>
        <v>-5.6390360641278292</v>
      </c>
    </row>
    <row r="257" spans="1:24">
      <c r="A257" s="38" t="s">
        <v>312</v>
      </c>
      <c r="B257" s="38" t="s">
        <v>24</v>
      </c>
      <c r="C257" s="39">
        <v>45603</v>
      </c>
      <c r="D257" s="40" t="s">
        <v>15</v>
      </c>
      <c r="E257" s="40" t="s">
        <v>20</v>
      </c>
      <c r="F257" s="40">
        <v>2229</v>
      </c>
      <c r="G257" s="40">
        <v>395</v>
      </c>
      <c r="H257" s="40">
        <v>328</v>
      </c>
      <c r="I257" s="40">
        <v>56921</v>
      </c>
      <c r="J257" s="40">
        <v>37176</v>
      </c>
      <c r="K257" s="40">
        <v>126</v>
      </c>
      <c r="L257" s="38" t="s">
        <v>45</v>
      </c>
      <c r="M257" s="38" t="s">
        <v>381</v>
      </c>
      <c r="N257" s="38" t="s">
        <v>22</v>
      </c>
      <c r="O257" s="41">
        <f>((Posts!$F250+Posts!$G250+Posts!$H250)/Posts!$I250)*100</f>
        <v>14.674444862627023</v>
      </c>
      <c r="P257" s="24">
        <f>SUM(Table2[[#This Row],[Likes]],Table2[[#This Row],[Shares]],Table2[[#This Row],[Comments]])</f>
        <v>2754</v>
      </c>
      <c r="Q25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57" s="25">
        <f>Table2[[#This Row],[Net_Engagement]]/Table2[[#This Row],[Total_Budget]]</f>
        <v>1.3769999999999999E-2</v>
      </c>
      <c r="S25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5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57" s="32" t="str">
        <f t="shared" si="9"/>
        <v>Before</v>
      </c>
      <c r="V257" s="16">
        <f t="shared" ca="1" si="10"/>
        <v>8.6989774846163073</v>
      </c>
      <c r="W257" s="16">
        <f t="shared" ca="1" si="11"/>
        <v>7.8721783853935943</v>
      </c>
      <c r="X257" s="16">
        <f ca="1">(Table1[[#This Row],[Average_During]]-Table1[[#This Row],[Average_Before]])/Table1[[#This Row],[Average_Before]]*100</f>
        <v>-9.5045549972380616</v>
      </c>
    </row>
    <row r="258" spans="1:24">
      <c r="A258" s="42" t="s">
        <v>236</v>
      </c>
      <c r="B258" s="42" t="s">
        <v>14</v>
      </c>
      <c r="C258" s="43">
        <v>45669</v>
      </c>
      <c r="D258" s="44" t="s">
        <v>15</v>
      </c>
      <c r="E258" s="44" t="s">
        <v>49</v>
      </c>
      <c r="F258" s="44">
        <v>1771</v>
      </c>
      <c r="G258" s="44">
        <v>487</v>
      </c>
      <c r="H258" s="44">
        <v>272</v>
      </c>
      <c r="I258" s="44">
        <v>48810</v>
      </c>
      <c r="J258" s="44">
        <v>48084</v>
      </c>
      <c r="K258" s="44">
        <v>272</v>
      </c>
      <c r="L258" s="42" t="s">
        <v>45</v>
      </c>
      <c r="M258" s="42" t="s">
        <v>42</v>
      </c>
      <c r="N258" s="42" t="s">
        <v>18</v>
      </c>
      <c r="O258" s="45">
        <f>((Posts!$F251+Posts!$G251+Posts!$H251)/Posts!$I251)*100</f>
        <v>17.79948310005706</v>
      </c>
      <c r="P258" s="28">
        <f>SUM(Table2[[#This Row],[Likes]],Table2[[#This Row],[Shares]],Table2[[#This Row],[Comments]])</f>
        <v>3825</v>
      </c>
      <c r="Q25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58" s="29">
        <f>Table2[[#This Row],[Net_Engagement]]/Table2[[#This Row],[Total_Budget]]</f>
        <v>1.9125E-2</v>
      </c>
      <c r="S25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5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58" s="32" t="str">
        <f t="shared" si="9"/>
        <v>During</v>
      </c>
      <c r="V258" s="16">
        <f t="shared" ca="1" si="10"/>
        <v>8.2513880242947533</v>
      </c>
      <c r="W258" s="16">
        <f t="shared" ca="1" si="11"/>
        <v>9.8319596534132661</v>
      </c>
      <c r="X258" s="16">
        <f ca="1">(Table1[[#This Row],[Average_During]]-Table1[[#This Row],[Average_Before]])/Table1[[#This Row],[Average_Before]]*100</f>
        <v>19.155221212053039</v>
      </c>
    </row>
    <row r="259" spans="1:24">
      <c r="A259" s="38" t="s">
        <v>66</v>
      </c>
      <c r="B259" s="38" t="s">
        <v>24</v>
      </c>
      <c r="C259" s="39">
        <v>45791</v>
      </c>
      <c r="D259" s="40" t="s">
        <v>25</v>
      </c>
      <c r="E259" s="40" t="s">
        <v>49</v>
      </c>
      <c r="F259" s="40">
        <v>2707</v>
      </c>
      <c r="G259" s="40">
        <v>103</v>
      </c>
      <c r="H259" s="40">
        <v>51</v>
      </c>
      <c r="I259" s="40">
        <v>55302</v>
      </c>
      <c r="J259" s="40">
        <v>18801</v>
      </c>
      <c r="K259" s="40">
        <v>147</v>
      </c>
      <c r="L259" s="38" t="s">
        <v>21</v>
      </c>
      <c r="M259" s="38" t="s">
        <v>379</v>
      </c>
      <c r="N259" s="38" t="s">
        <v>18</v>
      </c>
      <c r="O259" s="41">
        <f>((Posts!$F252+Posts!$G252+Posts!$H252)/Posts!$I252)*100</f>
        <v>4.4258807658382189</v>
      </c>
      <c r="P259" s="24">
        <f>SUM(Table2[[#This Row],[Likes]],Table2[[#This Row],[Shares]],Table2[[#This Row],[Comments]])</f>
        <v>1787</v>
      </c>
      <c r="Q25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59" s="25">
        <f>Table2[[#This Row],[Net_Engagement]]/Table2[[#This Row],[Total_Budget]]</f>
        <v>1.0211428571428571E-2</v>
      </c>
      <c r="S25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5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59" s="32" t="str">
        <f t="shared" si="9"/>
        <v>Before</v>
      </c>
      <c r="V259" s="16">
        <f t="shared" ca="1" si="10"/>
        <v>8.0457886181526774</v>
      </c>
      <c r="W259" s="16">
        <f t="shared" ca="1" si="11"/>
        <v>10.011768057347874</v>
      </c>
      <c r="X259" s="16">
        <f ca="1">(Table1[[#This Row],[Average_During]]-Table1[[#This Row],[Average_Before]])/Table1[[#This Row],[Average_Before]]*100</f>
        <v>24.43488802029437</v>
      </c>
    </row>
    <row r="260" spans="1:24">
      <c r="A260" s="42" t="s">
        <v>115</v>
      </c>
      <c r="B260" s="42" t="s">
        <v>24</v>
      </c>
      <c r="C260" s="43">
        <v>45313</v>
      </c>
      <c r="D260" s="44" t="s">
        <v>25</v>
      </c>
      <c r="E260" s="44" t="s">
        <v>49</v>
      </c>
      <c r="F260" s="44">
        <v>1554</v>
      </c>
      <c r="G260" s="44">
        <v>455</v>
      </c>
      <c r="H260" s="44">
        <v>158</v>
      </c>
      <c r="I260" s="44">
        <v>41947</v>
      </c>
      <c r="J260" s="44">
        <v>48578</v>
      </c>
      <c r="K260" s="44">
        <v>101</v>
      </c>
      <c r="L260" s="42" t="s">
        <v>45</v>
      </c>
      <c r="M260" s="42" t="s">
        <v>42</v>
      </c>
      <c r="N260" s="42" t="s">
        <v>18</v>
      </c>
      <c r="O260" s="45">
        <f>((Posts!$F253+Posts!$G253+Posts!$H253)/Posts!$I253)*100</f>
        <v>10.762898272970794</v>
      </c>
      <c r="P260" s="28">
        <f>SUM(Table2[[#This Row],[Likes]],Table2[[#This Row],[Shares]],Table2[[#This Row],[Comments]])</f>
        <v>2413</v>
      </c>
      <c r="Q26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60" s="29">
        <f>Table2[[#This Row],[Net_Engagement]]/Table2[[#This Row],[Total_Budget]]</f>
        <v>1.2064999999999999E-2</v>
      </c>
      <c r="S26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6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60" s="32" t="str">
        <f t="shared" si="9"/>
        <v>Before</v>
      </c>
      <c r="V260" s="16">
        <f t="shared" ca="1" si="10"/>
        <v>8.5271296067642322</v>
      </c>
      <c r="W260" s="16">
        <f t="shared" ca="1" si="11"/>
        <v>7.1654756143507967</v>
      </c>
      <c r="X260" s="16">
        <f ca="1">(Table1[[#This Row],[Average_During]]-Table1[[#This Row],[Average_Before]])/Table1[[#This Row],[Average_Before]]*100</f>
        <v>-15.968491804478843</v>
      </c>
    </row>
    <row r="261" spans="1:24">
      <c r="A261" s="38" t="s">
        <v>154</v>
      </c>
      <c r="B261" s="38" t="s">
        <v>24</v>
      </c>
      <c r="C261" s="39">
        <v>45489</v>
      </c>
      <c r="D261" s="40" t="s">
        <v>15</v>
      </c>
      <c r="E261" s="40" t="s">
        <v>41</v>
      </c>
      <c r="F261" s="40">
        <v>1803</v>
      </c>
      <c r="G261" s="40">
        <v>273</v>
      </c>
      <c r="H261" s="40">
        <v>287</v>
      </c>
      <c r="I261" s="40">
        <v>46176</v>
      </c>
      <c r="J261" s="40">
        <v>25488</v>
      </c>
      <c r="K261" s="40">
        <v>141</v>
      </c>
      <c r="L261" s="38" t="s">
        <v>42</v>
      </c>
      <c r="M261" s="38" t="s">
        <v>381</v>
      </c>
      <c r="N261" s="38" t="s">
        <v>18</v>
      </c>
      <c r="O261" s="41">
        <f>((Posts!$F254+Posts!$G254+Posts!$H254)/Posts!$I254)*100</f>
        <v>5.0121212121212118</v>
      </c>
      <c r="P261" s="24">
        <f>SUM(Table2[[#This Row],[Likes]],Table2[[#This Row],[Shares]],Table2[[#This Row],[Comments]])</f>
        <v>3618</v>
      </c>
      <c r="Q26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61" s="25">
        <f>Table2[[#This Row],[Net_Engagement]]/Table2[[#This Row],[Total_Budget]]</f>
        <v>1.8089999999999998E-2</v>
      </c>
      <c r="S26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6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61" s="32" t="str">
        <f t="shared" si="9"/>
        <v>Before</v>
      </c>
      <c r="V261" s="16">
        <f t="shared" ca="1" si="10"/>
        <v>8.1983849349793836</v>
      </c>
      <c r="W261" s="16">
        <f t="shared" ca="1" si="11"/>
        <v>9.0940602058103135</v>
      </c>
      <c r="X261" s="16">
        <f ca="1">(Table1[[#This Row],[Average_During]]-Table1[[#This Row],[Average_Before]])/Table1[[#This Row],[Average_Before]]*100</f>
        <v>10.92502093930019</v>
      </c>
    </row>
    <row r="262" spans="1:24">
      <c r="A262" s="42" t="s">
        <v>293</v>
      </c>
      <c r="B262" s="42" t="s">
        <v>31</v>
      </c>
      <c r="C262" s="43">
        <v>45512</v>
      </c>
      <c r="D262" s="44" t="s">
        <v>15</v>
      </c>
      <c r="E262" s="44" t="s">
        <v>49</v>
      </c>
      <c r="F262" s="44">
        <v>1994</v>
      </c>
      <c r="G262" s="44">
        <v>197</v>
      </c>
      <c r="H262" s="44">
        <v>290</v>
      </c>
      <c r="I262" s="44">
        <v>49500</v>
      </c>
      <c r="J262" s="44">
        <v>23343</v>
      </c>
      <c r="K262" s="44">
        <v>160</v>
      </c>
      <c r="L262" s="42" t="s">
        <v>21</v>
      </c>
      <c r="M262" s="42" t="s">
        <v>380</v>
      </c>
      <c r="N262" s="42" t="s">
        <v>22</v>
      </c>
      <c r="O262" s="45">
        <f>((Posts!$F255+Posts!$G255+Posts!$H255)/Posts!$I255)*100</f>
        <v>15.451192239551567</v>
      </c>
      <c r="P262" s="28">
        <f>SUM(Table2[[#This Row],[Likes]],Table2[[#This Row],[Shares]],Table2[[#This Row],[Comments]])</f>
        <v>3543</v>
      </c>
      <c r="Q26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62" s="29">
        <f>Table2[[#This Row],[Net_Engagement]]/Table2[[#This Row],[Total_Budget]]</f>
        <v>2.214375E-2</v>
      </c>
      <c r="S26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6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62" s="32" t="str">
        <f t="shared" si="9"/>
        <v>Before</v>
      </c>
      <c r="V262" s="16">
        <f t="shared" ca="1" si="10"/>
        <v>7.9606883010701122</v>
      </c>
      <c r="W262" s="16">
        <f t="shared" ca="1" si="11"/>
        <v>11.249364491333376</v>
      </c>
      <c r="X262" s="16">
        <f ca="1">(Table1[[#This Row],[Average_During]]-Table1[[#This Row],[Average_Before]])/Table1[[#This Row],[Average_Before]]*100</f>
        <v>41.311455315003158</v>
      </c>
    </row>
    <row r="263" spans="1:24">
      <c r="A263" s="38" t="s">
        <v>200</v>
      </c>
      <c r="B263" s="38" t="s">
        <v>31</v>
      </c>
      <c r="C263" s="39">
        <v>45330</v>
      </c>
      <c r="D263" s="40" t="s">
        <v>57</v>
      </c>
      <c r="E263" s="40" t="s">
        <v>41</v>
      </c>
      <c r="F263" s="40">
        <v>1889</v>
      </c>
      <c r="G263" s="40">
        <v>298</v>
      </c>
      <c r="H263" s="40">
        <v>122</v>
      </c>
      <c r="I263" s="40">
        <v>46225</v>
      </c>
      <c r="J263" s="40">
        <v>74305</v>
      </c>
      <c r="K263" s="40">
        <v>293</v>
      </c>
      <c r="L263" s="38" t="s">
        <v>21</v>
      </c>
      <c r="M263" s="38" t="s">
        <v>45</v>
      </c>
      <c r="N263" s="38" t="s">
        <v>59</v>
      </c>
      <c r="O263" s="41">
        <f>((Posts!$F256+Posts!$G256+Posts!$H256)/Posts!$I256)*100</f>
        <v>5.750319349540745</v>
      </c>
      <c r="P263" s="24">
        <f>SUM(Table2[[#This Row],[Likes]],Table2[[#This Row],[Shares]],Table2[[#This Row],[Comments]])</f>
        <v>5411</v>
      </c>
      <c r="Q26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63" s="25">
        <f>Table2[[#This Row],[Net_Engagement]]/Table2[[#This Row],[Total_Budget]]</f>
        <v>2.7054999999999999E-2</v>
      </c>
      <c r="S26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6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63" s="32" t="str">
        <f t="shared" si="9"/>
        <v>Before</v>
      </c>
      <c r="V263" s="16">
        <f t="shared" ca="1" si="10"/>
        <v>8.3461028338300416</v>
      </c>
      <c r="W263" s="16">
        <f t="shared" ca="1" si="11"/>
        <v>7.4315169498536102</v>
      </c>
      <c r="X263" s="16">
        <f ca="1">(Table1[[#This Row],[Average_During]]-Table1[[#This Row],[Average_Before]])/Table1[[#This Row],[Average_Before]]*100</f>
        <v>-10.958238859330304</v>
      </c>
    </row>
    <row r="264" spans="1:24">
      <c r="A264" s="42" t="s">
        <v>156</v>
      </c>
      <c r="B264" s="42" t="s">
        <v>14</v>
      </c>
      <c r="C264" s="43">
        <v>45781</v>
      </c>
      <c r="D264" s="44" t="s">
        <v>25</v>
      </c>
      <c r="E264" s="44" t="s">
        <v>26</v>
      </c>
      <c r="F264" s="44">
        <v>1311</v>
      </c>
      <c r="G264" s="44">
        <v>181</v>
      </c>
      <c r="H264" s="44">
        <v>361</v>
      </c>
      <c r="I264" s="44">
        <v>37148</v>
      </c>
      <c r="J264" s="44">
        <v>44875</v>
      </c>
      <c r="K264" s="44">
        <v>245</v>
      </c>
      <c r="L264" s="42" t="s">
        <v>42</v>
      </c>
      <c r="M264" s="42" t="s">
        <v>381</v>
      </c>
      <c r="N264" s="42" t="s">
        <v>55</v>
      </c>
      <c r="O264" s="45">
        <f>((Posts!$F257+Posts!$G257+Posts!$H257)/Posts!$I257)*100</f>
        <v>5.2312660271630733</v>
      </c>
      <c r="P264" s="28">
        <f>SUM(Table2[[#This Row],[Likes]],Table2[[#This Row],[Shares]],Table2[[#This Row],[Comments]])</f>
        <v>2811</v>
      </c>
      <c r="Q26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64" s="29">
        <f>Table2[[#This Row],[Net_Engagement]]/Table2[[#This Row],[Total_Budget]]</f>
        <v>1.7568750000000001E-2</v>
      </c>
      <c r="S26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6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64" s="32" t="str">
        <f t="shared" si="9"/>
        <v>Before</v>
      </c>
      <c r="V264" s="16">
        <f t="shared" ca="1" si="10"/>
        <v>8.2054473269725872</v>
      </c>
      <c r="W264" s="16">
        <f t="shared" ca="1" si="11"/>
        <v>8.7784083251419407</v>
      </c>
      <c r="X264" s="16">
        <f ca="1">(Table1[[#This Row],[Average_During]]-Table1[[#This Row],[Average_Before]])/Table1[[#This Row],[Average_Before]]*100</f>
        <v>6.9826905875800485</v>
      </c>
    </row>
    <row r="265" spans="1:24">
      <c r="A265" s="38" t="s">
        <v>270</v>
      </c>
      <c r="B265" s="38" t="s">
        <v>31</v>
      </c>
      <c r="C265" s="39">
        <v>45791</v>
      </c>
      <c r="D265" s="40" t="s">
        <v>15</v>
      </c>
      <c r="E265" s="40" t="s">
        <v>16</v>
      </c>
      <c r="F265" s="40">
        <v>1701</v>
      </c>
      <c r="G265" s="40">
        <v>272</v>
      </c>
      <c r="H265" s="40">
        <v>385</v>
      </c>
      <c r="I265" s="40">
        <v>47496</v>
      </c>
      <c r="J265" s="40">
        <v>40832</v>
      </c>
      <c r="K265" s="40">
        <v>246</v>
      </c>
      <c r="L265" s="38" t="s">
        <v>21</v>
      </c>
      <c r="M265" s="38" t="s">
        <v>380</v>
      </c>
      <c r="N265" s="38" t="s">
        <v>22</v>
      </c>
      <c r="O265" s="41">
        <f>((Posts!$F258+Posts!$G258+Posts!$H258)/Posts!$I258)*100</f>
        <v>8.5608773500447626</v>
      </c>
      <c r="P265" s="24">
        <f>SUM(Table2[[#This Row],[Likes]],Table2[[#This Row],[Shares]],Table2[[#This Row],[Comments]])</f>
        <v>2563</v>
      </c>
      <c r="Q26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65" s="25">
        <f>Table2[[#This Row],[Net_Engagement]]/Table2[[#This Row],[Total_Budget]]</f>
        <v>1.4645714285714286E-2</v>
      </c>
      <c r="S26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6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65" s="32" t="str">
        <f t="shared" si="9"/>
        <v>Before</v>
      </c>
      <c r="V265" s="16">
        <f t="shared" ca="1" si="10"/>
        <v>8.3856653019474248</v>
      </c>
      <c r="W265" s="16">
        <f t="shared" ca="1" si="11"/>
        <v>8.1327247002695522</v>
      </c>
      <c r="X265" s="16">
        <f ca="1">(Table1[[#This Row],[Average_During]]-Table1[[#This Row],[Average_Before]])/Table1[[#This Row],[Average_Before]]*100</f>
        <v>-3.0163450670888512</v>
      </c>
    </row>
    <row r="266" spans="1:24">
      <c r="A266" s="42" t="s">
        <v>281</v>
      </c>
      <c r="B266" s="42" t="s">
        <v>24</v>
      </c>
      <c r="C266" s="43">
        <v>45550</v>
      </c>
      <c r="D266" s="44" t="s">
        <v>15</v>
      </c>
      <c r="E266" s="44" t="s">
        <v>37</v>
      </c>
      <c r="F266" s="44">
        <v>2145</v>
      </c>
      <c r="G266" s="44">
        <v>340</v>
      </c>
      <c r="H266" s="44">
        <v>85</v>
      </c>
      <c r="I266" s="44">
        <v>53323</v>
      </c>
      <c r="J266" s="44">
        <v>49938</v>
      </c>
      <c r="K266" s="44">
        <v>104</v>
      </c>
      <c r="L266" s="42" t="s">
        <v>42</v>
      </c>
      <c r="M266" s="42" t="s">
        <v>381</v>
      </c>
      <c r="N266" s="42" t="s">
        <v>18</v>
      </c>
      <c r="O266" s="45">
        <f>((Posts!$F259+Posts!$G259+Posts!$H259)/Posts!$I259)*100</f>
        <v>3.3729709324273314</v>
      </c>
      <c r="P266" s="28">
        <f>SUM(Table2[[#This Row],[Likes]],Table2[[#This Row],[Shares]],Table2[[#This Row],[Comments]])</f>
        <v>4545</v>
      </c>
      <c r="Q26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66" s="29">
        <f>Table2[[#This Row],[Net_Engagement]]/Table2[[#This Row],[Total_Budget]]</f>
        <v>2.2724999999999999E-2</v>
      </c>
      <c r="S26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6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66" s="32" t="str">
        <f t="shared" ref="U266:U308" si="12">IF(AND(C266&gt;=$S$9,C266&lt;=$T$9),"During","Before")</f>
        <v>Before</v>
      </c>
      <c r="V266" s="16">
        <f t="shared" ref="V266:V308" ca="1" si="13">AVERAGEIF($U$9:$U$308,"Before",O266)</f>
        <v>8.6060990230756325</v>
      </c>
      <c r="W266" s="16">
        <f t="shared" ref="W266:W308" ca="1" si="14">IFERROR(AVERAGEIF($U$9:$U$308,"During",O266),0)</f>
        <v>6.7441814119627166</v>
      </c>
      <c r="X266" s="16">
        <f ca="1">(Table1[[#This Row],[Average_During]]-Table1[[#This Row],[Average_Before]])/Table1[[#This Row],[Average_Before]]*100</f>
        <v>-21.634861580380782</v>
      </c>
    </row>
    <row r="267" spans="1:24">
      <c r="A267" s="38" t="s">
        <v>95</v>
      </c>
      <c r="B267" s="38" t="s">
        <v>24</v>
      </c>
      <c r="C267" s="39">
        <v>45420</v>
      </c>
      <c r="D267" s="40" t="s">
        <v>15</v>
      </c>
      <c r="E267" s="40" t="s">
        <v>20</v>
      </c>
      <c r="F267" s="40">
        <v>1828</v>
      </c>
      <c r="G267" s="40">
        <v>450</v>
      </c>
      <c r="H267" s="40">
        <v>214</v>
      </c>
      <c r="I267" s="40">
        <v>52115</v>
      </c>
      <c r="J267" s="40">
        <v>19166</v>
      </c>
      <c r="K267" s="40">
        <v>190</v>
      </c>
      <c r="L267" s="38" t="s">
        <v>42</v>
      </c>
      <c r="M267" s="38" t="s">
        <v>381</v>
      </c>
      <c r="N267" s="38" t="s">
        <v>18</v>
      </c>
      <c r="O267" s="41">
        <f>((Posts!$F260+Posts!$G260+Posts!$H260)/Posts!$I260)*100</f>
        <v>7.5077784691972624</v>
      </c>
      <c r="P267" s="24">
        <f>SUM(Table2[[#This Row],[Likes]],Table2[[#This Row],[Shares]],Table2[[#This Row],[Comments]])</f>
        <v>3010</v>
      </c>
      <c r="Q26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267" s="25">
        <f>Table2[[#This Row],[Net_Engagement]]/Table2[[#This Row],[Total_Budget]]</f>
        <v>1.3377777777777778E-2</v>
      </c>
      <c r="S26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26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267" s="32" t="str">
        <f t="shared" si="12"/>
        <v>Before</v>
      </c>
      <c r="V267" s="16">
        <f t="shared" ca="1" si="13"/>
        <v>8.1099525347875083</v>
      </c>
      <c r="W267" s="16">
        <f t="shared" ca="1" si="14"/>
        <v>10.593248356799508</v>
      </c>
      <c r="X267" s="16">
        <f ca="1">(Table1[[#This Row],[Average_During]]-Table1[[#This Row],[Average_Before]])/Table1[[#This Row],[Average_Before]]*100</f>
        <v>30.620349642737647</v>
      </c>
    </row>
    <row r="268" spans="1:24">
      <c r="A268" s="42" t="s">
        <v>173</v>
      </c>
      <c r="B268" s="42" t="s">
        <v>31</v>
      </c>
      <c r="C268" s="43">
        <v>45318</v>
      </c>
      <c r="D268" s="44" t="s">
        <v>15</v>
      </c>
      <c r="E268" s="44" t="s">
        <v>51</v>
      </c>
      <c r="F268" s="44">
        <v>1976</v>
      </c>
      <c r="G268" s="44">
        <v>262</v>
      </c>
      <c r="H268" s="44">
        <v>218</v>
      </c>
      <c r="I268" s="44">
        <v>51696</v>
      </c>
      <c r="J268" s="44">
        <v>44846</v>
      </c>
      <c r="K268" s="44">
        <v>139</v>
      </c>
      <c r="L268" s="42" t="s">
        <v>21</v>
      </c>
      <c r="M268" s="42" t="s">
        <v>380</v>
      </c>
      <c r="N268" s="42" t="s">
        <v>22</v>
      </c>
      <c r="O268" s="45">
        <f>((Posts!$F261+Posts!$G261+Posts!$H261)/Posts!$I261)*100</f>
        <v>8.3423643616408025</v>
      </c>
      <c r="P268" s="28">
        <f>SUM(Table2[[#This Row],[Likes]],Table2[[#This Row],[Shares]],Table2[[#This Row],[Comments]])</f>
        <v>2957</v>
      </c>
      <c r="Q26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68" s="29">
        <f>Table2[[#This Row],[Net_Engagement]]/Table2[[#This Row],[Total_Budget]]</f>
        <v>1.8481250000000001E-2</v>
      </c>
      <c r="S26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6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68" s="32" t="str">
        <f t="shared" si="12"/>
        <v>Before</v>
      </c>
      <c r="V268" s="16">
        <f t="shared" ca="1" si="13"/>
        <v>8.7298263776417535</v>
      </c>
      <c r="W268" s="16">
        <f t="shared" ca="1" si="14"/>
        <v>7.0776799510814508</v>
      </c>
      <c r="X268" s="16">
        <f ca="1">(Table1[[#This Row],[Average_During]]-Table1[[#This Row],[Average_Before]])/Table1[[#This Row],[Average_Before]]*100</f>
        <v>-18.925306817002337</v>
      </c>
    </row>
    <row r="269" spans="1:24">
      <c r="A269" s="38" t="s">
        <v>53</v>
      </c>
      <c r="B269" s="38" t="s">
        <v>24</v>
      </c>
      <c r="C269" s="39">
        <v>45453</v>
      </c>
      <c r="D269" s="40" t="s">
        <v>15</v>
      </c>
      <c r="E269" s="40" t="s">
        <v>35</v>
      </c>
      <c r="F269" s="40">
        <v>1514</v>
      </c>
      <c r="G269" s="40">
        <v>164</v>
      </c>
      <c r="H269" s="40">
        <v>275</v>
      </c>
      <c r="I269" s="40">
        <v>41364</v>
      </c>
      <c r="J269" s="40">
        <v>44389</v>
      </c>
      <c r="K269" s="40">
        <v>83</v>
      </c>
      <c r="L269" s="38" t="s">
        <v>42</v>
      </c>
      <c r="M269" s="38" t="s">
        <v>381</v>
      </c>
      <c r="N269" s="38" t="s">
        <v>18</v>
      </c>
      <c r="O269" s="41">
        <f>((Posts!$F262+Posts!$G262+Posts!$H262)/Posts!$I262)*100</f>
        <v>6.8477000386548124</v>
      </c>
      <c r="P269" s="24">
        <f>SUM(Table2[[#This Row],[Likes]],Table2[[#This Row],[Shares]],Table2[[#This Row],[Comments]])</f>
        <v>3354</v>
      </c>
      <c r="Q26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69" s="25">
        <f>Table2[[#This Row],[Net_Engagement]]/Table2[[#This Row],[Total_Budget]]</f>
        <v>1.9165714285714286E-2</v>
      </c>
      <c r="S26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6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69" s="32" t="str">
        <f t="shared" si="12"/>
        <v>Before</v>
      </c>
      <c r="V269" s="16">
        <f t="shared" ca="1" si="13"/>
        <v>8.4020209506526093</v>
      </c>
      <c r="W269" s="16">
        <f t="shared" ca="1" si="14"/>
        <v>8.9998210400201017</v>
      </c>
      <c r="X269" s="16">
        <f ca="1">(Table1[[#This Row],[Average_During]]-Table1[[#This Row],[Average_Before]])/Table1[[#This Row],[Average_Before]]*100</f>
        <v>7.1149559478432334</v>
      </c>
    </row>
    <row r="270" spans="1:24">
      <c r="A270" s="42" t="s">
        <v>160</v>
      </c>
      <c r="B270" s="42" t="s">
        <v>14</v>
      </c>
      <c r="C270" s="43">
        <v>45674</v>
      </c>
      <c r="D270" s="44" t="s">
        <v>15</v>
      </c>
      <c r="E270" s="44" t="s">
        <v>41</v>
      </c>
      <c r="F270" s="44">
        <v>2266</v>
      </c>
      <c r="G270" s="44">
        <v>126</v>
      </c>
      <c r="H270" s="44">
        <v>140</v>
      </c>
      <c r="I270" s="44">
        <v>53759</v>
      </c>
      <c r="J270" s="44">
        <v>46834</v>
      </c>
      <c r="K270" s="44">
        <v>277</v>
      </c>
      <c r="L270" s="42" t="s">
        <v>21</v>
      </c>
      <c r="M270" s="42" t="s">
        <v>381</v>
      </c>
      <c r="N270" s="42" t="s">
        <v>22</v>
      </c>
      <c r="O270" s="45">
        <f>((Posts!$F263+Posts!$G263+Posts!$H263)/Posts!$I263)*100</f>
        <v>12.190780876853061</v>
      </c>
      <c r="P270" s="28">
        <f>SUM(Table2[[#This Row],[Likes]],Table2[[#This Row],[Shares]],Table2[[#This Row],[Comments]])</f>
        <v>5293</v>
      </c>
      <c r="Q27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70" s="29">
        <f>Table2[[#This Row],[Net_Engagement]]/Table2[[#This Row],[Total_Budget]]</f>
        <v>3.0245714285714285E-2</v>
      </c>
      <c r="S27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7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70" s="32" t="str">
        <f t="shared" si="12"/>
        <v>During</v>
      </c>
      <c r="V270" s="16">
        <f t="shared" ca="1" si="13"/>
        <v>8.6919075957737917</v>
      </c>
      <c r="W270" s="16">
        <f t="shared" ca="1" si="14"/>
        <v>7.6644979771865609</v>
      </c>
      <c r="X270" s="16">
        <f ca="1">(Table1[[#This Row],[Average_During]]-Table1[[#This Row],[Average_Before]])/Table1[[#This Row],[Average_Before]]*100</f>
        <v>-11.820300748328034</v>
      </c>
    </row>
    <row r="271" spans="1:24">
      <c r="A271" s="38" t="s">
        <v>109</v>
      </c>
      <c r="B271" s="38" t="s">
        <v>24</v>
      </c>
      <c r="C271" s="39">
        <v>45643</v>
      </c>
      <c r="D271" s="40" t="s">
        <v>25</v>
      </c>
      <c r="E271" s="40" t="s">
        <v>32</v>
      </c>
      <c r="F271" s="40">
        <v>1316</v>
      </c>
      <c r="G271" s="40">
        <v>472</v>
      </c>
      <c r="H271" s="40">
        <v>286</v>
      </c>
      <c r="I271" s="40">
        <v>44692</v>
      </c>
      <c r="J271" s="40">
        <v>53343</v>
      </c>
      <c r="K271" s="40">
        <v>227</v>
      </c>
      <c r="L271" s="38" t="s">
        <v>21</v>
      </c>
      <c r="M271" s="38" t="s">
        <v>379</v>
      </c>
      <c r="N271" s="38" t="s">
        <v>18</v>
      </c>
      <c r="O271" s="41">
        <f>((Posts!$F264+Posts!$G264+Posts!$H264)/Posts!$I264)*100</f>
        <v>5.4473577117609437</v>
      </c>
      <c r="P271" s="24">
        <f>SUM(Table2[[#This Row],[Likes]],Table2[[#This Row],[Shares]],Table2[[#This Row],[Comments]])</f>
        <v>1980</v>
      </c>
      <c r="Q27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71" s="25">
        <f>Table2[[#This Row],[Net_Engagement]]/Table2[[#This Row],[Total_Budget]]</f>
        <v>9.9000000000000008E-3</v>
      </c>
      <c r="S27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7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71" s="32" t="str">
        <f t="shared" si="12"/>
        <v>Before</v>
      </c>
      <c r="V271" s="16">
        <f t="shared" ca="1" si="13"/>
        <v>8.2010994973646074</v>
      </c>
      <c r="W271" s="16">
        <f t="shared" ca="1" si="14"/>
        <v>9.6989956218556657</v>
      </c>
      <c r="X271" s="16">
        <f ca="1">(Table1[[#This Row],[Average_During]]-Table1[[#This Row],[Average_Before]])/Table1[[#This Row],[Average_Before]]*100</f>
        <v>18.264576901821535</v>
      </c>
    </row>
    <row r="272" spans="1:24">
      <c r="A272" s="42" t="s">
        <v>259</v>
      </c>
      <c r="B272" s="42" t="s">
        <v>24</v>
      </c>
      <c r="C272" s="43">
        <v>45332</v>
      </c>
      <c r="D272" s="44" t="s">
        <v>15</v>
      </c>
      <c r="E272" s="44" t="s">
        <v>49</v>
      </c>
      <c r="F272" s="44">
        <v>1519</v>
      </c>
      <c r="G272" s="44">
        <v>456</v>
      </c>
      <c r="H272" s="44">
        <v>379</v>
      </c>
      <c r="I272" s="44">
        <v>51611</v>
      </c>
      <c r="J272" s="44">
        <v>45880</v>
      </c>
      <c r="K272" s="44">
        <v>176</v>
      </c>
      <c r="L272" s="42" t="s">
        <v>45</v>
      </c>
      <c r="M272" s="42" t="s">
        <v>381</v>
      </c>
      <c r="N272" s="42" t="s">
        <v>22</v>
      </c>
      <c r="O272" s="45">
        <f>((Posts!$F265+Posts!$G265+Posts!$H265)/Posts!$I265)*100</f>
        <v>5.4859907104176031</v>
      </c>
      <c r="P272" s="28">
        <f>SUM(Table2[[#This Row],[Likes]],Table2[[#This Row],[Shares]],Table2[[#This Row],[Comments]])</f>
        <v>3535</v>
      </c>
      <c r="Q27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72" s="29">
        <f>Table2[[#This Row],[Net_Engagement]]/Table2[[#This Row],[Total_Budget]]</f>
        <v>1.7675E-2</v>
      </c>
      <c r="S27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7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72" s="32" t="str">
        <f t="shared" si="12"/>
        <v>Before</v>
      </c>
      <c r="V272" s="16">
        <f t="shared" ca="1" si="13"/>
        <v>8.7010601604063389</v>
      </c>
      <c r="W272" s="16">
        <f t="shared" ca="1" si="14"/>
        <v>7.5748224937406698</v>
      </c>
      <c r="X272" s="16">
        <f ca="1">(Table1[[#This Row],[Average_During]]-Table1[[#This Row],[Average_Before]])/Table1[[#This Row],[Average_Before]]*100</f>
        <v>-12.943683251272612</v>
      </c>
    </row>
    <row r="273" spans="1:24">
      <c r="A273" s="38" t="s">
        <v>240</v>
      </c>
      <c r="B273" s="38" t="s">
        <v>24</v>
      </c>
      <c r="C273" s="39">
        <v>45369</v>
      </c>
      <c r="D273" s="40" t="s">
        <v>15</v>
      </c>
      <c r="E273" s="40" t="s">
        <v>26</v>
      </c>
      <c r="F273" s="40">
        <v>2033</v>
      </c>
      <c r="G273" s="40">
        <v>420</v>
      </c>
      <c r="H273" s="40">
        <v>94</v>
      </c>
      <c r="I273" s="40">
        <v>56290</v>
      </c>
      <c r="J273" s="40">
        <v>57391</v>
      </c>
      <c r="K273" s="40">
        <v>196</v>
      </c>
      <c r="L273" s="38" t="s">
        <v>42</v>
      </c>
      <c r="M273" s="38" t="s">
        <v>381</v>
      </c>
      <c r="N273" s="38" t="s">
        <v>18</v>
      </c>
      <c r="O273" s="41">
        <f>((Posts!$F266+Posts!$G266+Posts!$H266)/Posts!$I266)*100</f>
        <v>9.0752980172121163</v>
      </c>
      <c r="P273" s="24">
        <f>SUM(Table2[[#This Row],[Likes]],Table2[[#This Row],[Shares]],Table2[[#This Row],[Comments]])</f>
        <v>2952</v>
      </c>
      <c r="Q27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73" s="25">
        <f>Table2[[#This Row],[Net_Engagement]]/Table2[[#This Row],[Total_Budget]]</f>
        <v>1.8450000000000001E-2</v>
      </c>
      <c r="S27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7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73" s="32" t="str">
        <f t="shared" si="12"/>
        <v>Before</v>
      </c>
      <c r="V273" s="16">
        <f t="shared" ca="1" si="13"/>
        <v>8.5708630322953709</v>
      </c>
      <c r="W273" s="16">
        <f t="shared" ca="1" si="14"/>
        <v>8.7998110446932873</v>
      </c>
      <c r="X273" s="16">
        <f ca="1">(Table1[[#This Row],[Average_During]]-Table1[[#This Row],[Average_Before]])/Table1[[#This Row],[Average_Before]]*100</f>
        <v>2.6712363916589346</v>
      </c>
    </row>
    <row r="274" spans="1:24">
      <c r="A274" s="42" t="s">
        <v>333</v>
      </c>
      <c r="B274" s="42" t="s">
        <v>31</v>
      </c>
      <c r="C274" s="43">
        <v>45765</v>
      </c>
      <c r="D274" s="44" t="s">
        <v>57</v>
      </c>
      <c r="E274" s="44" t="s">
        <v>51</v>
      </c>
      <c r="F274" s="44">
        <v>1265</v>
      </c>
      <c r="G274" s="44">
        <v>230</v>
      </c>
      <c r="H274" s="44">
        <v>364</v>
      </c>
      <c r="I274" s="44">
        <v>41312</v>
      </c>
      <c r="J274" s="44">
        <v>50382</v>
      </c>
      <c r="K274" s="44">
        <v>106</v>
      </c>
      <c r="L274" s="42" t="s">
        <v>21</v>
      </c>
      <c r="M274" s="42" t="s">
        <v>45</v>
      </c>
      <c r="N274" s="42" t="s">
        <v>59</v>
      </c>
      <c r="O274" s="45">
        <f>((Posts!$F267+Posts!$G267+Posts!$H267)/Posts!$I267)*100</f>
        <v>11.695224773672146</v>
      </c>
      <c r="P274" s="28">
        <f>SUM(Table2[[#This Row],[Likes]],Table2[[#This Row],[Shares]],Table2[[#This Row],[Comments]])</f>
        <v>3383</v>
      </c>
      <c r="Q27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74" s="29">
        <f>Table2[[#This Row],[Net_Engagement]]/Table2[[#This Row],[Total_Budget]]</f>
        <v>1.6914999999999999E-2</v>
      </c>
      <c r="S27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7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74" s="32" t="str">
        <f t="shared" si="12"/>
        <v>Before</v>
      </c>
      <c r="V274" s="16">
        <f t="shared" ca="1" si="13"/>
        <v>8.7573446798767929</v>
      </c>
      <c r="W274" s="16">
        <f t="shared" ca="1" si="14"/>
        <v>7.5800341622213967</v>
      </c>
      <c r="X274" s="16">
        <f ca="1">(Table1[[#This Row],[Average_During]]-Table1[[#This Row],[Average_Before]])/Table1[[#This Row],[Average_Before]]*100</f>
        <v>-13.443692816621668</v>
      </c>
    </row>
    <row r="275" spans="1:24">
      <c r="A275" s="38" t="s">
        <v>126</v>
      </c>
      <c r="B275" s="38" t="s">
        <v>24</v>
      </c>
      <c r="C275" s="39">
        <v>45791</v>
      </c>
      <c r="D275" s="40" t="s">
        <v>25</v>
      </c>
      <c r="E275" s="40" t="s">
        <v>29</v>
      </c>
      <c r="F275" s="40">
        <v>1371</v>
      </c>
      <c r="G275" s="40">
        <v>139</v>
      </c>
      <c r="H275" s="40">
        <v>96</v>
      </c>
      <c r="I275" s="40">
        <v>36140</v>
      </c>
      <c r="J275" s="40">
        <v>39395</v>
      </c>
      <c r="K275" s="40">
        <v>169</v>
      </c>
      <c r="L275" s="38" t="s">
        <v>45</v>
      </c>
      <c r="M275" s="38" t="s">
        <v>42</v>
      </c>
      <c r="N275" s="38" t="s">
        <v>18</v>
      </c>
      <c r="O275" s="41">
        <f>((Posts!$F268+Posts!$G268+Posts!$H268)/Posts!$I268)*100</f>
        <v>6.127989389480665</v>
      </c>
      <c r="P275" s="24">
        <f>SUM(Table2[[#This Row],[Likes]],Table2[[#This Row],[Shares]],Table2[[#This Row],[Comments]])</f>
        <v>2730</v>
      </c>
      <c r="Q27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75" s="25">
        <f>Table2[[#This Row],[Net_Engagement]]/Table2[[#This Row],[Total_Budget]]</f>
        <v>1.7062500000000001E-2</v>
      </c>
      <c r="S27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7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75" s="32" t="str">
        <f t="shared" si="12"/>
        <v>Before</v>
      </c>
      <c r="V275" s="16">
        <f t="shared" ca="1" si="13"/>
        <v>8.4113037404532704</v>
      </c>
      <c r="W275" s="16">
        <f t="shared" ca="1" si="14"/>
        <v>8.9994955921187589</v>
      </c>
      <c r="X275" s="16">
        <f ca="1">(Table1[[#This Row],[Average_During]]-Table1[[#This Row],[Average_Before]])/Table1[[#This Row],[Average_Before]]*100</f>
        <v>6.992873754357988</v>
      </c>
    </row>
    <row r="276" spans="1:24">
      <c r="A276" s="42" t="s">
        <v>74</v>
      </c>
      <c r="B276" s="42" t="s">
        <v>14</v>
      </c>
      <c r="C276" s="43">
        <v>45666</v>
      </c>
      <c r="D276" s="44" t="s">
        <v>15</v>
      </c>
      <c r="E276" s="44" t="s">
        <v>26</v>
      </c>
      <c r="F276" s="44">
        <v>1015</v>
      </c>
      <c r="G276" s="44">
        <v>366</v>
      </c>
      <c r="H276" s="44">
        <v>308</v>
      </c>
      <c r="I276" s="44">
        <v>38127</v>
      </c>
      <c r="J276" s="44">
        <v>63790</v>
      </c>
      <c r="K276" s="44">
        <v>287</v>
      </c>
      <c r="L276" s="42" t="s">
        <v>45</v>
      </c>
      <c r="M276" s="42" t="s">
        <v>42</v>
      </c>
      <c r="N276" s="42" t="s">
        <v>18</v>
      </c>
      <c r="O276" s="45">
        <f>((Posts!$F269+Posts!$G269+Posts!$H269)/Posts!$I269)*100</f>
        <v>7.3202671439172375</v>
      </c>
      <c r="P276" s="28">
        <f>SUM(Table2[[#This Row],[Likes]],Table2[[#This Row],[Shares]],Table2[[#This Row],[Comments]])</f>
        <v>5510</v>
      </c>
      <c r="Q27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76" s="29">
        <f>Table2[[#This Row],[Net_Engagement]]/Table2[[#This Row],[Total_Budget]]</f>
        <v>3.4437500000000003E-2</v>
      </c>
      <c r="S27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7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76" s="32" t="str">
        <f t="shared" si="12"/>
        <v>Before</v>
      </c>
      <c r="V276" s="16">
        <f t="shared" ca="1" si="13"/>
        <v>8.5581676886989051</v>
      </c>
      <c r="W276" s="16">
        <f t="shared" ca="1" si="14"/>
        <v>8.6526085179974359</v>
      </c>
      <c r="X276" s="16">
        <f ca="1">(Table1[[#This Row],[Average_During]]-Table1[[#This Row],[Average_Before]])/Table1[[#This Row],[Average_Before]]*100</f>
        <v>1.1035169294852718</v>
      </c>
    </row>
    <row r="277" spans="1:24">
      <c r="A277" s="38" t="s">
        <v>291</v>
      </c>
      <c r="B277" s="38" t="s">
        <v>24</v>
      </c>
      <c r="C277" s="39">
        <v>45480</v>
      </c>
      <c r="D277" s="40" t="s">
        <v>15</v>
      </c>
      <c r="E277" s="40" t="s">
        <v>35</v>
      </c>
      <c r="F277" s="40">
        <v>1848</v>
      </c>
      <c r="G277" s="40">
        <v>417</v>
      </c>
      <c r="H277" s="40">
        <v>294</v>
      </c>
      <c r="I277" s="40">
        <v>57819</v>
      </c>
      <c r="J277" s="40">
        <v>19798</v>
      </c>
      <c r="K277" s="40">
        <v>262</v>
      </c>
      <c r="L277" s="38" t="s">
        <v>45</v>
      </c>
      <c r="M277" s="38" t="s">
        <v>381</v>
      </c>
      <c r="N277" s="38" t="s">
        <v>22</v>
      </c>
      <c r="O277" s="41">
        <f>((Posts!$F270+Posts!$G270+Posts!$H270)/Posts!$I270)*100</f>
        <v>9.2893873181347502</v>
      </c>
      <c r="P277" s="24">
        <f>SUM(Table2[[#This Row],[Likes]],Table2[[#This Row],[Shares]],Table2[[#This Row],[Comments]])</f>
        <v>2727</v>
      </c>
      <c r="Q27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77" s="25">
        <f>Table2[[#This Row],[Net_Engagement]]/Table2[[#This Row],[Total_Budget]]</f>
        <v>1.3635E-2</v>
      </c>
      <c r="S27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7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77" s="32" t="str">
        <f t="shared" si="12"/>
        <v>Before</v>
      </c>
      <c r="V277" s="16">
        <f t="shared" ca="1" si="13"/>
        <v>9.2001059731145869</v>
      </c>
      <c r="W277" s="16">
        <f t="shared" ca="1" si="14"/>
        <v>4.4685156632830676</v>
      </c>
      <c r="X277" s="16">
        <f ca="1">(Table1[[#This Row],[Average_During]]-Table1[[#This Row],[Average_Before]])/Table1[[#This Row],[Average_Before]]*100</f>
        <v>-51.429737044971176</v>
      </c>
    </row>
    <row r="278" spans="1:24">
      <c r="A278" s="42" t="s">
        <v>102</v>
      </c>
      <c r="B278" s="42" t="s">
        <v>24</v>
      </c>
      <c r="C278" s="43">
        <v>45599</v>
      </c>
      <c r="D278" s="44" t="s">
        <v>25</v>
      </c>
      <c r="E278" s="44" t="s">
        <v>29</v>
      </c>
      <c r="F278" s="44">
        <v>1959</v>
      </c>
      <c r="G278" s="44">
        <v>316</v>
      </c>
      <c r="H278" s="44">
        <v>82</v>
      </c>
      <c r="I278" s="44">
        <v>54036</v>
      </c>
      <c r="J278" s="44">
        <v>69015</v>
      </c>
      <c r="K278" s="44">
        <v>182</v>
      </c>
      <c r="L278" s="42" t="s">
        <v>379</v>
      </c>
      <c r="M278" s="42" t="s">
        <v>42</v>
      </c>
      <c r="N278" s="42" t="s">
        <v>18</v>
      </c>
      <c r="O278" s="45">
        <f>((Posts!$F271+Posts!$G271+Posts!$H271)/Posts!$I271)*100</f>
        <v>3.3603177027646249</v>
      </c>
      <c r="P278" s="28">
        <f>SUM(Table2[[#This Row],[Likes]],Table2[[#This Row],[Shares]],Table2[[#This Row],[Comments]])</f>
        <v>1960</v>
      </c>
      <c r="Q27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278" s="29">
        <f>Table2[[#This Row],[Net_Engagement]]/Table2[[#This Row],[Total_Budget]]</f>
        <v>8.7111111111111104E-3</v>
      </c>
      <c r="S27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27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278" s="32" t="str">
        <f t="shared" si="12"/>
        <v>Before</v>
      </c>
      <c r="V278" s="16">
        <f t="shared" ca="1" si="13"/>
        <v>8.4463126817551402</v>
      </c>
      <c r="W278" s="16">
        <f t="shared" ca="1" si="14"/>
        <v>9.5343000437042829</v>
      </c>
      <c r="X278" s="16">
        <f ca="1">(Table1[[#This Row],[Average_During]]-Table1[[#This Row],[Average_Before]])/Table1[[#This Row],[Average_Before]]*100</f>
        <v>12.881211043717355</v>
      </c>
    </row>
    <row r="279" spans="1:24">
      <c r="A279" s="38" t="s">
        <v>61</v>
      </c>
      <c r="B279" s="38" t="s">
        <v>14</v>
      </c>
      <c r="C279" s="39">
        <v>45603</v>
      </c>
      <c r="D279" s="40" t="s">
        <v>25</v>
      </c>
      <c r="E279" s="40" t="s">
        <v>29</v>
      </c>
      <c r="F279" s="40">
        <v>1678</v>
      </c>
      <c r="G279" s="40">
        <v>423</v>
      </c>
      <c r="H279" s="40">
        <v>323</v>
      </c>
      <c r="I279" s="40">
        <v>55668</v>
      </c>
      <c r="J279" s="40">
        <v>37945</v>
      </c>
      <c r="K279" s="40">
        <v>230</v>
      </c>
      <c r="L279" s="38" t="s">
        <v>42</v>
      </c>
      <c r="M279" s="38" t="s">
        <v>381</v>
      </c>
      <c r="N279" s="38" t="s">
        <v>55</v>
      </c>
      <c r="O279" s="41">
        <f>((Posts!$F272+Posts!$G272+Posts!$H272)/Posts!$I272)*100</f>
        <v>14.843585975225698</v>
      </c>
      <c r="P279" s="24">
        <f>SUM(Table2[[#This Row],[Likes]],Table2[[#This Row],[Shares]],Table2[[#This Row],[Comments]])</f>
        <v>3731</v>
      </c>
      <c r="Q27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79" s="25">
        <f>Table2[[#This Row],[Net_Engagement]]/Table2[[#This Row],[Total_Budget]]</f>
        <v>1.8655000000000001E-2</v>
      </c>
      <c r="S27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7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79" s="32" t="str">
        <f t="shared" si="12"/>
        <v>Before</v>
      </c>
      <c r="V279" s="16">
        <f t="shared" ca="1" si="13"/>
        <v>8.8783537940455908</v>
      </c>
      <c r="W279" s="16">
        <f t="shared" ca="1" si="14"/>
        <v>7.9975315585640061</v>
      </c>
      <c r="X279" s="16">
        <f ca="1">(Table1[[#This Row],[Average_During]]-Table1[[#This Row],[Average_Before]])/Table1[[#This Row],[Average_Before]]*100</f>
        <v>-9.9210085102975079</v>
      </c>
    </row>
    <row r="280" spans="1:24">
      <c r="A280" s="42" t="s">
        <v>221</v>
      </c>
      <c r="B280" s="42" t="s">
        <v>24</v>
      </c>
      <c r="C280" s="43">
        <v>45370</v>
      </c>
      <c r="D280" s="44" t="s">
        <v>15</v>
      </c>
      <c r="E280" s="44" t="s">
        <v>49</v>
      </c>
      <c r="F280" s="44">
        <v>2191</v>
      </c>
      <c r="G280" s="44">
        <v>288</v>
      </c>
      <c r="H280" s="44">
        <v>83</v>
      </c>
      <c r="I280" s="44">
        <v>59606</v>
      </c>
      <c r="J280" s="44">
        <v>24765</v>
      </c>
      <c r="K280" s="44">
        <v>281</v>
      </c>
      <c r="L280" s="42" t="s">
        <v>45</v>
      </c>
      <c r="M280" s="42" t="s">
        <v>381</v>
      </c>
      <c r="N280" s="42" t="s">
        <v>22</v>
      </c>
      <c r="O280" s="45">
        <f>((Posts!$F273+Posts!$G273+Posts!$H273)/Posts!$I273)*100</f>
        <v>5.1861351697967359</v>
      </c>
      <c r="P280" s="28">
        <f>SUM(Table2[[#This Row],[Likes]],Table2[[#This Row],[Shares]],Table2[[#This Row],[Comments]])</f>
        <v>4173</v>
      </c>
      <c r="Q28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80" s="29">
        <f>Table2[[#This Row],[Net_Engagement]]/Table2[[#This Row],[Total_Budget]]</f>
        <v>2.0865000000000002E-2</v>
      </c>
      <c r="S28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8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80" s="32" t="str">
        <f t="shared" si="12"/>
        <v>Before</v>
      </c>
      <c r="V280" s="16">
        <f t="shared" ca="1" si="13"/>
        <v>8.691389458731587</v>
      </c>
      <c r="W280" s="16">
        <f t="shared" ca="1" si="14"/>
        <v>7.3358709923981236</v>
      </c>
      <c r="X280" s="16">
        <f ca="1">(Table1[[#This Row],[Average_During]]-Table1[[#This Row],[Average_Before]])/Table1[[#This Row],[Average_Before]]*100</f>
        <v>-15.596107765849517</v>
      </c>
    </row>
    <row r="281" spans="1:24">
      <c r="A281" s="38" t="s">
        <v>158</v>
      </c>
      <c r="B281" s="38" t="s">
        <v>24</v>
      </c>
      <c r="C281" s="39">
        <v>45428</v>
      </c>
      <c r="D281" s="40" t="s">
        <v>25</v>
      </c>
      <c r="E281" s="40" t="s">
        <v>32</v>
      </c>
      <c r="F281" s="40">
        <v>2023</v>
      </c>
      <c r="G281" s="40">
        <v>124</v>
      </c>
      <c r="H281" s="40">
        <v>99</v>
      </c>
      <c r="I281" s="40">
        <v>54524</v>
      </c>
      <c r="J281" s="40">
        <v>34790</v>
      </c>
      <c r="K281" s="40">
        <v>195</v>
      </c>
      <c r="L281" s="38" t="s">
        <v>21</v>
      </c>
      <c r="M281" s="38" t="s">
        <v>379</v>
      </c>
      <c r="N281" s="38" t="s">
        <v>18</v>
      </c>
      <c r="O281" s="41">
        <f>((Posts!$F274+Posts!$G274+Posts!$H274)/Posts!$I274)*100</f>
        <v>6.6160796354604656</v>
      </c>
      <c r="P281" s="24">
        <f>SUM(Table2[[#This Row],[Likes]],Table2[[#This Row],[Shares]],Table2[[#This Row],[Comments]])</f>
        <v>5037</v>
      </c>
      <c r="Q28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81" s="25">
        <f>Table2[[#This Row],[Net_Engagement]]/Table2[[#This Row],[Total_Budget]]</f>
        <v>2.5184999999999999E-2</v>
      </c>
      <c r="S28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8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81" s="32" t="str">
        <f t="shared" si="12"/>
        <v>Before</v>
      </c>
      <c r="V281" s="16">
        <f t="shared" ca="1" si="13"/>
        <v>9.0183635338073209</v>
      </c>
      <c r="W281" s="16">
        <f t="shared" ca="1" si="14"/>
        <v>5.7795051297452815</v>
      </c>
      <c r="X281" s="16">
        <f ca="1">(Table1[[#This Row],[Average_During]]-Table1[[#This Row],[Average_Before]])/Table1[[#This Row],[Average_Before]]*100</f>
        <v>-35.914036864010477</v>
      </c>
    </row>
    <row r="282" spans="1:24">
      <c r="A282" s="42" t="s">
        <v>114</v>
      </c>
      <c r="B282" s="42" t="s">
        <v>24</v>
      </c>
      <c r="C282" s="43">
        <v>45431</v>
      </c>
      <c r="D282" s="44" t="s">
        <v>25</v>
      </c>
      <c r="E282" s="44" t="s">
        <v>37</v>
      </c>
      <c r="F282" s="44">
        <v>1763</v>
      </c>
      <c r="G282" s="44">
        <v>206</v>
      </c>
      <c r="H282" s="44">
        <v>187</v>
      </c>
      <c r="I282" s="44">
        <v>53342</v>
      </c>
      <c r="J282" s="44">
        <v>25095</v>
      </c>
      <c r="K282" s="44">
        <v>88</v>
      </c>
      <c r="L282" s="42" t="s">
        <v>21</v>
      </c>
      <c r="M282" s="42" t="s">
        <v>379</v>
      </c>
      <c r="N282" s="42" t="s">
        <v>18</v>
      </c>
      <c r="O282" s="45">
        <f>((Posts!$F275+Posts!$G275+Posts!$H275)/Posts!$I275)*100</f>
        <v>5.4638246772740917</v>
      </c>
      <c r="P282" s="28">
        <f>SUM(Table2[[#This Row],[Likes]],Table2[[#This Row],[Shares]],Table2[[#This Row],[Comments]])</f>
        <v>5593</v>
      </c>
      <c r="Q28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82" s="29">
        <f>Table2[[#This Row],[Net_Engagement]]/Table2[[#This Row],[Total_Budget]]</f>
        <v>2.7965E-2</v>
      </c>
      <c r="S28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8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82" s="32" t="str">
        <f t="shared" si="12"/>
        <v>Before</v>
      </c>
      <c r="V282" s="16">
        <f t="shared" ca="1" si="13"/>
        <v>8.8662729587994082</v>
      </c>
      <c r="W282" s="16">
        <f t="shared" ca="1" si="14"/>
        <v>7.796991029257538</v>
      </c>
      <c r="X282" s="16">
        <f ca="1">(Table1[[#This Row],[Average_During]]-Table1[[#This Row],[Average_Before]])/Table1[[#This Row],[Average_Before]]*100</f>
        <v>-12.060106140547504</v>
      </c>
    </row>
    <row r="283" spans="1:24">
      <c r="A283" s="38" t="s">
        <v>252</v>
      </c>
      <c r="B283" s="38" t="s">
        <v>24</v>
      </c>
      <c r="C283" s="39">
        <v>45827</v>
      </c>
      <c r="D283" s="40" t="s">
        <v>25</v>
      </c>
      <c r="E283" s="40" t="s">
        <v>35</v>
      </c>
      <c r="F283" s="40">
        <v>1433</v>
      </c>
      <c r="G283" s="40">
        <v>452</v>
      </c>
      <c r="H283" s="40">
        <v>305</v>
      </c>
      <c r="I283" s="40">
        <v>54541</v>
      </c>
      <c r="J283" s="40">
        <v>63700</v>
      </c>
      <c r="K283" s="40">
        <v>296</v>
      </c>
      <c r="L283" s="38" t="s">
        <v>21</v>
      </c>
      <c r="M283" s="38" t="s">
        <v>379</v>
      </c>
      <c r="N283" s="38" t="s">
        <v>18</v>
      </c>
      <c r="O283" s="41">
        <f>((Posts!$F276+Posts!$G276+Posts!$H276)/Posts!$I276)*100</f>
        <v>9.413975738937296</v>
      </c>
      <c r="P283" s="24">
        <f>SUM(Table2[[#This Row],[Likes]],Table2[[#This Row],[Shares]],Table2[[#This Row],[Comments]])</f>
        <v>3191</v>
      </c>
      <c r="Q28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83" s="25">
        <f>Table2[[#This Row],[Net_Engagement]]/Table2[[#This Row],[Total_Budget]]</f>
        <v>1.5955E-2</v>
      </c>
      <c r="S28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8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83" s="32" t="str">
        <f t="shared" si="12"/>
        <v>Before</v>
      </c>
      <c r="V283" s="16">
        <f t="shared" ca="1" si="13"/>
        <v>9.0826392187976417</v>
      </c>
      <c r="W283" s="16">
        <f t="shared" ca="1" si="14"/>
        <v>7.2723324631128605</v>
      </c>
      <c r="X283" s="16">
        <f ca="1">(Table1[[#This Row],[Average_During]]-Table1[[#This Row],[Average_Before]])/Table1[[#This Row],[Average_Before]]*100</f>
        <v>-19.931505722897462</v>
      </c>
    </row>
    <row r="284" spans="1:24">
      <c r="A284" s="42" t="s">
        <v>84</v>
      </c>
      <c r="B284" s="42" t="s">
        <v>14</v>
      </c>
      <c r="C284" s="43">
        <v>45541</v>
      </c>
      <c r="D284" s="44" t="s">
        <v>15</v>
      </c>
      <c r="E284" s="44" t="s">
        <v>26</v>
      </c>
      <c r="F284" s="44">
        <v>1452</v>
      </c>
      <c r="G284" s="44">
        <v>281</v>
      </c>
      <c r="H284" s="44">
        <v>326</v>
      </c>
      <c r="I284" s="44">
        <v>51556</v>
      </c>
      <c r="J284" s="44">
        <v>62599</v>
      </c>
      <c r="K284" s="44">
        <v>290</v>
      </c>
      <c r="L284" s="42" t="s">
        <v>21</v>
      </c>
      <c r="M284" s="42" t="s">
        <v>381</v>
      </c>
      <c r="N284" s="42" t="s">
        <v>22</v>
      </c>
      <c r="O284" s="45">
        <f>((Posts!$F277+Posts!$G277+Posts!$H277)/Posts!$I277)*100</f>
        <v>5.7682545054573149</v>
      </c>
      <c r="P284" s="28">
        <f>SUM(Table2[[#This Row],[Likes]],Table2[[#This Row],[Shares]],Table2[[#This Row],[Comments]])</f>
        <v>4836</v>
      </c>
      <c r="Q28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84" s="29">
        <f>Table2[[#This Row],[Net_Engagement]]/Table2[[#This Row],[Total_Budget]]</f>
        <v>3.0224999999999998E-2</v>
      </c>
      <c r="S28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8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84" s="32" t="str">
        <f t="shared" si="12"/>
        <v>Before</v>
      </c>
      <c r="V284" s="16">
        <f t="shared" ca="1" si="13"/>
        <v>8.3678531697207106</v>
      </c>
      <c r="W284" s="16">
        <f t="shared" ca="1" si="14"/>
        <v>14.42155038958537</v>
      </c>
      <c r="X284" s="16">
        <f ca="1">(Table1[[#This Row],[Average_During]]-Table1[[#This Row],[Average_Before]])/Table1[[#This Row],[Average_Before]]*100</f>
        <v>72.344687425564729</v>
      </c>
    </row>
    <row r="285" spans="1:24">
      <c r="A285" s="38" t="s">
        <v>79</v>
      </c>
      <c r="B285" s="38" t="s">
        <v>14</v>
      </c>
      <c r="C285" s="39">
        <v>45621</v>
      </c>
      <c r="D285" s="40" t="s">
        <v>15</v>
      </c>
      <c r="E285" s="40" t="s">
        <v>49</v>
      </c>
      <c r="F285" s="40">
        <v>1341</v>
      </c>
      <c r="G285" s="40">
        <v>472</v>
      </c>
      <c r="H285" s="40">
        <v>238</v>
      </c>
      <c r="I285" s="40">
        <v>51386</v>
      </c>
      <c r="J285" s="40">
        <v>51706</v>
      </c>
      <c r="K285" s="40">
        <v>133</v>
      </c>
      <c r="L285" s="38" t="s">
        <v>21</v>
      </c>
      <c r="M285" s="38" t="s">
        <v>381</v>
      </c>
      <c r="N285" s="38" t="s">
        <v>22</v>
      </c>
      <c r="O285" s="41">
        <f>((Posts!$F278+Posts!$G278+Posts!$H278)/Posts!$I278)*100</f>
        <v>8.3972409065592739</v>
      </c>
      <c r="P285" s="24">
        <f>SUM(Table2[[#This Row],[Likes]],Table2[[#This Row],[Shares]],Table2[[#This Row],[Comments]])</f>
        <v>2325</v>
      </c>
      <c r="Q28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285" s="25">
        <f>Table2[[#This Row],[Net_Engagement]]/Table2[[#This Row],[Total_Budget]]</f>
        <v>1.0333333333333333E-2</v>
      </c>
      <c r="S28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28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285" s="32" t="str">
        <f t="shared" si="12"/>
        <v>Before</v>
      </c>
      <c r="V285" s="16">
        <f t="shared" ca="1" si="13"/>
        <v>8.9858660271178437</v>
      </c>
      <c r="W285" s="16">
        <f t="shared" ca="1" si="14"/>
        <v>8.9232082903486081</v>
      </c>
      <c r="X285" s="16">
        <f ca="1">(Table1[[#This Row],[Average_During]]-Table1[[#This Row],[Average_Before]])/Table1[[#This Row],[Average_Before]]*100</f>
        <v>-0.69729213166705351</v>
      </c>
    </row>
    <row r="286" spans="1:24">
      <c r="A286" s="42" t="s">
        <v>153</v>
      </c>
      <c r="B286" s="42" t="s">
        <v>14</v>
      </c>
      <c r="C286" s="43">
        <v>45544</v>
      </c>
      <c r="D286" s="44" t="s">
        <v>15</v>
      </c>
      <c r="E286" s="44" t="s">
        <v>26</v>
      </c>
      <c r="F286" s="44">
        <v>1616</v>
      </c>
      <c r="G286" s="44">
        <v>360</v>
      </c>
      <c r="H286" s="44">
        <v>180</v>
      </c>
      <c r="I286" s="44">
        <v>54342</v>
      </c>
      <c r="J286" s="44">
        <v>18796</v>
      </c>
      <c r="K286" s="44">
        <v>282</v>
      </c>
      <c r="L286" s="42" t="s">
        <v>45</v>
      </c>
      <c r="M286" s="42" t="s">
        <v>42</v>
      </c>
      <c r="N286" s="42" t="s">
        <v>18</v>
      </c>
      <c r="O286" s="45">
        <f>((Posts!$F279+Posts!$G279+Posts!$H279)/Posts!$I279)*100</f>
        <v>6.6186514342481058</v>
      </c>
      <c r="P286" s="28">
        <f>SUM(Table2[[#This Row],[Likes]],Table2[[#This Row],[Shares]],Table2[[#This Row],[Comments]])</f>
        <v>1948</v>
      </c>
      <c r="Q28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86" s="29">
        <f>Table2[[#This Row],[Net_Engagement]]/Table2[[#This Row],[Total_Budget]]</f>
        <v>1.2175E-2</v>
      </c>
      <c r="S28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8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86" s="32" t="str">
        <f t="shared" si="12"/>
        <v>Before</v>
      </c>
      <c r="V286" s="16">
        <f t="shared" ca="1" si="13"/>
        <v>8.4203973731392541</v>
      </c>
      <c r="W286" s="16">
        <f t="shared" ca="1" si="14"/>
        <v>15.154941717403068</v>
      </c>
      <c r="X286" s="16">
        <f ca="1">(Table1[[#This Row],[Average_During]]-Table1[[#This Row],[Average_Before]])/Table1[[#This Row],[Average_Before]]*100</f>
        <v>79.978937404388446</v>
      </c>
    </row>
    <row r="287" spans="1:24">
      <c r="A287" s="38" t="s">
        <v>248</v>
      </c>
      <c r="B287" s="38" t="s">
        <v>24</v>
      </c>
      <c r="C287" s="39">
        <v>45754</v>
      </c>
      <c r="D287" s="40" t="s">
        <v>15</v>
      </c>
      <c r="E287" s="40" t="s">
        <v>49</v>
      </c>
      <c r="F287" s="40">
        <v>1403</v>
      </c>
      <c r="G287" s="40">
        <v>385</v>
      </c>
      <c r="H287" s="40">
        <v>344</v>
      </c>
      <c r="I287" s="40">
        <v>54223</v>
      </c>
      <c r="J287" s="40">
        <v>72595</v>
      </c>
      <c r="K287" s="40">
        <v>239</v>
      </c>
      <c r="L287" s="38" t="s">
        <v>45</v>
      </c>
      <c r="M287" s="38" t="s">
        <v>381</v>
      </c>
      <c r="N287" s="38" t="s">
        <v>22</v>
      </c>
      <c r="O287" s="41">
        <f>((Posts!$F280+Posts!$G280+Posts!$H280)/Posts!$I280)*100</f>
        <v>20.445859872611464</v>
      </c>
      <c r="P287" s="24">
        <f>SUM(Table2[[#This Row],[Likes]],Table2[[#This Row],[Shares]],Table2[[#This Row],[Comments]])</f>
        <v>3883</v>
      </c>
      <c r="Q28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87" s="25">
        <f>Table2[[#This Row],[Net_Engagement]]/Table2[[#This Row],[Total_Budget]]</f>
        <v>2.4268749999999999E-2</v>
      </c>
      <c r="S28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8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87" s="32" t="str">
        <f t="shared" si="12"/>
        <v>Before</v>
      </c>
      <c r="V287" s="16">
        <f t="shared" ca="1" si="13"/>
        <v>9.1917062717151801</v>
      </c>
      <c r="W287" s="16">
        <f t="shared" ca="1" si="14"/>
        <v>8.3427257010893694</v>
      </c>
      <c r="X287" s="16">
        <f ca="1">(Table1[[#This Row],[Average_During]]-Table1[[#This Row],[Average_Before]])/Table1[[#This Row],[Average_Before]]*100</f>
        <v>-9.2363762018625764</v>
      </c>
    </row>
    <row r="288" spans="1:24">
      <c r="A288" s="42" t="s">
        <v>78</v>
      </c>
      <c r="B288" s="42" t="s">
        <v>14</v>
      </c>
      <c r="C288" s="43">
        <v>45545</v>
      </c>
      <c r="D288" s="44" t="s">
        <v>25</v>
      </c>
      <c r="E288" s="44" t="s">
        <v>26</v>
      </c>
      <c r="F288" s="44">
        <v>1230</v>
      </c>
      <c r="G288" s="44">
        <v>309</v>
      </c>
      <c r="H288" s="44">
        <v>207</v>
      </c>
      <c r="I288" s="44">
        <v>44629</v>
      </c>
      <c r="J288" s="44">
        <v>40699</v>
      </c>
      <c r="K288" s="44">
        <v>195</v>
      </c>
      <c r="L288" s="42" t="s">
        <v>42</v>
      </c>
      <c r="M288" s="42" t="s">
        <v>381</v>
      </c>
      <c r="N288" s="42" t="s">
        <v>55</v>
      </c>
      <c r="O288" s="45">
        <f>((Posts!$F281+Posts!$G281+Posts!$H281)/Posts!$I281)*100</f>
        <v>11.22776514644911</v>
      </c>
      <c r="P288" s="28">
        <f>SUM(Table2[[#This Row],[Likes]],Table2[[#This Row],[Shares]],Table2[[#This Row],[Comments]])</f>
        <v>2580</v>
      </c>
      <c r="Q28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88" s="29">
        <f>Table2[[#This Row],[Net_Engagement]]/Table2[[#This Row],[Total_Budget]]</f>
        <v>1.6125E-2</v>
      </c>
      <c r="S28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8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88" s="32" t="str">
        <f t="shared" si="12"/>
        <v>Before</v>
      </c>
      <c r="V288" s="16">
        <f t="shared" ca="1" si="13"/>
        <v>8.5042828851371279</v>
      </c>
      <c r="W288" s="16">
        <f t="shared" ca="1" si="14"/>
        <v>9.2461710731327322</v>
      </c>
      <c r="X288" s="16">
        <f ca="1">(Table1[[#This Row],[Average_During]]-Table1[[#This Row],[Average_Before]])/Table1[[#This Row],[Average_Before]]*100</f>
        <v>8.7237007283964747</v>
      </c>
    </row>
    <row r="289" spans="1:24">
      <c r="A289" s="38" t="s">
        <v>196</v>
      </c>
      <c r="B289" s="38" t="s">
        <v>31</v>
      </c>
      <c r="C289" s="39">
        <v>45538</v>
      </c>
      <c r="D289" s="40" t="s">
        <v>57</v>
      </c>
      <c r="E289" s="40" t="s">
        <v>35</v>
      </c>
      <c r="F289" s="40">
        <v>1437</v>
      </c>
      <c r="G289" s="40">
        <v>494</v>
      </c>
      <c r="H289" s="40">
        <v>129</v>
      </c>
      <c r="I289" s="40">
        <v>53048</v>
      </c>
      <c r="J289" s="40">
        <v>44090</v>
      </c>
      <c r="K289" s="40">
        <v>230</v>
      </c>
      <c r="L289" s="38" t="s">
        <v>21</v>
      </c>
      <c r="M289" s="38" t="s">
        <v>45</v>
      </c>
      <c r="N289" s="38" t="s">
        <v>59</v>
      </c>
      <c r="O289" s="41">
        <f>((Posts!$F282+Posts!$G282+Posts!$H282)/Posts!$I282)*100</f>
        <v>9.8640235621946708</v>
      </c>
      <c r="P289" s="24">
        <f>SUM(Table2[[#This Row],[Likes]],Table2[[#This Row],[Shares]],Table2[[#This Row],[Comments]])</f>
        <v>5555</v>
      </c>
      <c r="Q28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89" s="25">
        <f>Table2[[#This Row],[Net_Engagement]]/Table2[[#This Row],[Total_Budget]]</f>
        <v>2.7775000000000001E-2</v>
      </c>
      <c r="S28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8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89" s="32" t="str">
        <f t="shared" si="12"/>
        <v>Before</v>
      </c>
      <c r="V289" s="16">
        <f t="shared" ca="1" si="13"/>
        <v>8.6101458693588917</v>
      </c>
      <c r="W289" s="16">
        <f t="shared" ca="1" si="14"/>
        <v>6.9316630844808671</v>
      </c>
      <c r="X289" s="16">
        <f ca="1">(Table1[[#This Row],[Average_During]]-Table1[[#This Row],[Average_Before]])/Table1[[#This Row],[Average_Before]]*100</f>
        <v>-19.494243307204314</v>
      </c>
    </row>
    <row r="290" spans="1:24">
      <c r="A290" s="42" t="s">
        <v>103</v>
      </c>
      <c r="B290" s="42" t="s">
        <v>24</v>
      </c>
      <c r="C290" s="43">
        <v>45480</v>
      </c>
      <c r="D290" s="44" t="s">
        <v>15</v>
      </c>
      <c r="E290" s="44" t="s">
        <v>26</v>
      </c>
      <c r="F290" s="44">
        <v>1035</v>
      </c>
      <c r="G290" s="44">
        <v>137</v>
      </c>
      <c r="H290" s="44">
        <v>184</v>
      </c>
      <c r="I290" s="44">
        <v>37302</v>
      </c>
      <c r="J290" s="44">
        <v>68953</v>
      </c>
      <c r="K290" s="44">
        <v>237</v>
      </c>
      <c r="L290" s="42" t="s">
        <v>45</v>
      </c>
      <c r="M290" s="42" t="s">
        <v>381</v>
      </c>
      <c r="N290" s="42" t="s">
        <v>22</v>
      </c>
      <c r="O290" s="45">
        <f>((Posts!$F283+Posts!$G283+Posts!$H283)/Posts!$I283)*100</f>
        <v>5.4576862557296293</v>
      </c>
      <c r="P290" s="28">
        <f>SUM(Table2[[#This Row],[Likes]],Table2[[#This Row],[Shares]],Table2[[#This Row],[Comments]])</f>
        <v>5507</v>
      </c>
      <c r="Q29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290" s="29">
        <f>Table2[[#This Row],[Net_Engagement]]/Table2[[#This Row],[Total_Budget]]</f>
        <v>2.4475555555555556E-2</v>
      </c>
      <c r="S29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29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290" s="32" t="str">
        <f t="shared" si="12"/>
        <v>Before</v>
      </c>
      <c r="V290" s="16">
        <f t="shared" ca="1" si="13"/>
        <v>8.6429800679974633</v>
      </c>
      <c r="W290" s="16">
        <f t="shared" ca="1" si="14"/>
        <v>6.025633549635117</v>
      </c>
      <c r="X290" s="16">
        <f ca="1">(Table1[[#This Row],[Average_During]]-Table1[[#This Row],[Average_Before]])/Table1[[#This Row],[Average_Before]]*100</f>
        <v>-30.282917440173769</v>
      </c>
    </row>
    <row r="291" spans="1:24">
      <c r="A291" s="38" t="s">
        <v>162</v>
      </c>
      <c r="B291" s="38" t="s">
        <v>24</v>
      </c>
      <c r="C291" s="39">
        <v>45346</v>
      </c>
      <c r="D291" s="40" t="s">
        <v>25</v>
      </c>
      <c r="E291" s="40" t="s">
        <v>32</v>
      </c>
      <c r="F291" s="40">
        <v>1022</v>
      </c>
      <c r="G291" s="40">
        <v>463</v>
      </c>
      <c r="H291" s="40">
        <v>360</v>
      </c>
      <c r="I291" s="40">
        <v>51468</v>
      </c>
      <c r="J291" s="40">
        <v>24279</v>
      </c>
      <c r="K291" s="40">
        <v>230</v>
      </c>
      <c r="L291" s="38" t="s">
        <v>21</v>
      </c>
      <c r="M291" s="38" t="s">
        <v>379</v>
      </c>
      <c r="N291" s="38" t="s">
        <v>18</v>
      </c>
      <c r="O291" s="41">
        <f>((Posts!$F284+Posts!$G284+Posts!$H284)/Posts!$I284)*100</f>
        <v>8.6283185840707954</v>
      </c>
      <c r="P291" s="24">
        <f>SUM(Table2[[#This Row],[Likes]],Table2[[#This Row],[Shares]],Table2[[#This Row],[Comments]])</f>
        <v>3746</v>
      </c>
      <c r="Q29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91" s="25">
        <f>Table2[[#This Row],[Net_Engagement]]/Table2[[#This Row],[Total_Budget]]</f>
        <v>2.3412499999999999E-2</v>
      </c>
      <c r="S29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9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91" s="32" t="str">
        <f t="shared" si="12"/>
        <v>Before</v>
      </c>
      <c r="V291" s="16">
        <f t="shared" ca="1" si="13"/>
        <v>8.3531957584740404</v>
      </c>
      <c r="W291" s="16">
        <f t="shared" ca="1" si="14"/>
        <v>9.9365549319564153</v>
      </c>
      <c r="X291" s="16">
        <f ca="1">(Table1[[#This Row],[Average_During]]-Table1[[#This Row],[Average_Before]])/Table1[[#This Row],[Average_Before]]*100</f>
        <v>18.955130698045828</v>
      </c>
    </row>
    <row r="292" spans="1:24">
      <c r="A292" s="42" t="s">
        <v>237</v>
      </c>
      <c r="B292" s="42" t="s">
        <v>31</v>
      </c>
      <c r="C292" s="43">
        <v>45634</v>
      </c>
      <c r="D292" s="44" t="s">
        <v>15</v>
      </c>
      <c r="E292" s="44" t="s">
        <v>41</v>
      </c>
      <c r="F292" s="44">
        <v>1424</v>
      </c>
      <c r="G292" s="44">
        <v>396</v>
      </c>
      <c r="H292" s="44">
        <v>312</v>
      </c>
      <c r="I292" s="44">
        <v>59517</v>
      </c>
      <c r="J292" s="44">
        <v>46102</v>
      </c>
      <c r="K292" s="44">
        <v>239</v>
      </c>
      <c r="L292" s="42" t="s">
        <v>21</v>
      </c>
      <c r="M292" s="42" t="s">
        <v>380</v>
      </c>
      <c r="N292" s="42" t="s">
        <v>22</v>
      </c>
      <c r="O292" s="45">
        <f>((Posts!$F285+Posts!$G285+Posts!$H285)/Posts!$I285)*100</f>
        <v>8.405639913232104</v>
      </c>
      <c r="P292" s="28">
        <f>SUM(Table2[[#This Row],[Likes]],Table2[[#This Row],[Shares]],Table2[[#This Row],[Comments]])</f>
        <v>2702</v>
      </c>
      <c r="Q292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92" s="29">
        <f>Table2[[#This Row],[Net_Engagement]]/Table2[[#This Row],[Total_Budget]]</f>
        <v>1.3509999999999999E-2</v>
      </c>
      <c r="S292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92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92" s="32" t="str">
        <f t="shared" si="12"/>
        <v>Before</v>
      </c>
      <c r="V292" s="16">
        <f t="shared" ca="1" si="13"/>
        <v>8.8678744422533935</v>
      </c>
      <c r="W292" s="16">
        <f t="shared" ca="1" si="14"/>
        <v>5.938903390812893</v>
      </c>
      <c r="X292" s="16">
        <f ca="1">(Table1[[#This Row],[Average_During]]-Table1[[#This Row],[Average_Before]])/Table1[[#This Row],[Average_Before]]*100</f>
        <v>-33.02900904285049</v>
      </c>
    </row>
    <row r="293" spans="1:24">
      <c r="A293" s="38" t="s">
        <v>105</v>
      </c>
      <c r="B293" s="38" t="s">
        <v>31</v>
      </c>
      <c r="C293" s="39">
        <v>45438</v>
      </c>
      <c r="D293" s="40" t="s">
        <v>15</v>
      </c>
      <c r="E293" s="40" t="s">
        <v>49</v>
      </c>
      <c r="F293" s="40">
        <v>1488</v>
      </c>
      <c r="G293" s="40">
        <v>327</v>
      </c>
      <c r="H293" s="40">
        <v>110</v>
      </c>
      <c r="I293" s="40">
        <v>53805</v>
      </c>
      <c r="J293" s="40">
        <v>30239</v>
      </c>
      <c r="K293" s="40">
        <v>109</v>
      </c>
      <c r="L293" s="38" t="s">
        <v>21</v>
      </c>
      <c r="M293" s="38" t="s">
        <v>380</v>
      </c>
      <c r="N293" s="38" t="s">
        <v>22</v>
      </c>
      <c r="O293" s="41">
        <f>((Posts!$F286+Posts!$G286+Posts!$H286)/Posts!$I286)*100</f>
        <v>3.4229485151994381</v>
      </c>
      <c r="P293" s="24">
        <f>SUM(Table2[[#This Row],[Likes]],Table2[[#This Row],[Shares]],Table2[[#This Row],[Comments]])</f>
        <v>3457</v>
      </c>
      <c r="Q293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93" s="25">
        <f>Table2[[#This Row],[Net_Engagement]]/Table2[[#This Row],[Total_Budget]]</f>
        <v>1.7284999999999998E-2</v>
      </c>
      <c r="S293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93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93" s="32" t="str">
        <f t="shared" si="12"/>
        <v>Before</v>
      </c>
      <c r="V293" s="16">
        <f t="shared" ca="1" si="13"/>
        <v>8.1769009579303145</v>
      </c>
      <c r="W293" s="16">
        <f t="shared" ca="1" si="14"/>
        <v>11.006835045585081</v>
      </c>
      <c r="X293" s="16">
        <f ca="1">(Table1[[#This Row],[Average_During]]-Table1[[#This Row],[Average_Before]])/Table1[[#This Row],[Average_Before]]*100</f>
        <v>34.60888302566724</v>
      </c>
    </row>
    <row r="294" spans="1:24">
      <c r="A294" s="42" t="s">
        <v>204</v>
      </c>
      <c r="B294" s="42" t="s">
        <v>14</v>
      </c>
      <c r="C294" s="43">
        <v>45835</v>
      </c>
      <c r="D294" s="44" t="s">
        <v>25</v>
      </c>
      <c r="E294" s="44" t="s">
        <v>35</v>
      </c>
      <c r="F294" s="44">
        <v>1342</v>
      </c>
      <c r="G294" s="44">
        <v>332</v>
      </c>
      <c r="H294" s="44">
        <v>163</v>
      </c>
      <c r="I294" s="44">
        <v>51712</v>
      </c>
      <c r="J294" s="44">
        <v>57922</v>
      </c>
      <c r="K294" s="44">
        <v>168</v>
      </c>
      <c r="L294" s="42" t="s">
        <v>42</v>
      </c>
      <c r="M294" s="42" t="s">
        <v>381</v>
      </c>
      <c r="N294" s="42" t="s">
        <v>55</v>
      </c>
      <c r="O294" s="45">
        <f>((Posts!$F287+Posts!$G287+Posts!$H287)/Posts!$I287)*100</f>
        <v>11.467469950680725</v>
      </c>
      <c r="P294" s="28">
        <f>SUM(Table2[[#This Row],[Likes]],Table2[[#This Row],[Shares]],Table2[[#This Row],[Comments]])</f>
        <v>1859</v>
      </c>
      <c r="Q294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R294" s="29">
        <f>Table2[[#This Row],[Net_Engagement]]/Table2[[#This Row],[Total_Budget]]</f>
        <v>1.0622857142857142E-2</v>
      </c>
      <c r="S294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T294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  <c r="U294" s="32" t="str">
        <f t="shared" si="12"/>
        <v>Before</v>
      </c>
      <c r="V294" s="16">
        <f t="shared" ca="1" si="13"/>
        <v>8.7903370302369233</v>
      </c>
      <c r="W294" s="16">
        <f t="shared" ca="1" si="14"/>
        <v>9.3964767969575647</v>
      </c>
      <c r="X294" s="16">
        <f ca="1">(Table1[[#This Row],[Average_During]]-Table1[[#This Row],[Average_Before]])/Table1[[#This Row],[Average_Before]]*100</f>
        <v>6.8955236259502586</v>
      </c>
    </row>
    <row r="295" spans="1:24">
      <c r="A295" s="38" t="s">
        <v>238</v>
      </c>
      <c r="B295" s="38" t="s">
        <v>24</v>
      </c>
      <c r="C295" s="39">
        <v>45689</v>
      </c>
      <c r="D295" s="40" t="s">
        <v>25</v>
      </c>
      <c r="E295" s="40" t="s">
        <v>41</v>
      </c>
      <c r="F295" s="40">
        <v>1079</v>
      </c>
      <c r="G295" s="40">
        <v>265</v>
      </c>
      <c r="H295" s="40">
        <v>190</v>
      </c>
      <c r="I295" s="40">
        <v>43786</v>
      </c>
      <c r="J295" s="40">
        <v>72428</v>
      </c>
      <c r="K295" s="40">
        <v>222</v>
      </c>
      <c r="L295" s="38" t="s">
        <v>45</v>
      </c>
      <c r="M295" s="38" t="s">
        <v>42</v>
      </c>
      <c r="N295" s="38" t="s">
        <v>18</v>
      </c>
      <c r="O295" s="41">
        <f>((Posts!$F288+Posts!$G288+Posts!$H288)/Posts!$I288)*100</f>
        <v>8.4548582664263474</v>
      </c>
      <c r="P295" s="24">
        <f>SUM(Table2[[#This Row],[Likes]],Table2[[#This Row],[Shares]],Table2[[#This Row],[Comments]])</f>
        <v>1884</v>
      </c>
      <c r="Q295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95" s="25">
        <f>Table2[[#This Row],[Net_Engagement]]/Table2[[#This Row],[Total_Budget]]</f>
        <v>1.1775000000000001E-2</v>
      </c>
      <c r="S295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95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95" s="32" t="str">
        <f t="shared" si="12"/>
        <v>During</v>
      </c>
      <c r="V295" s="16">
        <f t="shared" ca="1" si="13"/>
        <v>7.9498092808765692</v>
      </c>
      <c r="W295" s="16">
        <f t="shared" ca="1" si="14"/>
        <v>13.101076832897789</v>
      </c>
      <c r="X295" s="16">
        <f ca="1">(Table1[[#This Row],[Average_During]]-Table1[[#This Row],[Average_Before]])/Table1[[#This Row],[Average_Before]]*100</f>
        <v>64.797372742170054</v>
      </c>
    </row>
    <row r="296" spans="1:24">
      <c r="A296" s="42" t="s">
        <v>157</v>
      </c>
      <c r="B296" s="42" t="s">
        <v>14</v>
      </c>
      <c r="C296" s="43">
        <v>45340</v>
      </c>
      <c r="D296" s="44" t="s">
        <v>25</v>
      </c>
      <c r="E296" s="44" t="s">
        <v>49</v>
      </c>
      <c r="F296" s="44">
        <v>1516</v>
      </c>
      <c r="G296" s="44">
        <v>215</v>
      </c>
      <c r="H296" s="44">
        <v>332</v>
      </c>
      <c r="I296" s="44">
        <v>58981</v>
      </c>
      <c r="J296" s="44">
        <v>36118</v>
      </c>
      <c r="K296" s="44">
        <v>211</v>
      </c>
      <c r="L296" s="42" t="s">
        <v>42</v>
      </c>
      <c r="M296" s="42" t="s">
        <v>381</v>
      </c>
      <c r="N296" s="42" t="s">
        <v>55</v>
      </c>
      <c r="O296" s="45">
        <f>((Posts!$F289+Posts!$G289+Posts!$H289)/Posts!$I289)*100</f>
        <v>10.546200140489436</v>
      </c>
      <c r="P296" s="28">
        <f>SUM(Table2[[#This Row],[Likes]],Table2[[#This Row],[Shares]],Table2[[#This Row],[Comments]])</f>
        <v>2867</v>
      </c>
      <c r="Q296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R296" s="29">
        <f>Table2[[#This Row],[Net_Engagement]]/Table2[[#This Row],[Total_Budget]]</f>
        <v>1.2742222222222222E-2</v>
      </c>
      <c r="S296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T296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  <c r="U296" s="32" t="str">
        <f t="shared" si="12"/>
        <v>Before</v>
      </c>
      <c r="V296" s="16">
        <f t="shared" ca="1" si="13"/>
        <v>8.8183319911853335</v>
      </c>
      <c r="W296" s="16">
        <f t="shared" ca="1" si="14"/>
        <v>8.0716774334246946</v>
      </c>
      <c r="X296" s="16">
        <f ca="1">(Table1[[#This Row],[Average_During]]-Table1[[#This Row],[Average_Before]])/Table1[[#This Row],[Average_Before]]*100</f>
        <v>-8.4670724407629816</v>
      </c>
    </row>
    <row r="297" spans="1:24">
      <c r="A297" s="38" t="s">
        <v>167</v>
      </c>
      <c r="B297" s="38" t="s">
        <v>24</v>
      </c>
      <c r="C297" s="39">
        <v>45319</v>
      </c>
      <c r="D297" s="40" t="s">
        <v>15</v>
      </c>
      <c r="E297" s="40" t="s">
        <v>32</v>
      </c>
      <c r="F297" s="40">
        <v>1456</v>
      </c>
      <c r="G297" s="40">
        <v>265</v>
      </c>
      <c r="H297" s="40">
        <v>137</v>
      </c>
      <c r="I297" s="40">
        <v>53485</v>
      </c>
      <c r="J297" s="40">
        <v>59729</v>
      </c>
      <c r="K297" s="40">
        <v>145</v>
      </c>
      <c r="L297" s="38" t="s">
        <v>45</v>
      </c>
      <c r="M297" s="38" t="s">
        <v>381</v>
      </c>
      <c r="N297" s="38" t="s">
        <v>22</v>
      </c>
      <c r="O297" s="41">
        <f>((Posts!$F290+Posts!$G290+Posts!$H290)/Posts!$I290)*100</f>
        <v>10.338095327488784</v>
      </c>
      <c r="P297" s="24">
        <f>SUM(Table2[[#This Row],[Likes]],Table2[[#This Row],[Shares]],Table2[[#This Row],[Comments]])</f>
        <v>3576</v>
      </c>
      <c r="Q297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97" s="25">
        <f>Table2[[#This Row],[Net_Engagement]]/Table2[[#This Row],[Total_Budget]]</f>
        <v>1.788E-2</v>
      </c>
      <c r="S297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97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97" s="32" t="str">
        <f t="shared" si="12"/>
        <v>Before</v>
      </c>
      <c r="V297" s="16">
        <f t="shared" ca="1" si="13"/>
        <v>7.3966126377365757</v>
      </c>
      <c r="W297" s="16">
        <f t="shared" ca="1" si="14"/>
        <v>14.316340126016433</v>
      </c>
      <c r="X297" s="16">
        <f ca="1">(Table1[[#This Row],[Average_During]]-Table1[[#This Row],[Average_Before]])/Table1[[#This Row],[Average_Before]]*100</f>
        <v>93.552654805475271</v>
      </c>
    </row>
    <row r="298" spans="1:24">
      <c r="A298" s="42" t="s">
        <v>325</v>
      </c>
      <c r="B298" s="42" t="s">
        <v>31</v>
      </c>
      <c r="C298" s="43">
        <v>45686</v>
      </c>
      <c r="D298" s="44" t="s">
        <v>15</v>
      </c>
      <c r="E298" s="44" t="s">
        <v>26</v>
      </c>
      <c r="F298" s="44">
        <v>1334</v>
      </c>
      <c r="G298" s="44">
        <v>357</v>
      </c>
      <c r="H298" s="44">
        <v>257</v>
      </c>
      <c r="I298" s="44">
        <v>56910</v>
      </c>
      <c r="J298" s="44">
        <v>70606</v>
      </c>
      <c r="K298" s="44">
        <v>228</v>
      </c>
      <c r="L298" s="42" t="s">
        <v>21</v>
      </c>
      <c r="M298" s="42" t="s">
        <v>380</v>
      </c>
      <c r="N298" s="42" t="s">
        <v>22</v>
      </c>
      <c r="O298" s="45">
        <f>((Posts!$F291+Posts!$G291+Posts!$H291)/Posts!$I291)*100</f>
        <v>15.65595352530614</v>
      </c>
      <c r="P298" s="28">
        <f>SUM(Table2[[#This Row],[Likes]],Table2[[#This Row],[Shares]],Table2[[#This Row],[Comments]])</f>
        <v>3095</v>
      </c>
      <c r="Q298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R298" s="29">
        <f>Table2[[#This Row],[Net_Engagement]]/Table2[[#This Row],[Total_Budget]]</f>
        <v>1.934375E-2</v>
      </c>
      <c r="S298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T298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  <c r="U298" s="32" t="str">
        <f t="shared" si="12"/>
        <v>During</v>
      </c>
      <c r="V298" s="16">
        <f t="shared" ca="1" si="13"/>
        <v>9.1061720651907265</v>
      </c>
      <c r="W298" s="16">
        <f t="shared" ca="1" si="14"/>
        <v>5.1525813575966461</v>
      </c>
      <c r="X298" s="16">
        <f ca="1">(Table1[[#This Row],[Average_During]]-Table1[[#This Row],[Average_Before]])/Table1[[#This Row],[Average_Before]]*100</f>
        <v>-43.416604466624179</v>
      </c>
    </row>
    <row r="299" spans="1:24">
      <c r="A299" s="38" t="s">
        <v>250</v>
      </c>
      <c r="B299" s="38" t="s">
        <v>24</v>
      </c>
      <c r="C299" s="39">
        <v>45780</v>
      </c>
      <c r="D299" s="40" t="s">
        <v>25</v>
      </c>
      <c r="E299" s="40" t="s">
        <v>41</v>
      </c>
      <c r="F299" s="40">
        <v>1010</v>
      </c>
      <c r="G299" s="40">
        <v>361</v>
      </c>
      <c r="H299" s="40">
        <v>240</v>
      </c>
      <c r="I299" s="40">
        <v>47229</v>
      </c>
      <c r="J299" s="40">
        <v>72573</v>
      </c>
      <c r="K299" s="40">
        <v>275</v>
      </c>
      <c r="L299" s="38" t="s">
        <v>45</v>
      </c>
      <c r="M299" s="38" t="s">
        <v>42</v>
      </c>
      <c r="N299" s="38" t="s">
        <v>18</v>
      </c>
      <c r="O299" s="41">
        <f>((Posts!$F292+Posts!$G292+Posts!$H292)/Posts!$I292)*100</f>
        <v>5.8052595393606046</v>
      </c>
      <c r="P299" s="24">
        <f>SUM(Table2[[#This Row],[Likes]],Table2[[#This Row],[Shares]],Table2[[#This Row],[Comments]])</f>
        <v>2685</v>
      </c>
      <c r="Q299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299" s="25">
        <f>Table2[[#This Row],[Net_Engagement]]/Table2[[#This Row],[Total_Budget]]</f>
        <v>1.3424999999999999E-2</v>
      </c>
      <c r="S299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299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299" s="32" t="str">
        <f t="shared" si="12"/>
        <v>Before</v>
      </c>
      <c r="V299" s="16">
        <f t="shared" ca="1" si="13"/>
        <v>7.5508571844763122</v>
      </c>
      <c r="W299" s="16">
        <f t="shared" ca="1" si="14"/>
        <v>8.0989501503966004</v>
      </c>
      <c r="X299" s="16">
        <f ca="1">(Table1[[#This Row],[Average_During]]-Table1[[#This Row],[Average_Before]])/Table1[[#This Row],[Average_Before]]*100</f>
        <v>7.2586853721336944</v>
      </c>
    </row>
    <row r="300" spans="1:24">
      <c r="A300" s="42" t="s">
        <v>298</v>
      </c>
      <c r="B300" s="42" t="s">
        <v>31</v>
      </c>
      <c r="C300" s="43">
        <v>45736</v>
      </c>
      <c r="D300" s="44" t="s">
        <v>57</v>
      </c>
      <c r="E300" s="44" t="s">
        <v>49</v>
      </c>
      <c r="F300" s="44">
        <v>1453</v>
      </c>
      <c r="G300" s="44">
        <v>156</v>
      </c>
      <c r="H300" s="44">
        <v>178</v>
      </c>
      <c r="I300" s="44">
        <v>52980</v>
      </c>
      <c r="J300" s="44">
        <v>57180</v>
      </c>
      <c r="K300" s="44">
        <v>286</v>
      </c>
      <c r="L300" s="42" t="s">
        <v>21</v>
      </c>
      <c r="M300" s="42" t="s">
        <v>45</v>
      </c>
      <c r="N300" s="42" t="s">
        <v>59</v>
      </c>
      <c r="O300" s="45">
        <f>((Posts!$F293+Posts!$G293+Posts!$H293)/Posts!$I293)*100</f>
        <v>12.976726726726726</v>
      </c>
      <c r="P300" s="28">
        <f>SUM(Table2[[#This Row],[Likes]],Table2[[#This Row],[Shares]],Table2[[#This Row],[Comments]])</f>
        <v>2882</v>
      </c>
      <c r="Q300" s="28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00" s="29">
        <f>Table2[[#This Row],[Net_Engagement]]/Table2[[#This Row],[Total_Budget]]</f>
        <v>1.4409999999999999E-2</v>
      </c>
      <c r="S300" s="30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00" s="31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00" s="32" t="str">
        <f t="shared" si="12"/>
        <v>Before</v>
      </c>
      <c r="V300" s="16">
        <f t="shared" ca="1" si="13"/>
        <v>7.885973848507926</v>
      </c>
      <c r="W300" s="16">
        <f t="shared" ca="1" si="14"/>
        <v>7.7988406488438038</v>
      </c>
      <c r="X300" s="16">
        <f ca="1">(Table1[[#This Row],[Average_During]]-Table1[[#This Row],[Average_Before]])/Table1[[#This Row],[Average_Before]]*100</f>
        <v>-1.1049136268770201</v>
      </c>
    </row>
    <row r="301" spans="1:24">
      <c r="A301" s="38" t="s">
        <v>310</v>
      </c>
      <c r="B301" s="38" t="s">
        <v>24</v>
      </c>
      <c r="C301" s="39">
        <v>45609</v>
      </c>
      <c r="D301" s="40" t="s">
        <v>25</v>
      </c>
      <c r="E301" s="40" t="s">
        <v>26</v>
      </c>
      <c r="F301" s="40">
        <v>1409</v>
      </c>
      <c r="G301" s="40">
        <v>466</v>
      </c>
      <c r="H301" s="40">
        <v>105</v>
      </c>
      <c r="I301" s="40">
        <v>58923</v>
      </c>
      <c r="J301" s="40">
        <v>38753</v>
      </c>
      <c r="K301" s="40">
        <v>265</v>
      </c>
      <c r="L301" s="38" t="s">
        <v>21</v>
      </c>
      <c r="M301" s="38" t="s">
        <v>379</v>
      </c>
      <c r="N301" s="38" t="s">
        <v>18</v>
      </c>
      <c r="O301" s="41">
        <f>((Posts!$F294+Posts!$G294+Posts!$H294)/Posts!$I294)*100</f>
        <v>4.4999031758326877</v>
      </c>
      <c r="P301" s="24">
        <f>SUM(Table2[[#This Row],[Likes]],Table2[[#This Row],[Shares]],Table2[[#This Row],[Comments]])</f>
        <v>2712</v>
      </c>
      <c r="Q301" s="2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R301" s="25">
        <f>Table2[[#This Row],[Net_Engagement]]/Table2[[#This Row],[Total_Budget]]</f>
        <v>1.3559999999999999E-2</v>
      </c>
      <c r="S301" s="2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T301" s="27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  <c r="U301" s="32" t="str">
        <f t="shared" si="12"/>
        <v>Before</v>
      </c>
      <c r="V301" s="16">
        <f t="shared" ca="1" si="13"/>
        <v>7.1152538331496418</v>
      </c>
      <c r="W301" s="16">
        <f t="shared" ca="1" si="14"/>
        <v>7.565624255809257</v>
      </c>
      <c r="X301" s="16">
        <f ca="1">(Table1[[#This Row],[Average_During]]-Table1[[#This Row],[Average_Before]])/Table1[[#This Row],[Average_Before]]*100</f>
        <v>6.3296466046138793</v>
      </c>
    </row>
    <row r="302" spans="1:24">
      <c r="A302" s="42" t="s">
        <v>334</v>
      </c>
      <c r="B302" s="42" t="s">
        <v>14</v>
      </c>
      <c r="C302" s="43">
        <v>45653</v>
      </c>
      <c r="D302" s="44" t="s">
        <v>15</v>
      </c>
      <c r="E302" s="44" t="s">
        <v>49</v>
      </c>
      <c r="F302" s="44">
        <v>1436</v>
      </c>
      <c r="G302" s="44">
        <v>219</v>
      </c>
      <c r="H302" s="44">
        <v>229</v>
      </c>
      <c r="I302" s="44">
        <v>58488</v>
      </c>
      <c r="J302" s="44">
        <v>24314</v>
      </c>
      <c r="K302" s="44">
        <v>147</v>
      </c>
      <c r="L302" s="42" t="s">
        <v>21</v>
      </c>
      <c r="M302" s="42" t="s">
        <v>381</v>
      </c>
      <c r="N302" s="42" t="s">
        <v>22</v>
      </c>
      <c r="O302" s="45">
        <f>((Posts!$F295+Posts!$G295+Posts!$H295)/Posts!$I295)*100</f>
        <v>3.2211735740664751</v>
      </c>
      <c r="P302" s="28" t="e">
        <f>SUM(Table2[[#This Row],[Likes]],Table2[[#This Row],[Shares]],Table2[[#This Row],[Comments]])</f>
        <v>#VALUE!</v>
      </c>
      <c r="Q302" s="28" t="e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#VALUE!</v>
      </c>
      <c r="R302" s="29" t="e">
        <f>Table2[[#This Row],[Net_Engagement]]/Table2[[#This Row],[Total_Budget]]</f>
        <v>#VALUE!</v>
      </c>
      <c r="S302" s="30" t="e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#VALUE!</v>
      </c>
      <c r="T302" s="31" t="e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#VALUE!</v>
      </c>
      <c r="U302" s="32" t="str">
        <f t="shared" si="12"/>
        <v>Before</v>
      </c>
      <c r="V302" s="16">
        <f t="shared" ca="1" si="13"/>
        <v>7.2495065220064303</v>
      </c>
      <c r="W302" s="16">
        <f t="shared" ca="1" si="14"/>
        <v>8.5376678623257654</v>
      </c>
      <c r="X302" s="16">
        <f ca="1">(Table1[[#This Row],[Average_During]]-Table1[[#This Row],[Average_Before]])/Table1[[#This Row],[Average_Before]]*100</f>
        <v>17.768952085345713</v>
      </c>
    </row>
    <row r="303" spans="1:24">
      <c r="A303" s="38" t="s">
        <v>268</v>
      </c>
      <c r="B303" s="38" t="s">
        <v>31</v>
      </c>
      <c r="C303" s="39">
        <v>45442</v>
      </c>
      <c r="D303" s="40" t="s">
        <v>57</v>
      </c>
      <c r="E303" s="40" t="s">
        <v>35</v>
      </c>
      <c r="F303" s="40">
        <v>1060</v>
      </c>
      <c r="G303" s="40">
        <v>442</v>
      </c>
      <c r="H303" s="40">
        <v>319</v>
      </c>
      <c r="I303" s="40">
        <v>57194</v>
      </c>
      <c r="J303" s="40">
        <v>24258</v>
      </c>
      <c r="K303" s="40">
        <v>101</v>
      </c>
      <c r="L303" s="38" t="s">
        <v>21</v>
      </c>
      <c r="M303" s="38" t="s">
        <v>45</v>
      </c>
      <c r="N303" s="38" t="s">
        <v>59</v>
      </c>
      <c r="O303" s="41">
        <f>((Posts!$F296+Posts!$G296+Posts!$H296)/Posts!$I296)*100</f>
        <v>11.097778121854921</v>
      </c>
      <c r="P303" s="24" t="e">
        <f>SUM(Table2[[#This Row],[Likes]],Table2[[#This Row],[Shares]],Table2[[#This Row],[Comments]])</f>
        <v>#VALUE!</v>
      </c>
      <c r="Q303" s="24" t="e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#VALUE!</v>
      </c>
      <c r="R303" s="25" t="e">
        <f>Table2[[#This Row],[Net_Engagement]]/Table2[[#This Row],[Total_Budget]]</f>
        <v>#VALUE!</v>
      </c>
      <c r="S303" s="26" t="e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#VALUE!</v>
      </c>
      <c r="T303" s="27" t="e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#VALUE!</v>
      </c>
      <c r="U303" s="32" t="str">
        <f t="shared" si="12"/>
        <v>Before</v>
      </c>
      <c r="V303" s="16">
        <f t="shared" ca="1" si="13"/>
        <v>8.0212959041401835</v>
      </c>
      <c r="W303" s="16">
        <f t="shared" ca="1" si="14"/>
        <v>9.0082555720282365</v>
      </c>
      <c r="X303" s="16">
        <f ca="1">(Table1[[#This Row],[Average_During]]-Table1[[#This Row],[Average_Before]])/Table1[[#This Row],[Average_Before]]*100</f>
        <v>12.304242103556295</v>
      </c>
    </row>
    <row r="304" spans="1:24">
      <c r="A304" s="42" t="s">
        <v>251</v>
      </c>
      <c r="B304" s="42" t="s">
        <v>24</v>
      </c>
      <c r="C304" s="43">
        <v>45396</v>
      </c>
      <c r="D304" s="44" t="s">
        <v>25</v>
      </c>
      <c r="E304" s="44" t="s">
        <v>16</v>
      </c>
      <c r="F304" s="44">
        <v>1295</v>
      </c>
      <c r="G304" s="44">
        <v>153</v>
      </c>
      <c r="H304" s="44">
        <v>81</v>
      </c>
      <c r="I304" s="44">
        <v>48350</v>
      </c>
      <c r="J304" s="44">
        <v>61033</v>
      </c>
      <c r="K304" s="44">
        <v>232</v>
      </c>
      <c r="L304" s="42" t="s">
        <v>21</v>
      </c>
      <c r="M304" s="42" t="s">
        <v>379</v>
      </c>
      <c r="N304" s="42" t="s">
        <v>18</v>
      </c>
      <c r="O304" s="45">
        <f>((Posts!$F297+Posts!$G297+Posts!$H297)/Posts!$I297)*100</f>
        <v>11.910074937552039</v>
      </c>
      <c r="P304" s="28" t="e">
        <f>SUM(Table2[[#This Row],[Likes]],Table2[[#This Row],[Shares]],Table2[[#This Row],[Comments]])</f>
        <v>#VALUE!</v>
      </c>
      <c r="Q304" s="28" t="e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#VALUE!</v>
      </c>
      <c r="R304" s="29" t="e">
        <f>Table2[[#This Row],[Net_Engagement]]/Table2[[#This Row],[Total_Budget]]</f>
        <v>#VALUE!</v>
      </c>
      <c r="S304" s="30" t="e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#VALUE!</v>
      </c>
      <c r="T304" s="31" t="e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#VALUE!</v>
      </c>
      <c r="U304" s="32" t="str">
        <f t="shared" si="12"/>
        <v>Before</v>
      </c>
      <c r="V304" s="16">
        <f t="shared" ca="1" si="13"/>
        <v>9.1488675312298771</v>
      </c>
      <c r="W304" s="16">
        <f t="shared" ca="1" si="14"/>
        <v>5.7786570225363265</v>
      </c>
      <c r="X304" s="16">
        <f ca="1">(Table1[[#This Row],[Average_During]]-Table1[[#This Row],[Average_Before]])/Table1[[#This Row],[Average_Before]]*100</f>
        <v>-36.837460999290421</v>
      </c>
    </row>
    <row r="305" spans="1:24">
      <c r="A305" s="38" t="s">
        <v>263</v>
      </c>
      <c r="B305" s="38" t="s">
        <v>24</v>
      </c>
      <c r="C305" s="39">
        <v>45462</v>
      </c>
      <c r="D305" s="40" t="s">
        <v>15</v>
      </c>
      <c r="E305" s="40" t="s">
        <v>35</v>
      </c>
      <c r="F305" s="40">
        <v>1224</v>
      </c>
      <c r="G305" s="40">
        <v>168</v>
      </c>
      <c r="H305" s="40">
        <v>199</v>
      </c>
      <c r="I305" s="40">
        <v>54232</v>
      </c>
      <c r="J305" s="40">
        <v>52844</v>
      </c>
      <c r="K305" s="40">
        <v>271</v>
      </c>
      <c r="L305" s="38" t="s">
        <v>45</v>
      </c>
      <c r="M305" s="38" t="s">
        <v>381</v>
      </c>
      <c r="N305" s="38" t="s">
        <v>22</v>
      </c>
      <c r="O305" s="41">
        <f>((Posts!$F298+Posts!$G298+Posts!$H298)/Posts!$I298)*100</f>
        <v>5.9775576027966082</v>
      </c>
      <c r="P305" s="24" t="e">
        <f>SUM(Table2[[#This Row],[Likes]],Table2[[#This Row],[Shares]],Table2[[#This Row],[Comments]])</f>
        <v>#VALUE!</v>
      </c>
      <c r="Q305" s="24" t="e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#VALUE!</v>
      </c>
      <c r="R305" s="25" t="e">
        <f>Table2[[#This Row],[Net_Engagement]]/Table2[[#This Row],[Total_Budget]]</f>
        <v>#VALUE!</v>
      </c>
      <c r="S305" s="26" t="e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#VALUE!</v>
      </c>
      <c r="T305" s="27" t="e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#VALUE!</v>
      </c>
      <c r="U305" s="32" t="str">
        <f t="shared" si="12"/>
        <v>Before</v>
      </c>
      <c r="V305" s="16">
        <f t="shared" ca="1" si="13"/>
        <v>5.7786570225363265</v>
      </c>
      <c r="W305" s="16">
        <f t="shared" ca="1" si="14"/>
        <v>7.7682638280687968</v>
      </c>
      <c r="X305" s="16">
        <f ca="1">(Table1[[#This Row],[Average_During]]-Table1[[#This Row],[Average_Before]])/Table1[[#This Row],[Average_Before]]*100</f>
        <v>34.430262910104439</v>
      </c>
    </row>
    <row r="306" spans="1:24">
      <c r="A306" s="42" t="s">
        <v>170</v>
      </c>
      <c r="B306" s="42" t="s">
        <v>31</v>
      </c>
      <c r="C306" s="43">
        <v>45301</v>
      </c>
      <c r="D306" s="44" t="s">
        <v>15</v>
      </c>
      <c r="E306" s="44" t="s">
        <v>20</v>
      </c>
      <c r="F306" s="44">
        <v>1261</v>
      </c>
      <c r="G306" s="44">
        <v>190</v>
      </c>
      <c r="H306" s="44">
        <v>233</v>
      </c>
      <c r="I306" s="44">
        <v>59888</v>
      </c>
      <c r="J306" s="44">
        <v>51449</v>
      </c>
      <c r="K306" s="44">
        <v>205</v>
      </c>
      <c r="L306" s="42" t="s">
        <v>21</v>
      </c>
      <c r="M306" s="42" t="s">
        <v>380</v>
      </c>
      <c r="N306" s="42" t="s">
        <v>22</v>
      </c>
      <c r="O306" s="45">
        <f>((Posts!$F299+Posts!$G299+Posts!$H299)/Posts!$I299)*100</f>
        <v>6.1064362065044353</v>
      </c>
      <c r="P306" s="28" t="e">
        <f>SUM(Table2[[#This Row],[Likes]],Table2[[#This Row],[Shares]],Table2[[#This Row],[Comments]])</f>
        <v>#VALUE!</v>
      </c>
      <c r="Q306" s="28" t="e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#VALUE!</v>
      </c>
      <c r="R306" s="29" t="e">
        <f>Table2[[#This Row],[Net_Engagement]]/Table2[[#This Row],[Total_Budget]]</f>
        <v>#VALUE!</v>
      </c>
      <c r="S306" s="30" t="e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#VALUE!</v>
      </c>
      <c r="T306" s="31" t="e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#VALUE!</v>
      </c>
      <c r="U306" s="32" t="str">
        <f t="shared" si="12"/>
        <v>Before</v>
      </c>
      <c r="V306" s="16">
        <f t="shared" ca="1" si="13"/>
        <v>7.7682638280687968</v>
      </c>
      <c r="W306" s="16">
        <f t="shared" ca="1" si="14"/>
        <v>5.5797564422760448</v>
      </c>
      <c r="X306" s="16">
        <f ca="1">(Table1[[#This Row],[Average_During]]-Table1[[#This Row],[Average_Before]])/Table1[[#This Row],[Average_Before]]*100</f>
        <v>-28.172413221666009</v>
      </c>
    </row>
    <row r="307" spans="1:24">
      <c r="A307" s="38" t="s">
        <v>178</v>
      </c>
      <c r="B307" s="38" t="s">
        <v>24</v>
      </c>
      <c r="C307" s="39">
        <v>45624</v>
      </c>
      <c r="D307" s="40" t="s">
        <v>25</v>
      </c>
      <c r="E307" s="40" t="s">
        <v>26</v>
      </c>
      <c r="F307" s="40">
        <v>1131</v>
      </c>
      <c r="G307" s="40">
        <v>100</v>
      </c>
      <c r="H307" s="40">
        <v>116</v>
      </c>
      <c r="I307" s="40">
        <v>48437</v>
      </c>
      <c r="J307" s="40">
        <v>72704</v>
      </c>
      <c r="K307" s="40">
        <v>236</v>
      </c>
      <c r="L307" s="38" t="s">
        <v>21</v>
      </c>
      <c r="M307" s="38" t="s">
        <v>379</v>
      </c>
      <c r="N307" s="38" t="s">
        <v>18</v>
      </c>
      <c r="O307" s="41">
        <f>((Posts!$F300+Posts!$G300+Posts!$H300)/Posts!$I300)*100</f>
        <v>5.5797564422760448</v>
      </c>
      <c r="P307" s="24" t="e">
        <f>SUM(Table2[[#This Row],[Likes]],Table2[[#This Row],[Shares]],Table2[[#This Row],[Comments]])</f>
        <v>#VALUE!</v>
      </c>
      <c r="Q307" s="24" t="e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#VALUE!</v>
      </c>
      <c r="R307" s="25" t="e">
        <f>Table2[[#This Row],[Net_Engagement]]/Table2[[#This Row],[Total_Budget]]</f>
        <v>#VALUE!</v>
      </c>
      <c r="S307" s="26" t="e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#VALUE!</v>
      </c>
      <c r="T307" s="27" t="e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#VALUE!</v>
      </c>
      <c r="U307" s="32" t="str">
        <f t="shared" si="12"/>
        <v>Before</v>
      </c>
      <c r="V307" s="16">
        <f t="shared" ca="1" si="13"/>
        <v>5.5797564422760448</v>
      </c>
      <c r="W307" s="16">
        <f t="shared" ca="1" si="14"/>
        <v>9.4300914496331583</v>
      </c>
      <c r="X307" s="16">
        <f ca="1">(Table1[[#This Row],[Average_During]]-Table1[[#This Row],[Average_Before]])/Table1[[#This Row],[Average_Before]]*100</f>
        <v>69.005431459056993</v>
      </c>
    </row>
    <row r="308" spans="1:24">
      <c r="A308" s="21" t="s">
        <v>99</v>
      </c>
      <c r="B308" s="21" t="s">
        <v>31</v>
      </c>
      <c r="C308" s="31">
        <v>45514</v>
      </c>
      <c r="D308" s="28" t="s">
        <v>15</v>
      </c>
      <c r="E308" s="28" t="s">
        <v>49</v>
      </c>
      <c r="F308" s="28">
        <v>1105</v>
      </c>
      <c r="G308" s="28">
        <v>181</v>
      </c>
      <c r="H308" s="28">
        <v>55</v>
      </c>
      <c r="I308" s="28">
        <v>53581</v>
      </c>
      <c r="J308" s="28">
        <v>74048</v>
      </c>
      <c r="K308" s="28">
        <v>220</v>
      </c>
      <c r="L308" s="21" t="s">
        <v>21</v>
      </c>
      <c r="M308" s="21" t="s">
        <v>380</v>
      </c>
      <c r="N308" s="21" t="s">
        <v>22</v>
      </c>
      <c r="O308" s="46">
        <f>((Posts!$F301+Posts!$G301+Posts!$H301)/Posts!$I301)*100</f>
        <v>9.4300914496331583</v>
      </c>
      <c r="P308" s="28" t="e">
        <f>SUM(Table2[[#This Row],[Likes]],Table2[[#This Row],[Shares]],Table2[[#This Row],[Comments]])</f>
        <v>#VALUE!</v>
      </c>
      <c r="Q308" s="28" t="e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#VALUE!</v>
      </c>
      <c r="R308" s="29" t="e">
        <f>Table2[[#This Row],[Net_Engagement]]/Table2[[#This Row],[Total_Budget]]</f>
        <v>#VALUE!</v>
      </c>
      <c r="S308" s="30" t="e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#VALUE!</v>
      </c>
      <c r="T308" s="31" t="e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#VALUE!</v>
      </c>
      <c r="U308" s="32" t="str">
        <f t="shared" si="12"/>
        <v>Before</v>
      </c>
      <c r="V308" s="16">
        <f t="shared" ca="1" si="13"/>
        <v>9.4300914496331583</v>
      </c>
      <c r="W308" s="16">
        <f t="shared" ca="1" si="14"/>
        <v>0</v>
      </c>
      <c r="X308" s="16">
        <f ca="1">(Table1[[#This Row],[Average_During]]-Table1[[#This Row],[Average_Before]])/Table1[[#This Row],[Average_Before]]*100</f>
        <v>-100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B7CE-5993-4246-A8DD-C55C9D0A98F9}">
  <dimension ref="A1:P346"/>
  <sheetViews>
    <sheetView showGridLines="0" topLeftCell="A309" zoomScale="75" zoomScaleNormal="75" workbookViewId="0">
      <selection activeCell="E345" sqref="E345"/>
    </sheetView>
  </sheetViews>
  <sheetFormatPr defaultRowHeight="14.4"/>
  <cols>
    <col min="1" max="2" width="20.6640625" customWidth="1"/>
    <col min="3" max="3" width="16.44140625" style="6" customWidth="1"/>
    <col min="4" max="4" width="19.5546875" style="4" customWidth="1"/>
    <col min="5" max="5" width="40.88671875" customWidth="1"/>
    <col min="6" max="6" width="19.44140625" style="4" customWidth="1"/>
    <col min="7" max="7" width="16.6640625" style="4" customWidth="1"/>
    <col min="8" max="8" width="22.88671875" style="4" customWidth="1"/>
    <col min="9" max="9" width="18.109375" style="4" customWidth="1"/>
    <col min="10" max="10" width="13.5546875" style="4" customWidth="1"/>
    <col min="11" max="11" width="9.6640625" style="4" customWidth="1"/>
    <col min="12" max="12" width="35" customWidth="1"/>
    <col min="13" max="13" width="20.33203125" customWidth="1"/>
    <col min="14" max="14" width="33.5546875" style="4" customWidth="1"/>
    <col min="20" max="20" width="15.44140625" bestFit="1" customWidth="1"/>
    <col min="21" max="21" width="12" bestFit="1" customWidth="1"/>
    <col min="22" max="22" width="13.5546875" bestFit="1" customWidth="1"/>
    <col min="23" max="23" width="17.44140625" bestFit="1" customWidth="1"/>
  </cols>
  <sheetData>
    <row r="1" spans="1:14">
      <c r="A1" s="49" t="s">
        <v>0</v>
      </c>
      <c r="B1" s="49" t="s">
        <v>1</v>
      </c>
      <c r="C1" s="50" t="s">
        <v>2</v>
      </c>
      <c r="D1" s="51" t="s">
        <v>3</v>
      </c>
      <c r="E1" s="49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49" t="s">
        <v>11</v>
      </c>
      <c r="M1" s="49" t="s">
        <v>12</v>
      </c>
      <c r="N1" s="51" t="s">
        <v>345</v>
      </c>
    </row>
    <row r="2" spans="1:14">
      <c r="A2" s="1" t="s">
        <v>36</v>
      </c>
      <c r="B2" s="1" t="s">
        <v>24</v>
      </c>
      <c r="C2" s="5">
        <v>45645</v>
      </c>
      <c r="D2" s="3" t="s">
        <v>25</v>
      </c>
      <c r="E2" s="1" t="s">
        <v>37</v>
      </c>
      <c r="F2" s="3">
        <v>4674</v>
      </c>
      <c r="G2" s="3">
        <v>409</v>
      </c>
      <c r="H2" s="3">
        <v>327</v>
      </c>
      <c r="I2" s="3">
        <v>20756</v>
      </c>
      <c r="J2" s="3">
        <v>63599</v>
      </c>
      <c r="K2" s="3">
        <v>212</v>
      </c>
      <c r="L2" s="1" t="s">
        <v>17</v>
      </c>
      <c r="M2" s="1" t="s">
        <v>18</v>
      </c>
      <c r="N2" s="16">
        <f t="shared" ref="N2:N65" si="0">((F2+G2+H2)/I2)*100</f>
        <v>26.064752360763155</v>
      </c>
    </row>
    <row r="3" spans="1:14">
      <c r="A3" s="1" t="s">
        <v>146</v>
      </c>
      <c r="B3" s="1" t="s">
        <v>24</v>
      </c>
      <c r="C3" s="5">
        <v>45677</v>
      </c>
      <c r="D3" s="3" t="s">
        <v>25</v>
      </c>
      <c r="E3" s="1" t="s">
        <v>26</v>
      </c>
      <c r="F3" s="3">
        <v>4619</v>
      </c>
      <c r="G3" s="3">
        <v>272</v>
      </c>
      <c r="H3" s="3">
        <v>57</v>
      </c>
      <c r="I3" s="3">
        <v>21334</v>
      </c>
      <c r="J3" s="3">
        <v>46292</v>
      </c>
      <c r="K3" s="3">
        <v>91</v>
      </c>
      <c r="L3" s="1" t="s">
        <v>17</v>
      </c>
      <c r="M3" s="1" t="s">
        <v>18</v>
      </c>
      <c r="N3" s="16">
        <f t="shared" si="0"/>
        <v>23.193025217961939</v>
      </c>
    </row>
    <row r="4" spans="1:14">
      <c r="A4" s="1" t="s">
        <v>226</v>
      </c>
      <c r="B4" s="1" t="s">
        <v>24</v>
      </c>
      <c r="C4" s="5">
        <v>45459</v>
      </c>
      <c r="D4" s="3" t="s">
        <v>25</v>
      </c>
      <c r="E4" s="1" t="s">
        <v>20</v>
      </c>
      <c r="F4" s="3">
        <v>4618</v>
      </c>
      <c r="G4" s="3">
        <v>312</v>
      </c>
      <c r="H4" s="3">
        <v>254</v>
      </c>
      <c r="I4" s="3">
        <v>22571</v>
      </c>
      <c r="J4" s="3">
        <v>29453</v>
      </c>
      <c r="K4" s="3">
        <v>197</v>
      </c>
      <c r="L4" s="1" t="s">
        <v>27</v>
      </c>
      <c r="M4" s="1" t="s">
        <v>18</v>
      </c>
      <c r="N4" s="16">
        <f t="shared" si="0"/>
        <v>22.967524699836073</v>
      </c>
    </row>
    <row r="5" spans="1:14">
      <c r="A5" s="1" t="s">
        <v>319</v>
      </c>
      <c r="B5" s="1" t="s">
        <v>24</v>
      </c>
      <c r="C5" s="5">
        <v>45676</v>
      </c>
      <c r="D5" s="3" t="s">
        <v>25</v>
      </c>
      <c r="E5" s="1" t="s">
        <v>26</v>
      </c>
      <c r="F5" s="3">
        <v>3507</v>
      </c>
      <c r="G5" s="3">
        <v>295</v>
      </c>
      <c r="H5" s="3">
        <v>371</v>
      </c>
      <c r="I5" s="3">
        <v>20410</v>
      </c>
      <c r="J5" s="3">
        <v>53965</v>
      </c>
      <c r="K5" s="3">
        <v>212</v>
      </c>
      <c r="L5" s="1" t="s">
        <v>17</v>
      </c>
      <c r="M5" s="1" t="s">
        <v>18</v>
      </c>
      <c r="N5" s="16">
        <f t="shared" si="0"/>
        <v>20.445859872611464</v>
      </c>
    </row>
    <row r="6" spans="1:14">
      <c r="A6" s="1" t="s">
        <v>90</v>
      </c>
      <c r="B6" s="1" t="s">
        <v>24</v>
      </c>
      <c r="C6" s="5">
        <v>45769</v>
      </c>
      <c r="D6" s="3" t="s">
        <v>15</v>
      </c>
      <c r="E6" s="1" t="s">
        <v>16</v>
      </c>
      <c r="F6" s="3">
        <v>4401</v>
      </c>
      <c r="G6" s="3">
        <v>421</v>
      </c>
      <c r="H6" s="3">
        <v>216</v>
      </c>
      <c r="I6" s="3">
        <v>24890</v>
      </c>
      <c r="J6" s="3">
        <v>54361</v>
      </c>
      <c r="K6" s="3">
        <v>148</v>
      </c>
      <c r="L6" s="1" t="s">
        <v>42</v>
      </c>
      <c r="M6" s="1" t="s">
        <v>18</v>
      </c>
      <c r="N6" s="16">
        <f t="shared" si="0"/>
        <v>20.241060666934512</v>
      </c>
    </row>
    <row r="7" spans="1:14">
      <c r="A7" s="1" t="s">
        <v>62</v>
      </c>
      <c r="B7" s="1" t="s">
        <v>14</v>
      </c>
      <c r="C7" s="5">
        <v>45823</v>
      </c>
      <c r="D7" s="3" t="s">
        <v>15</v>
      </c>
      <c r="E7" s="1" t="s">
        <v>35</v>
      </c>
      <c r="F7" s="3">
        <v>4896</v>
      </c>
      <c r="G7" s="3">
        <v>466</v>
      </c>
      <c r="H7" s="3">
        <v>233</v>
      </c>
      <c r="I7" s="3">
        <v>28621</v>
      </c>
      <c r="J7" s="3">
        <v>34270</v>
      </c>
      <c r="K7" s="3">
        <v>84</v>
      </c>
      <c r="L7" s="1" t="s">
        <v>17</v>
      </c>
      <c r="M7" s="1" t="s">
        <v>18</v>
      </c>
      <c r="N7" s="16">
        <f t="shared" si="0"/>
        <v>19.548583208133888</v>
      </c>
    </row>
    <row r="8" spans="1:14">
      <c r="A8" s="1" t="s">
        <v>197</v>
      </c>
      <c r="B8" s="1" t="s">
        <v>31</v>
      </c>
      <c r="C8" s="5">
        <v>45718</v>
      </c>
      <c r="D8" s="3" t="s">
        <v>15</v>
      </c>
      <c r="E8" s="1" t="s">
        <v>49</v>
      </c>
      <c r="F8" s="3">
        <v>4425</v>
      </c>
      <c r="G8" s="3">
        <v>185</v>
      </c>
      <c r="H8" s="3">
        <v>162</v>
      </c>
      <c r="I8" s="3">
        <v>24610</v>
      </c>
      <c r="J8" s="3">
        <v>21342</v>
      </c>
      <c r="K8" s="3">
        <v>158</v>
      </c>
      <c r="L8" s="1" t="s">
        <v>33</v>
      </c>
      <c r="M8" s="1" t="s">
        <v>22</v>
      </c>
      <c r="N8" s="16">
        <f t="shared" si="0"/>
        <v>19.390491670052825</v>
      </c>
    </row>
    <row r="9" spans="1:14">
      <c r="A9" s="1" t="s">
        <v>288</v>
      </c>
      <c r="B9" s="1" t="s">
        <v>31</v>
      </c>
      <c r="C9" s="5">
        <v>45457</v>
      </c>
      <c r="D9" s="3" t="s">
        <v>57</v>
      </c>
      <c r="E9" s="1" t="s">
        <v>29</v>
      </c>
      <c r="F9" s="3">
        <v>4722</v>
      </c>
      <c r="G9" s="3">
        <v>310</v>
      </c>
      <c r="H9" s="3">
        <v>344</v>
      </c>
      <c r="I9" s="3">
        <v>27911</v>
      </c>
      <c r="J9" s="3">
        <v>19000</v>
      </c>
      <c r="K9" s="3">
        <v>225</v>
      </c>
      <c r="L9" s="1" t="s">
        <v>58</v>
      </c>
      <c r="M9" s="1" t="s">
        <v>59</v>
      </c>
      <c r="N9" s="16">
        <f t="shared" si="0"/>
        <v>19.261223173659133</v>
      </c>
    </row>
    <row r="10" spans="1:14">
      <c r="A10" s="1" t="s">
        <v>176</v>
      </c>
      <c r="B10" s="1" t="s">
        <v>24</v>
      </c>
      <c r="C10" s="5">
        <v>45615</v>
      </c>
      <c r="D10" s="3" t="s">
        <v>15</v>
      </c>
      <c r="E10" s="1" t="s">
        <v>41</v>
      </c>
      <c r="F10" s="3">
        <v>3728</v>
      </c>
      <c r="G10" s="3">
        <v>271</v>
      </c>
      <c r="H10" s="3">
        <v>275</v>
      </c>
      <c r="I10" s="3">
        <v>22827</v>
      </c>
      <c r="J10" s="3">
        <v>37034</v>
      </c>
      <c r="K10" s="3">
        <v>199</v>
      </c>
      <c r="L10" s="1" t="s">
        <v>42</v>
      </c>
      <c r="M10" s="1" t="s">
        <v>18</v>
      </c>
      <c r="N10" s="16">
        <f t="shared" si="0"/>
        <v>18.723441538528935</v>
      </c>
    </row>
    <row r="11" spans="1:14">
      <c r="A11" s="1" t="s">
        <v>108</v>
      </c>
      <c r="B11" s="1" t="s">
        <v>24</v>
      </c>
      <c r="C11" s="5">
        <v>45379</v>
      </c>
      <c r="D11" s="3" t="s">
        <v>15</v>
      </c>
      <c r="E11" s="1" t="s">
        <v>32</v>
      </c>
      <c r="F11" s="3">
        <v>3276</v>
      </c>
      <c r="G11" s="3">
        <v>421</v>
      </c>
      <c r="H11" s="3">
        <v>114</v>
      </c>
      <c r="I11" s="3">
        <v>20580</v>
      </c>
      <c r="J11" s="3">
        <v>30324</v>
      </c>
      <c r="K11" s="3">
        <v>221</v>
      </c>
      <c r="L11" s="1" t="s">
        <v>45</v>
      </c>
      <c r="M11" s="1" t="s">
        <v>22</v>
      </c>
      <c r="N11" s="16">
        <f t="shared" si="0"/>
        <v>18.517978620019438</v>
      </c>
    </row>
    <row r="12" spans="1:14" hidden="1">
      <c r="A12" s="1" t="s">
        <v>128</v>
      </c>
      <c r="B12" s="1" t="s">
        <v>24</v>
      </c>
      <c r="C12" s="5">
        <v>45705</v>
      </c>
      <c r="D12" s="3" t="s">
        <v>25</v>
      </c>
      <c r="E12" s="1" t="s">
        <v>35</v>
      </c>
      <c r="F12" s="3">
        <v>4796</v>
      </c>
      <c r="G12" s="3">
        <v>427</v>
      </c>
      <c r="H12" s="3">
        <v>339</v>
      </c>
      <c r="I12" s="3">
        <v>30752</v>
      </c>
      <c r="J12" s="3">
        <v>33870</v>
      </c>
      <c r="K12" s="3">
        <v>298</v>
      </c>
      <c r="L12" s="1" t="s">
        <v>17</v>
      </c>
      <c r="M12" s="1" t="s">
        <v>18</v>
      </c>
      <c r="N12" s="12">
        <f t="shared" si="0"/>
        <v>18.086628511966701</v>
      </c>
    </row>
    <row r="13" spans="1:14" hidden="1">
      <c r="A13" s="1" t="s">
        <v>253</v>
      </c>
      <c r="B13" s="1" t="s">
        <v>14</v>
      </c>
      <c r="C13" s="5">
        <v>45832</v>
      </c>
      <c r="D13" s="3" t="s">
        <v>25</v>
      </c>
      <c r="E13" s="1" t="s">
        <v>37</v>
      </c>
      <c r="F13" s="3">
        <v>4902</v>
      </c>
      <c r="G13" s="3">
        <v>422</v>
      </c>
      <c r="H13" s="3">
        <v>376</v>
      </c>
      <c r="I13" s="3">
        <v>31674</v>
      </c>
      <c r="J13" s="3">
        <v>53225</v>
      </c>
      <c r="K13" s="3">
        <v>147</v>
      </c>
      <c r="L13" s="1" t="s">
        <v>42</v>
      </c>
      <c r="M13" s="1" t="s">
        <v>55</v>
      </c>
      <c r="N13" s="12">
        <f t="shared" si="0"/>
        <v>17.995832544042432</v>
      </c>
    </row>
    <row r="14" spans="1:14" hidden="1">
      <c r="A14" s="1" t="s">
        <v>290</v>
      </c>
      <c r="B14" s="1" t="s">
        <v>24</v>
      </c>
      <c r="C14" s="5">
        <v>45792</v>
      </c>
      <c r="D14" s="3" t="s">
        <v>15</v>
      </c>
      <c r="E14" s="1" t="s">
        <v>51</v>
      </c>
      <c r="F14" s="3">
        <v>4782</v>
      </c>
      <c r="G14" s="3">
        <v>210</v>
      </c>
      <c r="H14" s="3">
        <v>311</v>
      </c>
      <c r="I14" s="3">
        <v>29793</v>
      </c>
      <c r="J14" s="3">
        <v>37543</v>
      </c>
      <c r="K14" s="3">
        <v>145</v>
      </c>
      <c r="L14" s="1" t="s">
        <v>42</v>
      </c>
      <c r="M14" s="1" t="s">
        <v>18</v>
      </c>
      <c r="N14" s="12">
        <f t="shared" si="0"/>
        <v>17.79948310005706</v>
      </c>
    </row>
    <row r="15" spans="1:14" hidden="1">
      <c r="A15" s="1" t="s">
        <v>107</v>
      </c>
      <c r="B15" s="1" t="s">
        <v>31</v>
      </c>
      <c r="C15" s="5">
        <v>45384</v>
      </c>
      <c r="D15" s="3" t="s">
        <v>57</v>
      </c>
      <c r="E15" s="1" t="s">
        <v>51</v>
      </c>
      <c r="F15" s="3">
        <v>4563</v>
      </c>
      <c r="G15" s="3">
        <v>488</v>
      </c>
      <c r="H15" s="3">
        <v>356</v>
      </c>
      <c r="I15" s="3">
        <v>30619</v>
      </c>
      <c r="J15" s="3">
        <v>23328</v>
      </c>
      <c r="K15" s="3">
        <v>267</v>
      </c>
      <c r="L15" s="1" t="s">
        <v>58</v>
      </c>
      <c r="M15" s="1" t="s">
        <v>59</v>
      </c>
      <c r="N15" s="12">
        <f t="shared" si="0"/>
        <v>17.658969920637514</v>
      </c>
    </row>
    <row r="16" spans="1:14" hidden="1">
      <c r="A16" s="1" t="s">
        <v>130</v>
      </c>
      <c r="B16" s="1" t="s">
        <v>24</v>
      </c>
      <c r="C16" s="5">
        <v>45495</v>
      </c>
      <c r="D16" s="3" t="s">
        <v>25</v>
      </c>
      <c r="E16" s="1" t="s">
        <v>29</v>
      </c>
      <c r="F16" s="3">
        <v>3336</v>
      </c>
      <c r="G16" s="3">
        <v>229</v>
      </c>
      <c r="H16" s="3">
        <v>337</v>
      </c>
      <c r="I16" s="3">
        <v>22117</v>
      </c>
      <c r="J16" s="3">
        <v>26205</v>
      </c>
      <c r="K16" s="3">
        <v>160</v>
      </c>
      <c r="L16" s="1" t="s">
        <v>27</v>
      </c>
      <c r="M16" s="1" t="s">
        <v>18</v>
      </c>
      <c r="N16" s="12">
        <f t="shared" si="0"/>
        <v>17.642537414658406</v>
      </c>
    </row>
    <row r="17" spans="1:14" hidden="1">
      <c r="A17" s="1" t="s">
        <v>217</v>
      </c>
      <c r="B17" s="1" t="s">
        <v>24</v>
      </c>
      <c r="C17" s="5">
        <v>45606</v>
      </c>
      <c r="D17" s="3" t="s">
        <v>15</v>
      </c>
      <c r="E17" s="1" t="s">
        <v>20</v>
      </c>
      <c r="F17" s="3">
        <v>4823</v>
      </c>
      <c r="G17" s="3">
        <v>489</v>
      </c>
      <c r="H17" s="3">
        <v>302</v>
      </c>
      <c r="I17" s="3">
        <v>32470</v>
      </c>
      <c r="J17" s="3">
        <v>31861</v>
      </c>
      <c r="K17" s="3">
        <v>178</v>
      </c>
      <c r="L17" s="1" t="s">
        <v>45</v>
      </c>
      <c r="M17" s="1" t="s">
        <v>22</v>
      </c>
      <c r="N17" s="12">
        <f t="shared" si="0"/>
        <v>17.289805974745921</v>
      </c>
    </row>
    <row r="18" spans="1:14" hidden="1">
      <c r="A18" s="1" t="s">
        <v>279</v>
      </c>
      <c r="B18" s="1" t="s">
        <v>24</v>
      </c>
      <c r="C18" s="5">
        <v>45639</v>
      </c>
      <c r="D18" s="3" t="s">
        <v>25</v>
      </c>
      <c r="E18" s="1" t="s">
        <v>26</v>
      </c>
      <c r="F18" s="3">
        <v>4984</v>
      </c>
      <c r="G18" s="3">
        <v>300</v>
      </c>
      <c r="H18" s="3">
        <v>338</v>
      </c>
      <c r="I18" s="3">
        <v>32900</v>
      </c>
      <c r="J18" s="3">
        <v>31691</v>
      </c>
      <c r="K18" s="3">
        <v>160</v>
      </c>
      <c r="L18" s="1" t="s">
        <v>27</v>
      </c>
      <c r="M18" s="1" t="s">
        <v>18</v>
      </c>
      <c r="N18" s="12">
        <f t="shared" si="0"/>
        <v>17.088145896656535</v>
      </c>
    </row>
    <row r="19" spans="1:14" hidden="1">
      <c r="A19" s="1" t="s">
        <v>274</v>
      </c>
      <c r="B19" s="1" t="s">
        <v>24</v>
      </c>
      <c r="C19" s="5">
        <v>45324</v>
      </c>
      <c r="D19" s="3" t="s">
        <v>15</v>
      </c>
      <c r="E19" s="1" t="s">
        <v>49</v>
      </c>
      <c r="F19" s="3">
        <v>3818</v>
      </c>
      <c r="G19" s="3">
        <v>115</v>
      </c>
      <c r="H19" s="3">
        <v>286</v>
      </c>
      <c r="I19" s="3">
        <v>25127</v>
      </c>
      <c r="J19" s="3">
        <v>22277</v>
      </c>
      <c r="K19" s="3">
        <v>263</v>
      </c>
      <c r="L19" s="1" t="s">
        <v>42</v>
      </c>
      <c r="M19" s="1" t="s">
        <v>18</v>
      </c>
      <c r="N19" s="12">
        <f t="shared" si="0"/>
        <v>16.790703227603775</v>
      </c>
    </row>
    <row r="20" spans="1:14" hidden="1">
      <c r="A20" s="1" t="s">
        <v>223</v>
      </c>
      <c r="B20" s="1" t="s">
        <v>24</v>
      </c>
      <c r="C20" s="5">
        <v>45496</v>
      </c>
      <c r="D20" s="3" t="s">
        <v>15</v>
      </c>
      <c r="E20" s="1" t="s">
        <v>41</v>
      </c>
      <c r="F20" s="3">
        <v>3204</v>
      </c>
      <c r="G20" s="3">
        <v>398</v>
      </c>
      <c r="H20" s="3">
        <v>85</v>
      </c>
      <c r="I20" s="3">
        <v>22020</v>
      </c>
      <c r="J20" s="3">
        <v>58353</v>
      </c>
      <c r="K20" s="3">
        <v>286</v>
      </c>
      <c r="L20" s="1" t="s">
        <v>45</v>
      </c>
      <c r="M20" s="1" t="s">
        <v>22</v>
      </c>
      <c r="N20" s="12">
        <f t="shared" si="0"/>
        <v>16.743869209809265</v>
      </c>
    </row>
    <row r="21" spans="1:14" hidden="1">
      <c r="A21" s="1" t="s">
        <v>151</v>
      </c>
      <c r="B21" s="1" t="s">
        <v>31</v>
      </c>
      <c r="C21" s="5">
        <v>45493</v>
      </c>
      <c r="D21" s="3" t="s">
        <v>57</v>
      </c>
      <c r="E21" s="1" t="s">
        <v>32</v>
      </c>
      <c r="F21" s="3">
        <v>4955</v>
      </c>
      <c r="G21" s="3">
        <v>299</v>
      </c>
      <c r="H21" s="3">
        <v>345</v>
      </c>
      <c r="I21" s="3">
        <v>33644</v>
      </c>
      <c r="J21" s="3">
        <v>43547</v>
      </c>
      <c r="K21" s="3">
        <v>194</v>
      </c>
      <c r="L21" s="1" t="s">
        <v>58</v>
      </c>
      <c r="M21" s="1" t="s">
        <v>59</v>
      </c>
      <c r="N21" s="12">
        <f t="shared" si="0"/>
        <v>16.641897515158721</v>
      </c>
    </row>
    <row r="22" spans="1:14" hidden="1">
      <c r="A22" s="1" t="s">
        <v>177</v>
      </c>
      <c r="B22" s="1" t="s">
        <v>24</v>
      </c>
      <c r="C22" s="5">
        <v>45387</v>
      </c>
      <c r="D22" s="3" t="s">
        <v>25</v>
      </c>
      <c r="E22" s="1" t="s">
        <v>26</v>
      </c>
      <c r="F22" s="3">
        <v>4965</v>
      </c>
      <c r="G22" s="3">
        <v>175</v>
      </c>
      <c r="H22" s="3">
        <v>307</v>
      </c>
      <c r="I22" s="3">
        <v>32793</v>
      </c>
      <c r="J22" s="3">
        <v>43412</v>
      </c>
      <c r="K22" s="3">
        <v>296</v>
      </c>
      <c r="L22" s="1" t="s">
        <v>17</v>
      </c>
      <c r="M22" s="1" t="s">
        <v>18</v>
      </c>
      <c r="N22" s="12">
        <f t="shared" si="0"/>
        <v>16.610252187966946</v>
      </c>
    </row>
    <row r="23" spans="1:14" hidden="1">
      <c r="A23" s="1" t="s">
        <v>286</v>
      </c>
      <c r="B23" s="1" t="s">
        <v>24</v>
      </c>
      <c r="C23" s="5">
        <v>45481</v>
      </c>
      <c r="D23" s="3" t="s">
        <v>25</v>
      </c>
      <c r="E23" s="1" t="s">
        <v>41</v>
      </c>
      <c r="F23" s="3">
        <v>2981</v>
      </c>
      <c r="G23" s="3">
        <v>258</v>
      </c>
      <c r="H23" s="3">
        <v>168</v>
      </c>
      <c r="I23" s="3">
        <v>20677</v>
      </c>
      <c r="J23" s="3">
        <v>68290</v>
      </c>
      <c r="K23" s="3">
        <v>130</v>
      </c>
      <c r="L23" s="1" t="s">
        <v>17</v>
      </c>
      <c r="M23" s="1" t="s">
        <v>18</v>
      </c>
      <c r="N23" s="12">
        <f t="shared" si="0"/>
        <v>16.477245248343568</v>
      </c>
    </row>
    <row r="24" spans="1:14" hidden="1">
      <c r="A24" s="1" t="s">
        <v>212</v>
      </c>
      <c r="B24" s="1" t="s">
        <v>31</v>
      </c>
      <c r="C24" s="5">
        <v>45400</v>
      </c>
      <c r="D24" s="3" t="s">
        <v>15</v>
      </c>
      <c r="E24" s="1" t="s">
        <v>20</v>
      </c>
      <c r="F24" s="3">
        <v>4023</v>
      </c>
      <c r="G24" s="3">
        <v>293</v>
      </c>
      <c r="H24" s="3">
        <v>91</v>
      </c>
      <c r="I24" s="3">
        <v>26795</v>
      </c>
      <c r="J24" s="3">
        <v>28924</v>
      </c>
      <c r="K24" s="3">
        <v>278</v>
      </c>
      <c r="L24" s="1" t="s">
        <v>33</v>
      </c>
      <c r="M24" s="1" t="s">
        <v>22</v>
      </c>
      <c r="N24" s="12">
        <f t="shared" si="0"/>
        <v>16.447098339242398</v>
      </c>
    </row>
    <row r="25" spans="1:14" hidden="1">
      <c r="A25" s="1" t="s">
        <v>124</v>
      </c>
      <c r="B25" s="1" t="s">
        <v>24</v>
      </c>
      <c r="C25" s="5">
        <v>45507</v>
      </c>
      <c r="D25" s="3" t="s">
        <v>15</v>
      </c>
      <c r="E25" s="1" t="s">
        <v>51</v>
      </c>
      <c r="F25" s="3">
        <v>4247</v>
      </c>
      <c r="G25" s="3">
        <v>390</v>
      </c>
      <c r="H25" s="3">
        <v>213</v>
      </c>
      <c r="I25" s="3">
        <v>29785</v>
      </c>
      <c r="J25" s="3">
        <v>57768</v>
      </c>
      <c r="K25" s="3">
        <v>122</v>
      </c>
      <c r="L25" s="1" t="s">
        <v>42</v>
      </c>
      <c r="M25" s="1" t="s">
        <v>18</v>
      </c>
      <c r="N25" s="12">
        <f t="shared" si="0"/>
        <v>16.283364109451064</v>
      </c>
    </row>
    <row r="26" spans="1:14" hidden="1">
      <c r="A26" s="1" t="s">
        <v>73</v>
      </c>
      <c r="B26" s="1" t="s">
        <v>24</v>
      </c>
      <c r="C26" s="5">
        <v>45574</v>
      </c>
      <c r="D26" s="3" t="s">
        <v>25</v>
      </c>
      <c r="E26" s="1" t="s">
        <v>16</v>
      </c>
      <c r="F26" s="3">
        <v>4929</v>
      </c>
      <c r="G26" s="3">
        <v>182</v>
      </c>
      <c r="H26" s="3">
        <v>95</v>
      </c>
      <c r="I26" s="3">
        <v>32181</v>
      </c>
      <c r="J26" s="3">
        <v>31084</v>
      </c>
      <c r="K26" s="3">
        <v>289</v>
      </c>
      <c r="L26" s="1" t="s">
        <v>39</v>
      </c>
      <c r="M26" s="1" t="s">
        <v>18</v>
      </c>
      <c r="N26" s="12">
        <f t="shared" si="0"/>
        <v>16.177247444144061</v>
      </c>
    </row>
    <row r="27" spans="1:14" hidden="1">
      <c r="A27" s="1" t="s">
        <v>207</v>
      </c>
      <c r="B27" s="1" t="s">
        <v>31</v>
      </c>
      <c r="C27" s="5">
        <v>45684</v>
      </c>
      <c r="D27" s="3" t="s">
        <v>15</v>
      </c>
      <c r="E27" s="1" t="s">
        <v>29</v>
      </c>
      <c r="F27" s="3">
        <v>4294</v>
      </c>
      <c r="G27" s="3">
        <v>423</v>
      </c>
      <c r="H27" s="3">
        <v>93</v>
      </c>
      <c r="I27" s="3">
        <v>29828</v>
      </c>
      <c r="J27" s="3">
        <v>73144</v>
      </c>
      <c r="K27" s="3">
        <v>298</v>
      </c>
      <c r="L27" s="1" t="s">
        <v>33</v>
      </c>
      <c r="M27" s="1" t="s">
        <v>22</v>
      </c>
      <c r="N27" s="12">
        <f t="shared" si="0"/>
        <v>16.125787850341961</v>
      </c>
    </row>
    <row r="28" spans="1:14" hidden="1">
      <c r="A28" s="1" t="s">
        <v>198</v>
      </c>
      <c r="B28" s="1" t="s">
        <v>24</v>
      </c>
      <c r="C28" s="5">
        <v>45737</v>
      </c>
      <c r="D28" s="3" t="s">
        <v>25</v>
      </c>
      <c r="E28" s="1" t="s">
        <v>26</v>
      </c>
      <c r="F28" s="3">
        <v>4609</v>
      </c>
      <c r="G28" s="3">
        <v>427</v>
      </c>
      <c r="H28" s="3">
        <v>395</v>
      </c>
      <c r="I28" s="3">
        <v>33698</v>
      </c>
      <c r="J28" s="3">
        <v>29259</v>
      </c>
      <c r="K28" s="3">
        <v>216</v>
      </c>
      <c r="L28" s="1" t="s">
        <v>39</v>
      </c>
      <c r="M28" s="1" t="s">
        <v>18</v>
      </c>
      <c r="N28" s="12">
        <f t="shared" si="0"/>
        <v>16.116683482699269</v>
      </c>
    </row>
    <row r="29" spans="1:14" hidden="1">
      <c r="A29" s="1" t="s">
        <v>111</v>
      </c>
      <c r="B29" s="1" t="s">
        <v>24</v>
      </c>
      <c r="C29" s="5">
        <v>45302</v>
      </c>
      <c r="D29" s="3" t="s">
        <v>15</v>
      </c>
      <c r="E29" s="1" t="s">
        <v>35</v>
      </c>
      <c r="F29" s="3">
        <v>4218</v>
      </c>
      <c r="G29" s="3">
        <v>247</v>
      </c>
      <c r="H29" s="3">
        <v>183</v>
      </c>
      <c r="I29" s="3">
        <v>28914</v>
      </c>
      <c r="J29" s="3">
        <v>18310</v>
      </c>
      <c r="K29" s="3">
        <v>135</v>
      </c>
      <c r="L29" s="1" t="s">
        <v>45</v>
      </c>
      <c r="M29" s="1" t="s">
        <v>22</v>
      </c>
      <c r="N29" s="12">
        <f t="shared" si="0"/>
        <v>16.07525766064882</v>
      </c>
    </row>
    <row r="30" spans="1:14" hidden="1">
      <c r="A30" s="1" t="s">
        <v>150</v>
      </c>
      <c r="B30" s="1" t="s">
        <v>14</v>
      </c>
      <c r="C30" s="5">
        <v>45469</v>
      </c>
      <c r="D30" s="3" t="s">
        <v>15</v>
      </c>
      <c r="E30" s="1" t="s">
        <v>26</v>
      </c>
      <c r="F30" s="3">
        <v>3253</v>
      </c>
      <c r="G30" s="3">
        <v>483</v>
      </c>
      <c r="H30" s="3">
        <v>336</v>
      </c>
      <c r="I30" s="3">
        <v>25397</v>
      </c>
      <c r="J30" s="3">
        <v>51485</v>
      </c>
      <c r="K30" s="3">
        <v>131</v>
      </c>
      <c r="L30" s="1" t="s">
        <v>21</v>
      </c>
      <c r="M30" s="1" t="s">
        <v>22</v>
      </c>
      <c r="N30" s="12">
        <f t="shared" si="0"/>
        <v>16.033389770445329</v>
      </c>
    </row>
    <row r="31" spans="1:14" hidden="1">
      <c r="A31" s="1" t="s">
        <v>88</v>
      </c>
      <c r="B31" s="1" t="s">
        <v>14</v>
      </c>
      <c r="C31" s="5">
        <v>45693</v>
      </c>
      <c r="D31" s="3" t="s">
        <v>25</v>
      </c>
      <c r="E31" s="1" t="s">
        <v>32</v>
      </c>
      <c r="F31" s="3">
        <v>3074</v>
      </c>
      <c r="G31" s="3">
        <v>371</v>
      </c>
      <c r="H31" s="3">
        <v>348</v>
      </c>
      <c r="I31" s="3">
        <v>24104</v>
      </c>
      <c r="J31" s="3">
        <v>57803</v>
      </c>
      <c r="K31" s="3">
        <v>213</v>
      </c>
      <c r="L31" s="1" t="s">
        <v>42</v>
      </c>
      <c r="M31" s="1" t="s">
        <v>55</v>
      </c>
      <c r="N31" s="12">
        <f t="shared" si="0"/>
        <v>15.735977431131762</v>
      </c>
    </row>
    <row r="32" spans="1:14" hidden="1">
      <c r="A32" s="1" t="s">
        <v>330</v>
      </c>
      <c r="B32" s="1" t="s">
        <v>24</v>
      </c>
      <c r="C32" s="5">
        <v>45517</v>
      </c>
      <c r="D32" s="3" t="s">
        <v>15</v>
      </c>
      <c r="E32" s="1" t="s">
        <v>20</v>
      </c>
      <c r="F32" s="3">
        <v>3418</v>
      </c>
      <c r="G32" s="3">
        <v>107</v>
      </c>
      <c r="H32" s="3">
        <v>221</v>
      </c>
      <c r="I32" s="3">
        <v>23927</v>
      </c>
      <c r="J32" s="3">
        <v>26182</v>
      </c>
      <c r="K32" s="3">
        <v>155</v>
      </c>
      <c r="L32" s="1" t="s">
        <v>45</v>
      </c>
      <c r="M32" s="1" t="s">
        <v>22</v>
      </c>
      <c r="N32" s="12">
        <f t="shared" si="0"/>
        <v>15.65595352530614</v>
      </c>
    </row>
    <row r="33" spans="1:14" hidden="1">
      <c r="A33" s="1" t="s">
        <v>201</v>
      </c>
      <c r="B33" s="1" t="s">
        <v>14</v>
      </c>
      <c r="C33" s="5">
        <v>45803</v>
      </c>
      <c r="D33" s="3" t="s">
        <v>15</v>
      </c>
      <c r="E33" s="1" t="s">
        <v>16</v>
      </c>
      <c r="F33" s="3">
        <v>3086</v>
      </c>
      <c r="G33" s="3">
        <v>148</v>
      </c>
      <c r="H33" s="3">
        <v>310</v>
      </c>
      <c r="I33" s="3">
        <v>22824</v>
      </c>
      <c r="J33" s="3">
        <v>58103</v>
      </c>
      <c r="K33" s="3">
        <v>275</v>
      </c>
      <c r="L33" s="1" t="s">
        <v>21</v>
      </c>
      <c r="M33" s="1" t="s">
        <v>22</v>
      </c>
      <c r="N33" s="12">
        <f t="shared" si="0"/>
        <v>15.527514896600071</v>
      </c>
    </row>
    <row r="34" spans="1:14" hidden="1">
      <c r="A34" s="1" t="s">
        <v>210</v>
      </c>
      <c r="B34" s="1" t="s">
        <v>24</v>
      </c>
      <c r="C34" s="5">
        <v>45619</v>
      </c>
      <c r="D34" s="3" t="s">
        <v>15</v>
      </c>
      <c r="E34" s="1" t="s">
        <v>26</v>
      </c>
      <c r="F34" s="3">
        <v>4318</v>
      </c>
      <c r="G34" s="3">
        <v>371</v>
      </c>
      <c r="H34" s="3">
        <v>329</v>
      </c>
      <c r="I34" s="3">
        <v>32347</v>
      </c>
      <c r="J34" s="3">
        <v>68956</v>
      </c>
      <c r="K34" s="3">
        <v>259</v>
      </c>
      <c r="L34" s="1" t="s">
        <v>45</v>
      </c>
      <c r="M34" s="1" t="s">
        <v>22</v>
      </c>
      <c r="N34" s="12">
        <f t="shared" si="0"/>
        <v>15.513030574705535</v>
      </c>
    </row>
    <row r="35" spans="1:14" hidden="1">
      <c r="A35" s="1" t="s">
        <v>294</v>
      </c>
      <c r="B35" s="1" t="s">
        <v>24</v>
      </c>
      <c r="C35" s="5">
        <v>45691</v>
      </c>
      <c r="D35" s="3" t="s">
        <v>15</v>
      </c>
      <c r="E35" s="1" t="s">
        <v>35</v>
      </c>
      <c r="F35" s="3">
        <v>4995</v>
      </c>
      <c r="G35" s="3">
        <v>231</v>
      </c>
      <c r="H35" s="3">
        <v>94</v>
      </c>
      <c r="I35" s="3">
        <v>34431</v>
      </c>
      <c r="J35" s="3">
        <v>32560</v>
      </c>
      <c r="K35" s="3">
        <v>262</v>
      </c>
      <c r="L35" s="1" t="s">
        <v>42</v>
      </c>
      <c r="M35" s="1" t="s">
        <v>18</v>
      </c>
      <c r="N35" s="12">
        <f t="shared" si="0"/>
        <v>15.451192239551567</v>
      </c>
    </row>
    <row r="36" spans="1:14" hidden="1">
      <c r="A36" s="1" t="s">
        <v>60</v>
      </c>
      <c r="B36" s="1" t="s">
        <v>14</v>
      </c>
      <c r="C36" s="5">
        <v>45478</v>
      </c>
      <c r="D36" s="3" t="s">
        <v>15</v>
      </c>
      <c r="E36" s="1" t="s">
        <v>51</v>
      </c>
      <c r="F36" s="3">
        <v>3753</v>
      </c>
      <c r="G36" s="3">
        <v>411</v>
      </c>
      <c r="H36" s="3">
        <v>308</v>
      </c>
      <c r="I36" s="3">
        <v>29138</v>
      </c>
      <c r="J36" s="3">
        <v>27678</v>
      </c>
      <c r="K36" s="3">
        <v>90</v>
      </c>
      <c r="L36" s="1" t="s">
        <v>21</v>
      </c>
      <c r="M36" s="1" t="s">
        <v>22</v>
      </c>
      <c r="N36" s="12">
        <f t="shared" si="0"/>
        <v>15.347655981879333</v>
      </c>
    </row>
    <row r="37" spans="1:14" hidden="1">
      <c r="A37" s="1" t="s">
        <v>92</v>
      </c>
      <c r="B37" s="1" t="s">
        <v>24</v>
      </c>
      <c r="C37" s="5">
        <v>45539</v>
      </c>
      <c r="D37" s="3" t="s">
        <v>25</v>
      </c>
      <c r="E37" s="1" t="s">
        <v>26</v>
      </c>
      <c r="F37" s="3">
        <v>2613</v>
      </c>
      <c r="G37" s="3">
        <v>455</v>
      </c>
      <c r="H37" s="3">
        <v>228</v>
      </c>
      <c r="I37" s="3">
        <v>21645</v>
      </c>
      <c r="J37" s="3">
        <v>61334</v>
      </c>
      <c r="K37" s="3">
        <v>261</v>
      </c>
      <c r="L37" s="1" t="s">
        <v>39</v>
      </c>
      <c r="M37" s="1" t="s">
        <v>18</v>
      </c>
      <c r="N37" s="12">
        <f t="shared" si="0"/>
        <v>15.227535227535228</v>
      </c>
    </row>
    <row r="38" spans="1:14" hidden="1">
      <c r="A38" s="1" t="s">
        <v>311</v>
      </c>
      <c r="B38" s="1" t="s">
        <v>24</v>
      </c>
      <c r="C38" s="5">
        <v>45693</v>
      </c>
      <c r="D38" s="3" t="s">
        <v>25</v>
      </c>
      <c r="E38" s="1" t="s">
        <v>16</v>
      </c>
      <c r="F38" s="3">
        <v>3029</v>
      </c>
      <c r="G38" s="3">
        <v>440</v>
      </c>
      <c r="H38" s="3">
        <v>66</v>
      </c>
      <c r="I38" s="3">
        <v>23815</v>
      </c>
      <c r="J38" s="3">
        <v>47895</v>
      </c>
      <c r="K38" s="3">
        <v>210</v>
      </c>
      <c r="L38" s="1" t="s">
        <v>39</v>
      </c>
      <c r="M38" s="1" t="s">
        <v>18</v>
      </c>
      <c r="N38" s="12">
        <f t="shared" si="0"/>
        <v>14.843585975225698</v>
      </c>
    </row>
    <row r="39" spans="1:14" hidden="1">
      <c r="A39" s="1" t="s">
        <v>123</v>
      </c>
      <c r="B39" s="1" t="s">
        <v>24</v>
      </c>
      <c r="C39" s="5">
        <v>45660</v>
      </c>
      <c r="D39" s="3" t="s">
        <v>25</v>
      </c>
      <c r="E39" s="1" t="s">
        <v>37</v>
      </c>
      <c r="F39" s="3">
        <v>4845</v>
      </c>
      <c r="G39" s="3">
        <v>158</v>
      </c>
      <c r="H39" s="3">
        <v>84</v>
      </c>
      <c r="I39" s="3">
        <v>34578</v>
      </c>
      <c r="J39" s="3">
        <v>51480</v>
      </c>
      <c r="K39" s="3">
        <v>180</v>
      </c>
      <c r="L39" s="1" t="s">
        <v>17</v>
      </c>
      <c r="M39" s="1" t="s">
        <v>18</v>
      </c>
      <c r="N39" s="12">
        <f t="shared" si="0"/>
        <v>14.711666377465441</v>
      </c>
    </row>
    <row r="40" spans="1:14" hidden="1">
      <c r="A40" s="1" t="s">
        <v>289</v>
      </c>
      <c r="B40" s="1" t="s">
        <v>14</v>
      </c>
      <c r="C40" s="5">
        <v>45357</v>
      </c>
      <c r="D40" s="3" t="s">
        <v>15</v>
      </c>
      <c r="E40" s="1" t="s">
        <v>35</v>
      </c>
      <c r="F40" s="3">
        <v>3529</v>
      </c>
      <c r="G40" s="3">
        <v>263</v>
      </c>
      <c r="H40" s="3">
        <v>107</v>
      </c>
      <c r="I40" s="3">
        <v>26570</v>
      </c>
      <c r="J40" s="3">
        <v>19367</v>
      </c>
      <c r="K40" s="3">
        <v>96</v>
      </c>
      <c r="L40" s="1" t="s">
        <v>21</v>
      </c>
      <c r="M40" s="1" t="s">
        <v>22</v>
      </c>
      <c r="N40" s="12">
        <f t="shared" si="0"/>
        <v>14.674444862627023</v>
      </c>
    </row>
    <row r="41" spans="1:14" hidden="1">
      <c r="A41" s="1" t="s">
        <v>86</v>
      </c>
      <c r="B41" s="1" t="s">
        <v>14</v>
      </c>
      <c r="C41" s="5">
        <v>45334</v>
      </c>
      <c r="D41" s="3" t="s">
        <v>15</v>
      </c>
      <c r="E41" s="1" t="s">
        <v>20</v>
      </c>
      <c r="F41" s="3">
        <v>2923</v>
      </c>
      <c r="G41" s="3">
        <v>330</v>
      </c>
      <c r="H41" s="3">
        <v>250</v>
      </c>
      <c r="I41" s="3">
        <v>23993</v>
      </c>
      <c r="J41" s="3">
        <v>74590</v>
      </c>
      <c r="K41" s="3">
        <v>92</v>
      </c>
      <c r="L41" s="1" t="s">
        <v>21</v>
      </c>
      <c r="M41" s="1" t="s">
        <v>22</v>
      </c>
      <c r="N41" s="12">
        <f t="shared" si="0"/>
        <v>14.600091693410578</v>
      </c>
    </row>
    <row r="42" spans="1:14" hidden="1">
      <c r="A42" s="1" t="s">
        <v>142</v>
      </c>
      <c r="B42" s="1" t="s">
        <v>24</v>
      </c>
      <c r="C42" s="5">
        <v>45591</v>
      </c>
      <c r="D42" s="3" t="s">
        <v>15</v>
      </c>
      <c r="E42" s="1" t="s">
        <v>16</v>
      </c>
      <c r="F42" s="3">
        <v>3036</v>
      </c>
      <c r="G42" s="3">
        <v>293</v>
      </c>
      <c r="H42" s="3">
        <v>115</v>
      </c>
      <c r="I42" s="3">
        <v>23776</v>
      </c>
      <c r="J42" s="3">
        <v>46386</v>
      </c>
      <c r="K42" s="3">
        <v>282</v>
      </c>
      <c r="L42" s="1" t="s">
        <v>42</v>
      </c>
      <c r="M42" s="1" t="s">
        <v>18</v>
      </c>
      <c r="N42" s="12">
        <f t="shared" si="0"/>
        <v>14.485195154777927</v>
      </c>
    </row>
    <row r="43" spans="1:14" hidden="1">
      <c r="A43" s="1" t="s">
        <v>80</v>
      </c>
      <c r="B43" s="1" t="s">
        <v>24</v>
      </c>
      <c r="C43" s="5">
        <v>45818</v>
      </c>
      <c r="D43" s="3" t="s">
        <v>15</v>
      </c>
      <c r="E43" s="1" t="s">
        <v>20</v>
      </c>
      <c r="F43" s="3">
        <v>3615</v>
      </c>
      <c r="G43" s="3">
        <v>192</v>
      </c>
      <c r="H43" s="3">
        <v>162</v>
      </c>
      <c r="I43" s="3">
        <v>27492</v>
      </c>
      <c r="J43" s="3">
        <v>35341</v>
      </c>
      <c r="K43" s="3">
        <v>125</v>
      </c>
      <c r="L43" s="1" t="s">
        <v>42</v>
      </c>
      <c r="M43" s="1" t="s">
        <v>18</v>
      </c>
      <c r="N43" s="12">
        <f t="shared" si="0"/>
        <v>14.436927106067218</v>
      </c>
    </row>
    <row r="44" spans="1:14" hidden="1">
      <c r="A44" s="1" t="s">
        <v>134</v>
      </c>
      <c r="B44" s="1" t="s">
        <v>24</v>
      </c>
      <c r="C44" s="5">
        <v>45609</v>
      </c>
      <c r="D44" s="3" t="s">
        <v>25</v>
      </c>
      <c r="E44" s="1" t="s">
        <v>41</v>
      </c>
      <c r="F44" s="3">
        <v>4628</v>
      </c>
      <c r="G44" s="3">
        <v>257</v>
      </c>
      <c r="H44" s="3">
        <v>397</v>
      </c>
      <c r="I44" s="3">
        <v>36686</v>
      </c>
      <c r="J44" s="3">
        <v>54683</v>
      </c>
      <c r="K44" s="3">
        <v>98</v>
      </c>
      <c r="L44" s="1" t="s">
        <v>17</v>
      </c>
      <c r="M44" s="1" t="s">
        <v>18</v>
      </c>
      <c r="N44" s="12">
        <f t="shared" si="0"/>
        <v>14.397862944992641</v>
      </c>
    </row>
    <row r="45" spans="1:14" hidden="1">
      <c r="A45" s="1" t="s">
        <v>119</v>
      </c>
      <c r="B45" s="1" t="s">
        <v>31</v>
      </c>
      <c r="C45" s="5">
        <v>45304</v>
      </c>
      <c r="D45" s="3" t="s">
        <v>57</v>
      </c>
      <c r="E45" s="1" t="s">
        <v>26</v>
      </c>
      <c r="F45" s="3">
        <v>4781</v>
      </c>
      <c r="G45" s="3">
        <v>191</v>
      </c>
      <c r="H45" s="3">
        <v>122</v>
      </c>
      <c r="I45" s="3">
        <v>35535</v>
      </c>
      <c r="J45" s="3">
        <v>50777</v>
      </c>
      <c r="K45" s="3">
        <v>128</v>
      </c>
      <c r="L45" s="1" t="s">
        <v>58</v>
      </c>
      <c r="M45" s="1" t="s">
        <v>59</v>
      </c>
      <c r="N45" s="12">
        <f t="shared" si="0"/>
        <v>14.335162515829463</v>
      </c>
    </row>
    <row r="46" spans="1:14" hidden="1">
      <c r="A46" s="1" t="s">
        <v>135</v>
      </c>
      <c r="B46" s="1" t="s">
        <v>14</v>
      </c>
      <c r="C46" s="5">
        <v>45373</v>
      </c>
      <c r="D46" s="3" t="s">
        <v>25</v>
      </c>
      <c r="E46" s="1" t="s">
        <v>16</v>
      </c>
      <c r="F46" s="3">
        <v>2319</v>
      </c>
      <c r="G46" s="3">
        <v>484</v>
      </c>
      <c r="H46" s="3">
        <v>193</v>
      </c>
      <c r="I46" s="3">
        <v>21202</v>
      </c>
      <c r="J46" s="3">
        <v>18091</v>
      </c>
      <c r="K46" s="3">
        <v>241</v>
      </c>
      <c r="L46" s="1" t="s">
        <v>42</v>
      </c>
      <c r="M46" s="1" t="s">
        <v>55</v>
      </c>
      <c r="N46" s="12">
        <f t="shared" si="0"/>
        <v>14.130742382794075</v>
      </c>
    </row>
    <row r="47" spans="1:14" hidden="1">
      <c r="A47" s="1" t="s">
        <v>54</v>
      </c>
      <c r="B47" s="1" t="s">
        <v>14</v>
      </c>
      <c r="C47" s="5">
        <v>45325</v>
      </c>
      <c r="D47" s="3" t="s">
        <v>25</v>
      </c>
      <c r="E47" s="1" t="s">
        <v>32</v>
      </c>
      <c r="F47" s="3">
        <v>4281</v>
      </c>
      <c r="G47" s="3">
        <v>101</v>
      </c>
      <c r="H47" s="3">
        <v>163</v>
      </c>
      <c r="I47" s="3">
        <v>32278</v>
      </c>
      <c r="J47" s="3">
        <v>53382</v>
      </c>
      <c r="K47" s="3">
        <v>235</v>
      </c>
      <c r="L47" s="1" t="s">
        <v>42</v>
      </c>
      <c r="M47" s="1" t="s">
        <v>55</v>
      </c>
      <c r="N47" s="12">
        <f t="shared" si="0"/>
        <v>14.080798066794721</v>
      </c>
    </row>
    <row r="48" spans="1:14" hidden="1">
      <c r="A48" s="1" t="s">
        <v>239</v>
      </c>
      <c r="B48" s="1" t="s">
        <v>24</v>
      </c>
      <c r="C48" s="5">
        <v>45484</v>
      </c>
      <c r="D48" s="3" t="s">
        <v>25</v>
      </c>
      <c r="E48" s="1" t="s">
        <v>37</v>
      </c>
      <c r="F48" s="3">
        <v>4247</v>
      </c>
      <c r="G48" s="3">
        <v>179</v>
      </c>
      <c r="H48" s="3">
        <v>175</v>
      </c>
      <c r="I48" s="3">
        <v>32991</v>
      </c>
      <c r="J48" s="3">
        <v>70120</v>
      </c>
      <c r="K48" s="3">
        <v>276</v>
      </c>
      <c r="L48" s="1" t="s">
        <v>17</v>
      </c>
      <c r="M48" s="1" t="s">
        <v>18</v>
      </c>
      <c r="N48" s="12">
        <f t="shared" si="0"/>
        <v>13.946227759085811</v>
      </c>
    </row>
    <row r="49" spans="1:14" hidden="1">
      <c r="A49" s="1" t="s">
        <v>96</v>
      </c>
      <c r="B49" s="1" t="s">
        <v>14</v>
      </c>
      <c r="C49" s="5">
        <v>45707</v>
      </c>
      <c r="D49" s="3" t="s">
        <v>25</v>
      </c>
      <c r="E49" s="1" t="s">
        <v>49</v>
      </c>
      <c r="F49" s="3">
        <v>2422</v>
      </c>
      <c r="G49" s="3">
        <v>455</v>
      </c>
      <c r="H49" s="3">
        <v>376</v>
      </c>
      <c r="I49" s="3">
        <v>23428</v>
      </c>
      <c r="J49" s="3">
        <v>46775</v>
      </c>
      <c r="K49" s="3">
        <v>259</v>
      </c>
      <c r="L49" s="1" t="s">
        <v>42</v>
      </c>
      <c r="M49" s="1" t="s">
        <v>55</v>
      </c>
      <c r="N49" s="12">
        <f t="shared" si="0"/>
        <v>13.885094758408743</v>
      </c>
    </row>
    <row r="50" spans="1:14" hidden="1">
      <c r="A50" s="1" t="s">
        <v>149</v>
      </c>
      <c r="B50" s="1" t="s">
        <v>14</v>
      </c>
      <c r="C50" s="5">
        <v>45617</v>
      </c>
      <c r="D50" s="3" t="s">
        <v>15</v>
      </c>
      <c r="E50" s="1" t="s">
        <v>32</v>
      </c>
      <c r="F50" s="3">
        <v>4581</v>
      </c>
      <c r="G50" s="3">
        <v>181</v>
      </c>
      <c r="H50" s="3">
        <v>112</v>
      </c>
      <c r="I50" s="3">
        <v>35221</v>
      </c>
      <c r="J50" s="3">
        <v>28797</v>
      </c>
      <c r="K50" s="3">
        <v>164</v>
      </c>
      <c r="L50" s="1" t="s">
        <v>17</v>
      </c>
      <c r="M50" s="1" t="s">
        <v>18</v>
      </c>
      <c r="N50" s="12">
        <f t="shared" si="0"/>
        <v>13.838335084182733</v>
      </c>
    </row>
    <row r="51" spans="1:14" hidden="1">
      <c r="A51" s="1" t="s">
        <v>136</v>
      </c>
      <c r="B51" s="1" t="s">
        <v>24</v>
      </c>
      <c r="C51" s="5">
        <v>45367</v>
      </c>
      <c r="D51" s="3" t="s">
        <v>25</v>
      </c>
      <c r="E51" s="1" t="s">
        <v>29</v>
      </c>
      <c r="F51" s="3">
        <v>2895</v>
      </c>
      <c r="G51" s="3">
        <v>292</v>
      </c>
      <c r="H51" s="3">
        <v>90</v>
      </c>
      <c r="I51" s="3">
        <v>24223</v>
      </c>
      <c r="J51" s="3">
        <v>54626</v>
      </c>
      <c r="K51" s="3">
        <v>114</v>
      </c>
      <c r="L51" s="1" t="s">
        <v>17</v>
      </c>
      <c r="M51" s="1" t="s">
        <v>18</v>
      </c>
      <c r="N51" s="12">
        <f t="shared" si="0"/>
        <v>13.528464682326714</v>
      </c>
    </row>
    <row r="52" spans="1:14" hidden="1">
      <c r="A52" s="1" t="s">
        <v>118</v>
      </c>
      <c r="B52" s="1" t="s">
        <v>24</v>
      </c>
      <c r="C52" s="5">
        <v>45678</v>
      </c>
      <c r="D52" s="3" t="s">
        <v>25</v>
      </c>
      <c r="E52" s="1" t="s">
        <v>16</v>
      </c>
      <c r="F52" s="3">
        <v>2494</v>
      </c>
      <c r="G52" s="3">
        <v>494</v>
      </c>
      <c r="H52" s="3">
        <v>55</v>
      </c>
      <c r="I52" s="3">
        <v>22580</v>
      </c>
      <c r="J52" s="3">
        <v>22214</v>
      </c>
      <c r="K52" s="3">
        <v>109</v>
      </c>
      <c r="L52" s="1" t="s">
        <v>27</v>
      </c>
      <c r="M52" s="1" t="s">
        <v>18</v>
      </c>
      <c r="N52" s="12">
        <f t="shared" si="0"/>
        <v>13.476527900797167</v>
      </c>
    </row>
    <row r="53" spans="1:14" hidden="1">
      <c r="A53" s="1" t="s">
        <v>282</v>
      </c>
      <c r="B53" s="1" t="s">
        <v>24</v>
      </c>
      <c r="C53" s="5">
        <v>45759</v>
      </c>
      <c r="D53" s="3" t="s">
        <v>25</v>
      </c>
      <c r="E53" s="1" t="s">
        <v>49</v>
      </c>
      <c r="F53" s="3">
        <v>4315</v>
      </c>
      <c r="G53" s="3">
        <v>208</v>
      </c>
      <c r="H53" s="3">
        <v>273</v>
      </c>
      <c r="I53" s="3">
        <v>35780</v>
      </c>
      <c r="J53" s="3">
        <v>44349</v>
      </c>
      <c r="K53" s="3">
        <v>133</v>
      </c>
      <c r="L53" s="1" t="s">
        <v>39</v>
      </c>
      <c r="M53" s="1" t="s">
        <v>18</v>
      </c>
      <c r="N53" s="12">
        <f t="shared" si="0"/>
        <v>13.404136389044158</v>
      </c>
    </row>
    <row r="54" spans="1:14" hidden="1">
      <c r="A54" s="1" t="s">
        <v>13</v>
      </c>
      <c r="B54" s="1" t="s">
        <v>14</v>
      </c>
      <c r="C54" s="5">
        <v>45781</v>
      </c>
      <c r="D54" s="3" t="s">
        <v>15</v>
      </c>
      <c r="E54" s="1" t="s">
        <v>16</v>
      </c>
      <c r="F54" s="3">
        <v>2414</v>
      </c>
      <c r="G54" s="3">
        <v>245</v>
      </c>
      <c r="H54" s="3">
        <v>137</v>
      </c>
      <c r="I54" s="3">
        <v>21181</v>
      </c>
      <c r="J54" s="3">
        <v>45292</v>
      </c>
      <c r="K54" s="3">
        <v>133</v>
      </c>
      <c r="L54" s="1" t="s">
        <v>17</v>
      </c>
      <c r="M54" s="1" t="s">
        <v>18</v>
      </c>
      <c r="N54" s="12">
        <f t="shared" si="0"/>
        <v>13.200509890939994</v>
      </c>
    </row>
    <row r="55" spans="1:14" hidden="1">
      <c r="A55" s="1" t="s">
        <v>30</v>
      </c>
      <c r="B55" s="1" t="s">
        <v>31</v>
      </c>
      <c r="C55" s="5">
        <v>45388</v>
      </c>
      <c r="D55" s="3" t="s">
        <v>15</v>
      </c>
      <c r="E55" s="1" t="s">
        <v>32</v>
      </c>
      <c r="F55" s="3">
        <v>2748</v>
      </c>
      <c r="G55" s="3">
        <v>145</v>
      </c>
      <c r="H55" s="3">
        <v>315</v>
      </c>
      <c r="I55" s="3">
        <v>24401</v>
      </c>
      <c r="J55" s="3">
        <v>61182</v>
      </c>
      <c r="K55" s="3">
        <v>200</v>
      </c>
      <c r="L55" s="1" t="s">
        <v>33</v>
      </c>
      <c r="M55" s="1" t="s">
        <v>22</v>
      </c>
      <c r="N55" s="12">
        <f t="shared" si="0"/>
        <v>13.14700217204213</v>
      </c>
    </row>
    <row r="56" spans="1:14" hidden="1">
      <c r="A56" s="1" t="s">
        <v>277</v>
      </c>
      <c r="B56" s="1" t="s">
        <v>31</v>
      </c>
      <c r="C56" s="5">
        <v>45305</v>
      </c>
      <c r="D56" s="3" t="s">
        <v>15</v>
      </c>
      <c r="E56" s="1" t="s">
        <v>35</v>
      </c>
      <c r="F56" s="3">
        <v>4502</v>
      </c>
      <c r="G56" s="3">
        <v>238</v>
      </c>
      <c r="H56" s="3">
        <v>386</v>
      </c>
      <c r="I56" s="3">
        <v>39198</v>
      </c>
      <c r="J56" s="3">
        <v>25050</v>
      </c>
      <c r="K56" s="3">
        <v>297</v>
      </c>
      <c r="L56" s="1" t="s">
        <v>33</v>
      </c>
      <c r="M56" s="1" t="s">
        <v>22</v>
      </c>
      <c r="N56" s="12">
        <f t="shared" si="0"/>
        <v>13.077197816215113</v>
      </c>
    </row>
    <row r="57" spans="1:14" hidden="1">
      <c r="A57" s="1" t="s">
        <v>43</v>
      </c>
      <c r="B57" s="1" t="s">
        <v>24</v>
      </c>
      <c r="C57" s="5">
        <v>45630</v>
      </c>
      <c r="D57" s="3" t="s">
        <v>15</v>
      </c>
      <c r="E57" s="1" t="s">
        <v>29</v>
      </c>
      <c r="F57" s="3">
        <v>2357</v>
      </c>
      <c r="G57" s="3">
        <v>274</v>
      </c>
      <c r="H57" s="3">
        <v>172</v>
      </c>
      <c r="I57" s="3">
        <v>21566</v>
      </c>
      <c r="J57" s="3">
        <v>66829</v>
      </c>
      <c r="K57" s="3">
        <v>284</v>
      </c>
      <c r="L57" s="1" t="s">
        <v>42</v>
      </c>
      <c r="M57" s="1" t="s">
        <v>18</v>
      </c>
      <c r="N57" s="12">
        <f t="shared" si="0"/>
        <v>12.997310581470833</v>
      </c>
    </row>
    <row r="58" spans="1:14" hidden="1">
      <c r="A58" s="1" t="s">
        <v>332</v>
      </c>
      <c r="B58" s="1" t="s">
        <v>24</v>
      </c>
      <c r="C58" s="5">
        <v>45599</v>
      </c>
      <c r="D58" s="3" t="s">
        <v>25</v>
      </c>
      <c r="E58" s="1" t="s">
        <v>20</v>
      </c>
      <c r="F58" s="3">
        <v>3061</v>
      </c>
      <c r="G58" s="3">
        <v>320</v>
      </c>
      <c r="H58" s="3">
        <v>76</v>
      </c>
      <c r="I58" s="3">
        <v>26640</v>
      </c>
      <c r="J58" s="3">
        <v>24306</v>
      </c>
      <c r="K58" s="3">
        <v>112</v>
      </c>
      <c r="L58" s="1" t="s">
        <v>27</v>
      </c>
      <c r="M58" s="1" t="s">
        <v>18</v>
      </c>
      <c r="N58" s="12">
        <f t="shared" si="0"/>
        <v>12.976726726726726</v>
      </c>
    </row>
    <row r="59" spans="1:14" hidden="1">
      <c r="A59" s="1" t="s">
        <v>227</v>
      </c>
      <c r="B59" s="1" t="s">
        <v>31</v>
      </c>
      <c r="C59" s="5">
        <v>45795</v>
      </c>
      <c r="D59" s="3" t="s">
        <v>57</v>
      </c>
      <c r="E59" s="1" t="s">
        <v>29</v>
      </c>
      <c r="F59" s="3">
        <v>4210</v>
      </c>
      <c r="G59" s="3">
        <v>319</v>
      </c>
      <c r="H59" s="3">
        <v>350</v>
      </c>
      <c r="I59" s="3">
        <v>37762</v>
      </c>
      <c r="J59" s="3">
        <v>55162</v>
      </c>
      <c r="K59" s="3">
        <v>204</v>
      </c>
      <c r="L59" s="1" t="s">
        <v>58</v>
      </c>
      <c r="M59" s="1" t="s">
        <v>59</v>
      </c>
      <c r="N59" s="12">
        <f t="shared" si="0"/>
        <v>12.920396165457337</v>
      </c>
    </row>
    <row r="60" spans="1:14" hidden="1">
      <c r="A60" s="1" t="s">
        <v>261</v>
      </c>
      <c r="B60" s="1" t="s">
        <v>24</v>
      </c>
      <c r="C60" s="5">
        <v>45786</v>
      </c>
      <c r="D60" s="3" t="s">
        <v>25</v>
      </c>
      <c r="E60" s="1" t="s">
        <v>32</v>
      </c>
      <c r="F60" s="3">
        <v>2778</v>
      </c>
      <c r="G60" s="3">
        <v>241</v>
      </c>
      <c r="H60" s="3">
        <v>317</v>
      </c>
      <c r="I60" s="3">
        <v>26247</v>
      </c>
      <c r="J60" s="3">
        <v>20677</v>
      </c>
      <c r="K60" s="3">
        <v>282</v>
      </c>
      <c r="L60" s="1" t="s">
        <v>27</v>
      </c>
      <c r="M60" s="1" t="s">
        <v>18</v>
      </c>
      <c r="N60" s="12">
        <f t="shared" si="0"/>
        <v>12.71002400274317</v>
      </c>
    </row>
    <row r="61" spans="1:14" hidden="1">
      <c r="A61" s="1" t="s">
        <v>254</v>
      </c>
      <c r="B61" s="1" t="s">
        <v>24</v>
      </c>
      <c r="C61" s="5">
        <v>45574</v>
      </c>
      <c r="D61" s="3" t="s">
        <v>15</v>
      </c>
      <c r="E61" s="1" t="s">
        <v>29</v>
      </c>
      <c r="F61" s="3">
        <v>2659</v>
      </c>
      <c r="G61" s="3">
        <v>167</v>
      </c>
      <c r="H61" s="3">
        <v>73</v>
      </c>
      <c r="I61" s="3">
        <v>23090</v>
      </c>
      <c r="J61" s="3">
        <v>25872</v>
      </c>
      <c r="K61" s="3">
        <v>293</v>
      </c>
      <c r="L61" s="1" t="s">
        <v>45</v>
      </c>
      <c r="M61" s="1" t="s">
        <v>22</v>
      </c>
      <c r="N61" s="12">
        <f t="shared" si="0"/>
        <v>12.555218709398009</v>
      </c>
    </row>
    <row r="62" spans="1:14" hidden="1">
      <c r="A62" s="1" t="s">
        <v>258</v>
      </c>
      <c r="B62" s="1" t="s">
        <v>24</v>
      </c>
      <c r="C62" s="5">
        <v>45579</v>
      </c>
      <c r="D62" s="3" t="s">
        <v>25</v>
      </c>
      <c r="E62" s="1" t="s">
        <v>20</v>
      </c>
      <c r="F62" s="3">
        <v>4303</v>
      </c>
      <c r="G62" s="3">
        <v>306</v>
      </c>
      <c r="H62" s="3">
        <v>302</v>
      </c>
      <c r="I62" s="3">
        <v>39575</v>
      </c>
      <c r="J62" s="3">
        <v>33762</v>
      </c>
      <c r="K62" s="3">
        <v>265</v>
      </c>
      <c r="L62" s="1" t="s">
        <v>39</v>
      </c>
      <c r="M62" s="1" t="s">
        <v>18</v>
      </c>
      <c r="N62" s="12">
        <f t="shared" si="0"/>
        <v>12.409349336702464</v>
      </c>
    </row>
    <row r="63" spans="1:14" hidden="1">
      <c r="A63" s="1" t="s">
        <v>267</v>
      </c>
      <c r="B63" s="1" t="s">
        <v>31</v>
      </c>
      <c r="C63" s="5">
        <v>45738</v>
      </c>
      <c r="D63" s="3" t="s">
        <v>15</v>
      </c>
      <c r="E63" s="1" t="s">
        <v>32</v>
      </c>
      <c r="F63" s="3">
        <v>4308</v>
      </c>
      <c r="G63" s="3">
        <v>171</v>
      </c>
      <c r="H63" s="3">
        <v>106</v>
      </c>
      <c r="I63" s="3">
        <v>36955</v>
      </c>
      <c r="J63" s="3">
        <v>23949</v>
      </c>
      <c r="K63" s="3">
        <v>294</v>
      </c>
      <c r="L63" s="1" t="s">
        <v>33</v>
      </c>
      <c r="M63" s="1" t="s">
        <v>22</v>
      </c>
      <c r="N63" s="12">
        <f t="shared" si="0"/>
        <v>12.406981463942634</v>
      </c>
    </row>
    <row r="64" spans="1:14" hidden="1">
      <c r="A64" s="1" t="s">
        <v>302</v>
      </c>
      <c r="B64" s="1" t="s">
        <v>24</v>
      </c>
      <c r="C64" s="5">
        <v>45626</v>
      </c>
      <c r="D64" s="3" t="s">
        <v>25</v>
      </c>
      <c r="E64" s="1" t="s">
        <v>20</v>
      </c>
      <c r="F64" s="3">
        <v>4963</v>
      </c>
      <c r="G64" s="3">
        <v>255</v>
      </c>
      <c r="H64" s="3">
        <v>193</v>
      </c>
      <c r="I64" s="3">
        <v>44386</v>
      </c>
      <c r="J64" s="3">
        <v>28415</v>
      </c>
      <c r="K64" s="3">
        <v>174</v>
      </c>
      <c r="L64" s="1" t="s">
        <v>27</v>
      </c>
      <c r="M64" s="1" t="s">
        <v>18</v>
      </c>
      <c r="N64" s="12">
        <f t="shared" si="0"/>
        <v>12.190780876853061</v>
      </c>
    </row>
    <row r="65" spans="1:14" hidden="1">
      <c r="A65" s="1" t="s">
        <v>28</v>
      </c>
      <c r="B65" s="1" t="s">
        <v>14</v>
      </c>
      <c r="C65" s="5">
        <v>45629</v>
      </c>
      <c r="D65" s="3" t="s">
        <v>15</v>
      </c>
      <c r="E65" s="1" t="s">
        <v>29</v>
      </c>
      <c r="F65" s="3">
        <v>3173</v>
      </c>
      <c r="G65" s="3">
        <v>229</v>
      </c>
      <c r="H65" s="3">
        <v>197</v>
      </c>
      <c r="I65" s="3">
        <v>29604</v>
      </c>
      <c r="J65" s="3">
        <v>21809</v>
      </c>
      <c r="K65" s="3">
        <v>272</v>
      </c>
      <c r="L65" s="1" t="s">
        <v>17</v>
      </c>
      <c r="M65" s="1" t="s">
        <v>18</v>
      </c>
      <c r="N65" s="12">
        <f t="shared" si="0"/>
        <v>12.15714092690177</v>
      </c>
    </row>
    <row r="66" spans="1:14" hidden="1">
      <c r="A66" s="1" t="s">
        <v>336</v>
      </c>
      <c r="B66" s="1" t="s">
        <v>24</v>
      </c>
      <c r="C66" s="5">
        <v>45736</v>
      </c>
      <c r="D66" s="3" t="s">
        <v>25</v>
      </c>
      <c r="E66" s="1" t="s">
        <v>51</v>
      </c>
      <c r="F66" s="3">
        <v>3393</v>
      </c>
      <c r="G66" s="3">
        <v>104</v>
      </c>
      <c r="H66" s="3">
        <v>79</v>
      </c>
      <c r="I66" s="3">
        <v>30025</v>
      </c>
      <c r="J66" s="3">
        <v>21593</v>
      </c>
      <c r="K66" s="3">
        <v>165</v>
      </c>
      <c r="L66" s="1" t="s">
        <v>27</v>
      </c>
      <c r="M66" s="1" t="s">
        <v>18</v>
      </c>
      <c r="N66" s="12">
        <f t="shared" ref="N66:N129" si="1">((F66+G66+H66)/I66)*100</f>
        <v>11.910074937552039</v>
      </c>
    </row>
    <row r="67" spans="1:14" hidden="1">
      <c r="A67" s="1" t="s">
        <v>83</v>
      </c>
      <c r="B67" s="1" t="s">
        <v>14</v>
      </c>
      <c r="C67" s="5">
        <v>45702</v>
      </c>
      <c r="D67" s="3" t="s">
        <v>15</v>
      </c>
      <c r="E67" s="1" t="s">
        <v>41</v>
      </c>
      <c r="F67" s="3">
        <v>4891</v>
      </c>
      <c r="G67" s="3">
        <v>450</v>
      </c>
      <c r="H67" s="3">
        <v>387</v>
      </c>
      <c r="I67" s="3">
        <v>48746</v>
      </c>
      <c r="J67" s="3">
        <v>37312</v>
      </c>
      <c r="K67" s="3">
        <v>154</v>
      </c>
      <c r="L67" s="1" t="s">
        <v>17</v>
      </c>
      <c r="M67" s="1" t="s">
        <v>18</v>
      </c>
      <c r="N67" s="12">
        <f t="shared" si="1"/>
        <v>11.750707750379519</v>
      </c>
    </row>
    <row r="68" spans="1:14" hidden="1">
      <c r="A68" s="1" t="s">
        <v>182</v>
      </c>
      <c r="B68" s="1" t="s">
        <v>14</v>
      </c>
      <c r="C68" s="5">
        <v>45647</v>
      </c>
      <c r="D68" s="3" t="s">
        <v>25</v>
      </c>
      <c r="E68" s="1" t="s">
        <v>26</v>
      </c>
      <c r="F68" s="3">
        <v>4563</v>
      </c>
      <c r="G68" s="3">
        <v>398</v>
      </c>
      <c r="H68" s="3">
        <v>163</v>
      </c>
      <c r="I68" s="3">
        <v>43679</v>
      </c>
      <c r="J68" s="3">
        <v>48760</v>
      </c>
      <c r="K68" s="3">
        <v>92</v>
      </c>
      <c r="L68" s="1" t="s">
        <v>42</v>
      </c>
      <c r="M68" s="1" t="s">
        <v>55</v>
      </c>
      <c r="N68" s="12">
        <f t="shared" si="1"/>
        <v>11.731037798484397</v>
      </c>
    </row>
    <row r="69" spans="1:14" hidden="1">
      <c r="A69" s="1" t="s">
        <v>306</v>
      </c>
      <c r="B69" s="1" t="s">
        <v>14</v>
      </c>
      <c r="C69" s="5">
        <v>45442</v>
      </c>
      <c r="D69" s="3" t="s">
        <v>25</v>
      </c>
      <c r="E69" s="1" t="s">
        <v>37</v>
      </c>
      <c r="F69" s="3">
        <v>2448</v>
      </c>
      <c r="G69" s="3">
        <v>464</v>
      </c>
      <c r="H69" s="3">
        <v>98</v>
      </c>
      <c r="I69" s="3">
        <v>25737</v>
      </c>
      <c r="J69" s="3">
        <v>48545</v>
      </c>
      <c r="K69" s="3">
        <v>246</v>
      </c>
      <c r="L69" s="1" t="s">
        <v>42</v>
      </c>
      <c r="M69" s="1" t="s">
        <v>55</v>
      </c>
      <c r="N69" s="12">
        <f t="shared" si="1"/>
        <v>11.695224773672146</v>
      </c>
    </row>
    <row r="70" spans="1:14" hidden="1">
      <c r="A70" s="1" t="s">
        <v>179</v>
      </c>
      <c r="B70" s="1" t="s">
        <v>24</v>
      </c>
      <c r="C70" s="5">
        <v>45725</v>
      </c>
      <c r="D70" s="3" t="s">
        <v>15</v>
      </c>
      <c r="E70" s="1" t="s">
        <v>51</v>
      </c>
      <c r="F70" s="3">
        <v>2754</v>
      </c>
      <c r="G70" s="3">
        <v>215</v>
      </c>
      <c r="H70" s="3">
        <v>264</v>
      </c>
      <c r="I70" s="3">
        <v>27762</v>
      </c>
      <c r="J70" s="3">
        <v>70203</v>
      </c>
      <c r="K70" s="3">
        <v>289</v>
      </c>
      <c r="L70" s="1" t="s">
        <v>42</v>
      </c>
      <c r="M70" s="1" t="s">
        <v>18</v>
      </c>
      <c r="N70" s="12">
        <f t="shared" si="1"/>
        <v>11.645414595490239</v>
      </c>
    </row>
    <row r="71" spans="1:14" hidden="1">
      <c r="A71" s="1" t="s">
        <v>85</v>
      </c>
      <c r="B71" s="1" t="s">
        <v>31</v>
      </c>
      <c r="C71" s="5">
        <v>45487</v>
      </c>
      <c r="D71" s="3" t="s">
        <v>15</v>
      </c>
      <c r="E71" s="1" t="s">
        <v>51</v>
      </c>
      <c r="F71" s="3">
        <v>3806</v>
      </c>
      <c r="G71" s="3">
        <v>114</v>
      </c>
      <c r="H71" s="3">
        <v>278</v>
      </c>
      <c r="I71" s="3">
        <v>36148</v>
      </c>
      <c r="J71" s="3">
        <v>24209</v>
      </c>
      <c r="K71" s="3">
        <v>201</v>
      </c>
      <c r="L71" s="1" t="s">
        <v>33</v>
      </c>
      <c r="M71" s="1" t="s">
        <v>22</v>
      </c>
      <c r="N71" s="12">
        <f t="shared" si="1"/>
        <v>11.613367267898639</v>
      </c>
    </row>
    <row r="72" spans="1:14" hidden="1">
      <c r="A72" s="1" t="s">
        <v>185</v>
      </c>
      <c r="B72" s="1" t="s">
        <v>24</v>
      </c>
      <c r="C72" s="5">
        <v>45805</v>
      </c>
      <c r="D72" s="3" t="s">
        <v>25</v>
      </c>
      <c r="E72" s="1" t="s">
        <v>41</v>
      </c>
      <c r="F72" s="3">
        <v>4287</v>
      </c>
      <c r="G72" s="3">
        <v>273</v>
      </c>
      <c r="H72" s="3">
        <v>122</v>
      </c>
      <c r="I72" s="3">
        <v>40792</v>
      </c>
      <c r="J72" s="3">
        <v>23878</v>
      </c>
      <c r="K72" s="3">
        <v>277</v>
      </c>
      <c r="L72" s="1" t="s">
        <v>27</v>
      </c>
      <c r="M72" s="1" t="s">
        <v>18</v>
      </c>
      <c r="N72" s="12">
        <f t="shared" si="1"/>
        <v>11.477740733477154</v>
      </c>
    </row>
    <row r="73" spans="1:14" hidden="1">
      <c r="A73" s="1" t="s">
        <v>326</v>
      </c>
      <c r="B73" s="1" t="s">
        <v>14</v>
      </c>
      <c r="C73" s="5">
        <v>45413</v>
      </c>
      <c r="D73" s="3" t="s">
        <v>15</v>
      </c>
      <c r="E73" s="1" t="s">
        <v>37</v>
      </c>
      <c r="F73" s="3">
        <v>3359</v>
      </c>
      <c r="G73" s="3">
        <v>137</v>
      </c>
      <c r="H73" s="3">
        <v>387</v>
      </c>
      <c r="I73" s="3">
        <v>33861</v>
      </c>
      <c r="J73" s="3">
        <v>47257</v>
      </c>
      <c r="K73" s="3">
        <v>198</v>
      </c>
      <c r="L73" s="1" t="s">
        <v>21</v>
      </c>
      <c r="M73" s="1" t="s">
        <v>22</v>
      </c>
      <c r="N73" s="12">
        <f t="shared" si="1"/>
        <v>11.467469950680725</v>
      </c>
    </row>
    <row r="74" spans="1:14" hidden="1">
      <c r="A74" s="1" t="s">
        <v>67</v>
      </c>
      <c r="B74" s="1" t="s">
        <v>14</v>
      </c>
      <c r="C74" s="5">
        <v>45625</v>
      </c>
      <c r="D74" s="3" t="s">
        <v>15</v>
      </c>
      <c r="E74" s="1" t="s">
        <v>35</v>
      </c>
      <c r="F74" s="3">
        <v>2824</v>
      </c>
      <c r="G74" s="3">
        <v>425</v>
      </c>
      <c r="H74" s="3">
        <v>274</v>
      </c>
      <c r="I74" s="3">
        <v>31004</v>
      </c>
      <c r="J74" s="3">
        <v>53488</v>
      </c>
      <c r="K74" s="3">
        <v>268</v>
      </c>
      <c r="L74" s="1" t="s">
        <v>17</v>
      </c>
      <c r="M74" s="1" t="s">
        <v>18</v>
      </c>
      <c r="N74" s="12">
        <f t="shared" si="1"/>
        <v>11.363049929041415</v>
      </c>
    </row>
    <row r="75" spans="1:14" hidden="1">
      <c r="A75" s="1" t="s">
        <v>229</v>
      </c>
      <c r="B75" s="1" t="s">
        <v>31</v>
      </c>
      <c r="C75" s="5">
        <v>45708</v>
      </c>
      <c r="D75" s="3" t="s">
        <v>57</v>
      </c>
      <c r="E75" s="1" t="s">
        <v>37</v>
      </c>
      <c r="F75" s="3">
        <v>4957</v>
      </c>
      <c r="G75" s="3">
        <v>262</v>
      </c>
      <c r="H75" s="3">
        <v>365</v>
      </c>
      <c r="I75" s="3">
        <v>49199</v>
      </c>
      <c r="J75" s="3">
        <v>40314</v>
      </c>
      <c r="K75" s="3">
        <v>216</v>
      </c>
      <c r="L75" s="1" t="s">
        <v>58</v>
      </c>
      <c r="M75" s="1" t="s">
        <v>59</v>
      </c>
      <c r="N75" s="12">
        <f t="shared" si="1"/>
        <v>11.349824183418363</v>
      </c>
    </row>
    <row r="76" spans="1:14" hidden="1">
      <c r="A76" s="1" t="s">
        <v>50</v>
      </c>
      <c r="B76" s="1" t="s">
        <v>24</v>
      </c>
      <c r="C76" s="5">
        <v>45418</v>
      </c>
      <c r="D76" s="3" t="s">
        <v>15</v>
      </c>
      <c r="E76" s="1" t="s">
        <v>51</v>
      </c>
      <c r="F76" s="3">
        <v>3476</v>
      </c>
      <c r="G76" s="3">
        <v>355</v>
      </c>
      <c r="H76" s="3">
        <v>396</v>
      </c>
      <c r="I76" s="3">
        <v>37492</v>
      </c>
      <c r="J76" s="3">
        <v>27285</v>
      </c>
      <c r="K76" s="3">
        <v>179</v>
      </c>
      <c r="L76" s="1" t="s">
        <v>42</v>
      </c>
      <c r="M76" s="1" t="s">
        <v>18</v>
      </c>
      <c r="N76" s="12">
        <f t="shared" si="1"/>
        <v>11.27440520644404</v>
      </c>
    </row>
    <row r="77" spans="1:14" hidden="1">
      <c r="A77" s="1" t="s">
        <v>202</v>
      </c>
      <c r="B77" s="1" t="s">
        <v>14</v>
      </c>
      <c r="C77" s="5">
        <v>45610</v>
      </c>
      <c r="D77" s="3" t="s">
        <v>15</v>
      </c>
      <c r="E77" s="1" t="s">
        <v>32</v>
      </c>
      <c r="F77" s="3">
        <v>2422</v>
      </c>
      <c r="G77" s="3">
        <v>318</v>
      </c>
      <c r="H77" s="3">
        <v>118</v>
      </c>
      <c r="I77" s="3">
        <v>25386</v>
      </c>
      <c r="J77" s="3">
        <v>20873</v>
      </c>
      <c r="K77" s="3">
        <v>100</v>
      </c>
      <c r="L77" s="1" t="s">
        <v>17</v>
      </c>
      <c r="M77" s="1" t="s">
        <v>18</v>
      </c>
      <c r="N77" s="12">
        <f t="shared" si="1"/>
        <v>11.258173796580792</v>
      </c>
    </row>
    <row r="78" spans="1:14" hidden="1">
      <c r="A78" s="1" t="s">
        <v>320</v>
      </c>
      <c r="B78" s="1" t="s">
        <v>24</v>
      </c>
      <c r="C78" s="5">
        <v>45563</v>
      </c>
      <c r="D78" s="3" t="s">
        <v>25</v>
      </c>
      <c r="E78" s="1" t="s">
        <v>29</v>
      </c>
      <c r="F78" s="3">
        <v>4471</v>
      </c>
      <c r="G78" s="3">
        <v>317</v>
      </c>
      <c r="H78" s="3">
        <v>249</v>
      </c>
      <c r="I78" s="3">
        <v>44862</v>
      </c>
      <c r="J78" s="3">
        <v>33365</v>
      </c>
      <c r="K78" s="3">
        <v>184</v>
      </c>
      <c r="L78" s="1" t="s">
        <v>39</v>
      </c>
      <c r="M78" s="1" t="s">
        <v>18</v>
      </c>
      <c r="N78" s="12">
        <f t="shared" si="1"/>
        <v>11.22776514644911</v>
      </c>
    </row>
    <row r="79" spans="1:14" hidden="1">
      <c r="A79" s="1" t="s">
        <v>264</v>
      </c>
      <c r="B79" s="1" t="s">
        <v>24</v>
      </c>
      <c r="C79" s="5">
        <v>45636</v>
      </c>
      <c r="D79" s="3" t="s">
        <v>15</v>
      </c>
      <c r="E79" s="1" t="s">
        <v>49</v>
      </c>
      <c r="F79" s="3">
        <v>4673</v>
      </c>
      <c r="G79" s="3">
        <v>270</v>
      </c>
      <c r="H79" s="3">
        <v>93</v>
      </c>
      <c r="I79" s="3">
        <v>45260</v>
      </c>
      <c r="J79" s="3">
        <v>57513</v>
      </c>
      <c r="K79" s="3">
        <v>103</v>
      </c>
      <c r="L79" s="1" t="s">
        <v>42</v>
      </c>
      <c r="M79" s="1" t="s">
        <v>18</v>
      </c>
      <c r="N79" s="12">
        <f t="shared" si="1"/>
        <v>11.126822801590809</v>
      </c>
    </row>
    <row r="80" spans="1:14" hidden="1">
      <c r="A80" s="1" t="s">
        <v>100</v>
      </c>
      <c r="B80" s="1" t="s">
        <v>31</v>
      </c>
      <c r="C80" s="5">
        <v>45398</v>
      </c>
      <c r="D80" s="3" t="s">
        <v>15</v>
      </c>
      <c r="E80" s="1" t="s">
        <v>16</v>
      </c>
      <c r="F80" s="3">
        <v>4674</v>
      </c>
      <c r="G80" s="3">
        <v>326</v>
      </c>
      <c r="H80" s="3">
        <v>62</v>
      </c>
      <c r="I80" s="3">
        <v>45503</v>
      </c>
      <c r="J80" s="3">
        <v>46814</v>
      </c>
      <c r="K80" s="3">
        <v>116</v>
      </c>
      <c r="L80" s="1" t="s">
        <v>33</v>
      </c>
      <c r="M80" s="1" t="s">
        <v>22</v>
      </c>
      <c r="N80" s="12">
        <f t="shared" si="1"/>
        <v>11.124541239039184</v>
      </c>
    </row>
    <row r="81" spans="1:14" hidden="1">
      <c r="A81" s="1" t="s">
        <v>335</v>
      </c>
      <c r="B81" s="1" t="s">
        <v>14</v>
      </c>
      <c r="C81" s="5">
        <v>45724</v>
      </c>
      <c r="D81" s="3" t="s">
        <v>25</v>
      </c>
      <c r="E81" s="1" t="s">
        <v>41</v>
      </c>
      <c r="F81" s="3">
        <v>2244</v>
      </c>
      <c r="G81" s="3">
        <v>392</v>
      </c>
      <c r="H81" s="3">
        <v>231</v>
      </c>
      <c r="I81" s="3">
        <v>25834</v>
      </c>
      <c r="J81" s="3">
        <v>50906</v>
      </c>
      <c r="K81" s="3">
        <v>165</v>
      </c>
      <c r="L81" s="1" t="s">
        <v>42</v>
      </c>
      <c r="M81" s="1" t="s">
        <v>55</v>
      </c>
      <c r="N81" s="12">
        <f t="shared" si="1"/>
        <v>11.097778121854921</v>
      </c>
    </row>
    <row r="82" spans="1:14" hidden="1">
      <c r="A82" s="1" t="s">
        <v>203</v>
      </c>
      <c r="B82" s="1" t="s">
        <v>31</v>
      </c>
      <c r="C82" s="5">
        <v>45513</v>
      </c>
      <c r="D82" s="3" t="s">
        <v>57</v>
      </c>
      <c r="E82" s="1" t="s">
        <v>49</v>
      </c>
      <c r="F82" s="3">
        <v>3414</v>
      </c>
      <c r="G82" s="3">
        <v>154</v>
      </c>
      <c r="H82" s="3">
        <v>204</v>
      </c>
      <c r="I82" s="3">
        <v>34146</v>
      </c>
      <c r="J82" s="3">
        <v>44633</v>
      </c>
      <c r="K82" s="3">
        <v>256</v>
      </c>
      <c r="L82" s="1" t="s">
        <v>58</v>
      </c>
      <c r="M82" s="1" t="s">
        <v>59</v>
      </c>
      <c r="N82" s="12">
        <f t="shared" si="1"/>
        <v>11.046681895390382</v>
      </c>
    </row>
    <row r="83" spans="1:14" hidden="1">
      <c r="A83" s="1" t="s">
        <v>165</v>
      </c>
      <c r="B83" s="1" t="s">
        <v>24</v>
      </c>
      <c r="C83" s="5">
        <v>45602</v>
      </c>
      <c r="D83" s="3" t="s">
        <v>15</v>
      </c>
      <c r="E83" s="1" t="s">
        <v>49</v>
      </c>
      <c r="F83" s="3">
        <v>2956</v>
      </c>
      <c r="G83" s="3">
        <v>381</v>
      </c>
      <c r="H83" s="3">
        <v>345</v>
      </c>
      <c r="I83" s="3">
        <v>33347</v>
      </c>
      <c r="J83" s="3">
        <v>22558</v>
      </c>
      <c r="K83" s="3">
        <v>173</v>
      </c>
      <c r="L83" s="1" t="s">
        <v>42</v>
      </c>
      <c r="M83" s="1" t="s">
        <v>18</v>
      </c>
      <c r="N83" s="12">
        <f t="shared" si="1"/>
        <v>11.041472996071612</v>
      </c>
    </row>
    <row r="84" spans="1:14" hidden="1">
      <c r="A84" s="1" t="s">
        <v>64</v>
      </c>
      <c r="B84" s="1" t="s">
        <v>24</v>
      </c>
      <c r="C84" s="5">
        <v>45583</v>
      </c>
      <c r="D84" s="3" t="s">
        <v>15</v>
      </c>
      <c r="E84" s="1" t="s">
        <v>26</v>
      </c>
      <c r="F84" s="3">
        <v>2607</v>
      </c>
      <c r="G84" s="3">
        <v>379</v>
      </c>
      <c r="H84" s="3">
        <v>180</v>
      </c>
      <c r="I84" s="3">
        <v>28712</v>
      </c>
      <c r="J84" s="3">
        <v>61620</v>
      </c>
      <c r="K84" s="3">
        <v>174</v>
      </c>
      <c r="L84" s="1" t="s">
        <v>45</v>
      </c>
      <c r="M84" s="1" t="s">
        <v>22</v>
      </c>
      <c r="N84" s="12">
        <f t="shared" si="1"/>
        <v>11.026748397882418</v>
      </c>
    </row>
    <row r="85" spans="1:14" hidden="1">
      <c r="A85" s="1" t="s">
        <v>272</v>
      </c>
      <c r="B85" s="1" t="s">
        <v>31</v>
      </c>
      <c r="C85" s="5">
        <v>45723</v>
      </c>
      <c r="D85" s="3" t="s">
        <v>15</v>
      </c>
      <c r="E85" s="1" t="s">
        <v>41</v>
      </c>
      <c r="F85" s="3">
        <v>4310</v>
      </c>
      <c r="G85" s="3">
        <v>284</v>
      </c>
      <c r="H85" s="3">
        <v>306</v>
      </c>
      <c r="I85" s="3">
        <v>44606</v>
      </c>
      <c r="J85" s="3">
        <v>42604</v>
      </c>
      <c r="K85" s="3">
        <v>290</v>
      </c>
      <c r="L85" s="1" t="s">
        <v>33</v>
      </c>
      <c r="M85" s="1" t="s">
        <v>22</v>
      </c>
      <c r="N85" s="12">
        <f t="shared" si="1"/>
        <v>10.985069273191947</v>
      </c>
    </row>
    <row r="86" spans="1:14" hidden="1">
      <c r="A86" s="1" t="s">
        <v>148</v>
      </c>
      <c r="B86" s="1" t="s">
        <v>31</v>
      </c>
      <c r="C86" s="5">
        <v>45542</v>
      </c>
      <c r="D86" s="3" t="s">
        <v>57</v>
      </c>
      <c r="E86" s="1" t="s">
        <v>32</v>
      </c>
      <c r="F86" s="3">
        <v>3882</v>
      </c>
      <c r="G86" s="3">
        <v>342</v>
      </c>
      <c r="H86" s="3">
        <v>374</v>
      </c>
      <c r="I86" s="3">
        <v>41991</v>
      </c>
      <c r="J86" s="3">
        <v>48554</v>
      </c>
      <c r="K86" s="3">
        <v>118</v>
      </c>
      <c r="L86" s="1" t="s">
        <v>58</v>
      </c>
      <c r="M86" s="1" t="s">
        <v>59</v>
      </c>
      <c r="N86" s="12">
        <f t="shared" si="1"/>
        <v>10.949965468790932</v>
      </c>
    </row>
    <row r="87" spans="1:14" hidden="1">
      <c r="A87" s="1" t="s">
        <v>89</v>
      </c>
      <c r="B87" s="1" t="s">
        <v>24</v>
      </c>
      <c r="C87" s="5">
        <v>45533</v>
      </c>
      <c r="D87" s="3" t="s">
        <v>25</v>
      </c>
      <c r="E87" s="1" t="s">
        <v>37</v>
      </c>
      <c r="F87" s="3">
        <v>4276</v>
      </c>
      <c r="G87" s="3">
        <v>227</v>
      </c>
      <c r="H87" s="3">
        <v>223</v>
      </c>
      <c r="I87" s="3">
        <v>43443</v>
      </c>
      <c r="J87" s="3">
        <v>41005</v>
      </c>
      <c r="K87" s="3">
        <v>191</v>
      </c>
      <c r="L87" s="1" t="s">
        <v>39</v>
      </c>
      <c r="M87" s="1" t="s">
        <v>18</v>
      </c>
      <c r="N87" s="12">
        <f t="shared" si="1"/>
        <v>10.87862256289851</v>
      </c>
    </row>
    <row r="88" spans="1:14" hidden="1">
      <c r="A88" s="1" t="s">
        <v>81</v>
      </c>
      <c r="B88" s="1" t="s">
        <v>14</v>
      </c>
      <c r="C88" s="5">
        <v>45401</v>
      </c>
      <c r="D88" s="3" t="s">
        <v>15</v>
      </c>
      <c r="E88" s="1" t="s">
        <v>26</v>
      </c>
      <c r="F88" s="3">
        <v>4001</v>
      </c>
      <c r="G88" s="3">
        <v>353</v>
      </c>
      <c r="H88" s="3">
        <v>129</v>
      </c>
      <c r="I88" s="3">
        <v>41265</v>
      </c>
      <c r="J88" s="3">
        <v>37279</v>
      </c>
      <c r="K88" s="3">
        <v>275</v>
      </c>
      <c r="L88" s="1" t="s">
        <v>17</v>
      </c>
      <c r="M88" s="1" t="s">
        <v>18</v>
      </c>
      <c r="N88" s="12">
        <f t="shared" si="1"/>
        <v>10.863928268508422</v>
      </c>
    </row>
    <row r="89" spans="1:14" hidden="1">
      <c r="A89" s="1" t="s">
        <v>242</v>
      </c>
      <c r="B89" s="1" t="s">
        <v>24</v>
      </c>
      <c r="C89" s="5">
        <v>45302</v>
      </c>
      <c r="D89" s="3" t="s">
        <v>25</v>
      </c>
      <c r="E89" s="1" t="s">
        <v>29</v>
      </c>
      <c r="F89" s="3">
        <v>2340</v>
      </c>
      <c r="G89" s="3">
        <v>141</v>
      </c>
      <c r="H89" s="3">
        <v>206</v>
      </c>
      <c r="I89" s="3">
        <v>24916</v>
      </c>
      <c r="J89" s="3">
        <v>30582</v>
      </c>
      <c r="K89" s="3">
        <v>157</v>
      </c>
      <c r="L89" s="1" t="s">
        <v>17</v>
      </c>
      <c r="M89" s="1" t="s">
        <v>18</v>
      </c>
      <c r="N89" s="12">
        <f t="shared" si="1"/>
        <v>10.784235029699792</v>
      </c>
    </row>
    <row r="90" spans="1:14" hidden="1">
      <c r="A90" s="1" t="s">
        <v>77</v>
      </c>
      <c r="B90" s="1" t="s">
        <v>24</v>
      </c>
      <c r="C90" s="5">
        <v>45804</v>
      </c>
      <c r="D90" s="3" t="s">
        <v>25</v>
      </c>
      <c r="E90" s="1" t="s">
        <v>20</v>
      </c>
      <c r="F90" s="3">
        <v>4095</v>
      </c>
      <c r="G90" s="3">
        <v>385</v>
      </c>
      <c r="H90" s="3">
        <v>400</v>
      </c>
      <c r="I90" s="3">
        <v>45300</v>
      </c>
      <c r="J90" s="3">
        <v>31795</v>
      </c>
      <c r="K90" s="3">
        <v>80</v>
      </c>
      <c r="L90" s="1" t="s">
        <v>27</v>
      </c>
      <c r="M90" s="1" t="s">
        <v>18</v>
      </c>
      <c r="N90" s="12">
        <f t="shared" si="1"/>
        <v>10.772626931567329</v>
      </c>
    </row>
    <row r="91" spans="1:14" hidden="1">
      <c r="A91" s="1" t="s">
        <v>292</v>
      </c>
      <c r="B91" s="1" t="s">
        <v>31</v>
      </c>
      <c r="C91" s="5">
        <v>45591</v>
      </c>
      <c r="D91" s="3" t="s">
        <v>15</v>
      </c>
      <c r="E91" s="1" t="s">
        <v>26</v>
      </c>
      <c r="F91" s="3">
        <v>4676</v>
      </c>
      <c r="G91" s="3">
        <v>211</v>
      </c>
      <c r="H91" s="3">
        <v>55</v>
      </c>
      <c r="I91" s="3">
        <v>45917</v>
      </c>
      <c r="J91" s="3">
        <v>73503</v>
      </c>
      <c r="K91" s="3">
        <v>248</v>
      </c>
      <c r="L91" s="1" t="s">
        <v>33</v>
      </c>
      <c r="M91" s="1" t="s">
        <v>22</v>
      </c>
      <c r="N91" s="12">
        <f t="shared" si="1"/>
        <v>10.762898272970794</v>
      </c>
    </row>
    <row r="92" spans="1:14" hidden="1">
      <c r="A92" s="1" t="s">
        <v>235</v>
      </c>
      <c r="B92" s="1" t="s">
        <v>31</v>
      </c>
      <c r="C92" s="5">
        <v>45305</v>
      </c>
      <c r="D92" s="3" t="s">
        <v>15</v>
      </c>
      <c r="E92" s="1" t="s">
        <v>26</v>
      </c>
      <c r="F92" s="3">
        <v>3634</v>
      </c>
      <c r="G92" s="3">
        <v>280</v>
      </c>
      <c r="H92" s="3">
        <v>399</v>
      </c>
      <c r="I92" s="3">
        <v>40256</v>
      </c>
      <c r="J92" s="3">
        <v>52605</v>
      </c>
      <c r="K92" s="3">
        <v>213</v>
      </c>
      <c r="L92" s="1" t="s">
        <v>33</v>
      </c>
      <c r="M92" s="1" t="s">
        <v>22</v>
      </c>
      <c r="N92" s="12">
        <f t="shared" si="1"/>
        <v>10.713930842607313</v>
      </c>
    </row>
    <row r="93" spans="1:14" hidden="1">
      <c r="A93" s="1" t="s">
        <v>188</v>
      </c>
      <c r="B93" s="1" t="s">
        <v>24</v>
      </c>
      <c r="C93" s="5">
        <v>45696</v>
      </c>
      <c r="D93" s="3" t="s">
        <v>25</v>
      </c>
      <c r="E93" s="1" t="s">
        <v>51</v>
      </c>
      <c r="F93" s="3">
        <v>4752</v>
      </c>
      <c r="G93" s="3">
        <v>334</v>
      </c>
      <c r="H93" s="3">
        <v>56</v>
      </c>
      <c r="I93" s="3">
        <v>48017</v>
      </c>
      <c r="J93" s="3">
        <v>55534</v>
      </c>
      <c r="K93" s="3">
        <v>270</v>
      </c>
      <c r="L93" s="1" t="s">
        <v>39</v>
      </c>
      <c r="M93" s="1" t="s">
        <v>18</v>
      </c>
      <c r="N93" s="12">
        <f t="shared" si="1"/>
        <v>10.708707332819627</v>
      </c>
    </row>
    <row r="94" spans="1:14" hidden="1">
      <c r="A94" s="1" t="s">
        <v>110</v>
      </c>
      <c r="B94" s="1" t="s">
        <v>24</v>
      </c>
      <c r="C94" s="5">
        <v>45662</v>
      </c>
      <c r="D94" s="3" t="s">
        <v>15</v>
      </c>
      <c r="E94" s="1" t="s">
        <v>29</v>
      </c>
      <c r="F94" s="3">
        <v>4811</v>
      </c>
      <c r="G94" s="3">
        <v>473</v>
      </c>
      <c r="H94" s="3">
        <v>254</v>
      </c>
      <c r="I94" s="3">
        <v>51964</v>
      </c>
      <c r="J94" s="3">
        <v>68795</v>
      </c>
      <c r="K94" s="3">
        <v>107</v>
      </c>
      <c r="L94" s="1" t="s">
        <v>42</v>
      </c>
      <c r="M94" s="1" t="s">
        <v>18</v>
      </c>
      <c r="N94" s="12">
        <f t="shared" si="1"/>
        <v>10.657378184897237</v>
      </c>
    </row>
    <row r="95" spans="1:14" hidden="1">
      <c r="A95" s="1" t="s">
        <v>205</v>
      </c>
      <c r="B95" s="1" t="s">
        <v>14</v>
      </c>
      <c r="C95" s="5">
        <v>45420</v>
      </c>
      <c r="D95" s="3" t="s">
        <v>25</v>
      </c>
      <c r="E95" s="1" t="s">
        <v>32</v>
      </c>
      <c r="F95" s="3">
        <v>2414</v>
      </c>
      <c r="G95" s="3">
        <v>220</v>
      </c>
      <c r="H95" s="3">
        <v>280</v>
      </c>
      <c r="I95" s="3">
        <v>27355</v>
      </c>
      <c r="J95" s="3">
        <v>50562</v>
      </c>
      <c r="K95" s="3">
        <v>258</v>
      </c>
      <c r="L95" s="1" t="s">
        <v>42</v>
      </c>
      <c r="M95" s="1" t="s">
        <v>55</v>
      </c>
      <c r="N95" s="12">
        <f t="shared" si="1"/>
        <v>10.652531529884847</v>
      </c>
    </row>
    <row r="96" spans="1:14" hidden="1">
      <c r="A96" s="1" t="s">
        <v>97</v>
      </c>
      <c r="B96" s="1" t="s">
        <v>14</v>
      </c>
      <c r="C96" s="5">
        <v>45299</v>
      </c>
      <c r="D96" s="3" t="s">
        <v>15</v>
      </c>
      <c r="E96" s="1" t="s">
        <v>41</v>
      </c>
      <c r="F96" s="3">
        <v>2683</v>
      </c>
      <c r="G96" s="3">
        <v>405</v>
      </c>
      <c r="H96" s="3">
        <v>223</v>
      </c>
      <c r="I96" s="3">
        <v>31233</v>
      </c>
      <c r="J96" s="3">
        <v>58106</v>
      </c>
      <c r="K96" s="3">
        <v>291</v>
      </c>
      <c r="L96" s="1" t="s">
        <v>21</v>
      </c>
      <c r="M96" s="1" t="s">
        <v>22</v>
      </c>
      <c r="N96" s="12">
        <f t="shared" si="1"/>
        <v>10.600966926007748</v>
      </c>
    </row>
    <row r="97" spans="1:14" hidden="1">
      <c r="A97" s="1" t="s">
        <v>137</v>
      </c>
      <c r="B97" s="1" t="s">
        <v>14</v>
      </c>
      <c r="C97" s="5">
        <v>45317</v>
      </c>
      <c r="D97" s="3" t="s">
        <v>15</v>
      </c>
      <c r="E97" s="1" t="s">
        <v>35</v>
      </c>
      <c r="F97" s="3">
        <v>3878</v>
      </c>
      <c r="G97" s="3">
        <v>431</v>
      </c>
      <c r="H97" s="3">
        <v>97</v>
      </c>
      <c r="I97" s="3">
        <v>41763</v>
      </c>
      <c r="J97" s="3">
        <v>29729</v>
      </c>
      <c r="K97" s="3">
        <v>191</v>
      </c>
      <c r="L97" s="1" t="s">
        <v>21</v>
      </c>
      <c r="M97" s="1" t="s">
        <v>22</v>
      </c>
      <c r="N97" s="12">
        <f t="shared" si="1"/>
        <v>10.550008380623996</v>
      </c>
    </row>
    <row r="98" spans="1:14" hidden="1">
      <c r="A98" s="1" t="s">
        <v>280</v>
      </c>
      <c r="B98" s="1" t="s">
        <v>31</v>
      </c>
      <c r="C98" s="5">
        <v>45533</v>
      </c>
      <c r="D98" s="3" t="s">
        <v>15</v>
      </c>
      <c r="E98" s="1" t="s">
        <v>29</v>
      </c>
      <c r="F98" s="3">
        <v>4774</v>
      </c>
      <c r="G98" s="3">
        <v>389</v>
      </c>
      <c r="H98" s="3">
        <v>358</v>
      </c>
      <c r="I98" s="3">
        <v>52346</v>
      </c>
      <c r="J98" s="3">
        <v>30518</v>
      </c>
      <c r="K98" s="3">
        <v>277</v>
      </c>
      <c r="L98" s="1" t="s">
        <v>33</v>
      </c>
      <c r="M98" s="1" t="s">
        <v>22</v>
      </c>
      <c r="N98" s="12">
        <f t="shared" si="1"/>
        <v>10.547128720437092</v>
      </c>
    </row>
    <row r="99" spans="1:14" hidden="1">
      <c r="A99" s="1" t="s">
        <v>328</v>
      </c>
      <c r="B99" s="1" t="s">
        <v>24</v>
      </c>
      <c r="C99" s="5">
        <v>45513</v>
      </c>
      <c r="D99" s="3" t="s">
        <v>25</v>
      </c>
      <c r="E99" s="1" t="s">
        <v>49</v>
      </c>
      <c r="F99" s="3">
        <v>4877</v>
      </c>
      <c r="G99" s="3">
        <v>442</v>
      </c>
      <c r="H99" s="3">
        <v>236</v>
      </c>
      <c r="I99" s="3">
        <v>52673</v>
      </c>
      <c r="J99" s="3">
        <v>48241</v>
      </c>
      <c r="K99" s="3">
        <v>114</v>
      </c>
      <c r="L99" s="1" t="s">
        <v>39</v>
      </c>
      <c r="M99" s="1" t="s">
        <v>18</v>
      </c>
      <c r="N99" s="12">
        <f t="shared" si="1"/>
        <v>10.546200140489436</v>
      </c>
    </row>
    <row r="100" spans="1:14" hidden="1">
      <c r="A100" s="1" t="s">
        <v>168</v>
      </c>
      <c r="B100" s="1" t="s">
        <v>14</v>
      </c>
      <c r="C100" s="5">
        <v>45344</v>
      </c>
      <c r="D100" s="3" t="s">
        <v>15</v>
      </c>
      <c r="E100" s="1" t="s">
        <v>26</v>
      </c>
      <c r="F100" s="3">
        <v>1902</v>
      </c>
      <c r="G100" s="3">
        <v>394</v>
      </c>
      <c r="H100" s="3">
        <v>279</v>
      </c>
      <c r="I100" s="3">
        <v>24615</v>
      </c>
      <c r="J100" s="3">
        <v>51330</v>
      </c>
      <c r="K100" s="3">
        <v>176</v>
      </c>
      <c r="L100" s="1" t="s">
        <v>17</v>
      </c>
      <c r="M100" s="1" t="s">
        <v>18</v>
      </c>
      <c r="N100" s="12">
        <f t="shared" si="1"/>
        <v>10.461100954702417</v>
      </c>
    </row>
    <row r="101" spans="1:14" hidden="1">
      <c r="A101" s="1" t="s">
        <v>195</v>
      </c>
      <c r="B101" s="1" t="s">
        <v>14</v>
      </c>
      <c r="C101" s="5">
        <v>45407</v>
      </c>
      <c r="D101" s="3" t="s">
        <v>15</v>
      </c>
      <c r="E101" s="1" t="s">
        <v>32</v>
      </c>
      <c r="F101" s="3">
        <v>3563</v>
      </c>
      <c r="G101" s="3">
        <v>483</v>
      </c>
      <c r="H101" s="3">
        <v>227</v>
      </c>
      <c r="I101" s="3">
        <v>41085</v>
      </c>
      <c r="J101" s="3">
        <v>26393</v>
      </c>
      <c r="K101" s="3">
        <v>236</v>
      </c>
      <c r="L101" s="1" t="s">
        <v>17</v>
      </c>
      <c r="M101" s="1" t="s">
        <v>18</v>
      </c>
      <c r="N101" s="12">
        <f t="shared" si="1"/>
        <v>10.400389436534015</v>
      </c>
    </row>
    <row r="102" spans="1:14" hidden="1">
      <c r="A102" s="1" t="s">
        <v>70</v>
      </c>
      <c r="B102" s="1" t="s">
        <v>24</v>
      </c>
      <c r="C102" s="5">
        <v>45773</v>
      </c>
      <c r="D102" s="3" t="s">
        <v>15</v>
      </c>
      <c r="E102" s="1" t="s">
        <v>16</v>
      </c>
      <c r="F102" s="3">
        <v>2411</v>
      </c>
      <c r="G102" s="3">
        <v>194</v>
      </c>
      <c r="H102" s="3">
        <v>168</v>
      </c>
      <c r="I102" s="3">
        <v>26665</v>
      </c>
      <c r="J102" s="3">
        <v>71699</v>
      </c>
      <c r="K102" s="3">
        <v>197</v>
      </c>
      <c r="L102" s="1" t="s">
        <v>42</v>
      </c>
      <c r="M102" s="1" t="s">
        <v>18</v>
      </c>
      <c r="N102" s="12">
        <f t="shared" si="1"/>
        <v>10.399399962497656</v>
      </c>
    </row>
    <row r="103" spans="1:14" hidden="1">
      <c r="A103" s="1" t="s">
        <v>329</v>
      </c>
      <c r="B103" s="1" t="s">
        <v>14</v>
      </c>
      <c r="C103" s="5">
        <v>45678</v>
      </c>
      <c r="D103" s="3" t="s">
        <v>25</v>
      </c>
      <c r="E103" s="1" t="s">
        <v>26</v>
      </c>
      <c r="F103" s="3">
        <v>4918</v>
      </c>
      <c r="G103" s="3">
        <v>440</v>
      </c>
      <c r="H103" s="3">
        <v>149</v>
      </c>
      <c r="I103" s="3">
        <v>53269</v>
      </c>
      <c r="J103" s="3">
        <v>64370</v>
      </c>
      <c r="K103" s="3">
        <v>269</v>
      </c>
      <c r="L103" s="1" t="s">
        <v>42</v>
      </c>
      <c r="M103" s="1" t="s">
        <v>55</v>
      </c>
      <c r="N103" s="12">
        <f t="shared" si="1"/>
        <v>10.338095327488784</v>
      </c>
    </row>
    <row r="104" spans="1:14" hidden="1">
      <c r="A104" s="1" t="s">
        <v>214</v>
      </c>
      <c r="B104" s="1" t="s">
        <v>31</v>
      </c>
      <c r="C104" s="5">
        <v>45749</v>
      </c>
      <c r="D104" s="3" t="s">
        <v>15</v>
      </c>
      <c r="E104" s="1" t="s">
        <v>29</v>
      </c>
      <c r="F104" s="3">
        <v>4598</v>
      </c>
      <c r="G104" s="3">
        <v>455</v>
      </c>
      <c r="H104" s="3">
        <v>378</v>
      </c>
      <c r="I104" s="3">
        <v>52952</v>
      </c>
      <c r="J104" s="3">
        <v>58504</v>
      </c>
      <c r="K104" s="3">
        <v>269</v>
      </c>
      <c r="L104" s="1" t="s">
        <v>33</v>
      </c>
      <c r="M104" s="1" t="s">
        <v>22</v>
      </c>
      <c r="N104" s="12">
        <f t="shared" si="1"/>
        <v>10.256458679558845</v>
      </c>
    </row>
    <row r="105" spans="1:14" hidden="1">
      <c r="A105" s="1" t="s">
        <v>91</v>
      </c>
      <c r="B105" s="1" t="s">
        <v>31</v>
      </c>
      <c r="C105" s="5">
        <v>45425</v>
      </c>
      <c r="D105" s="3" t="s">
        <v>57</v>
      </c>
      <c r="E105" s="1" t="s">
        <v>20</v>
      </c>
      <c r="F105" s="3">
        <v>4161</v>
      </c>
      <c r="G105" s="3">
        <v>481</v>
      </c>
      <c r="H105" s="3">
        <v>61</v>
      </c>
      <c r="I105" s="3">
        <v>45884</v>
      </c>
      <c r="J105" s="3">
        <v>48955</v>
      </c>
      <c r="K105" s="3">
        <v>215</v>
      </c>
      <c r="L105" s="1" t="s">
        <v>58</v>
      </c>
      <c r="M105" s="1" t="s">
        <v>59</v>
      </c>
      <c r="N105" s="12">
        <f t="shared" si="1"/>
        <v>10.249760265016128</v>
      </c>
    </row>
    <row r="106" spans="1:14" hidden="1">
      <c r="A106" s="1" t="s">
        <v>231</v>
      </c>
      <c r="B106" s="1" t="s">
        <v>31</v>
      </c>
      <c r="C106" s="5">
        <v>45346</v>
      </c>
      <c r="D106" s="3" t="s">
        <v>57</v>
      </c>
      <c r="E106" s="1" t="s">
        <v>16</v>
      </c>
      <c r="F106" s="3">
        <v>4221</v>
      </c>
      <c r="G106" s="3">
        <v>307</v>
      </c>
      <c r="H106" s="3">
        <v>58</v>
      </c>
      <c r="I106" s="3">
        <v>45080</v>
      </c>
      <c r="J106" s="3">
        <v>37214</v>
      </c>
      <c r="K106" s="3">
        <v>240</v>
      </c>
      <c r="L106" s="1" t="s">
        <v>58</v>
      </c>
      <c r="M106" s="1" t="s">
        <v>59</v>
      </c>
      <c r="N106" s="12">
        <f t="shared" si="1"/>
        <v>10.173025732031943</v>
      </c>
    </row>
    <row r="107" spans="1:14" hidden="1">
      <c r="A107" s="1" t="s">
        <v>208</v>
      </c>
      <c r="B107" s="1" t="s">
        <v>14</v>
      </c>
      <c r="C107" s="5">
        <v>45385</v>
      </c>
      <c r="D107" s="3" t="s">
        <v>15</v>
      </c>
      <c r="E107" s="1" t="s">
        <v>41</v>
      </c>
      <c r="F107" s="3">
        <v>2762</v>
      </c>
      <c r="G107" s="3">
        <v>339</v>
      </c>
      <c r="H107" s="3">
        <v>323</v>
      </c>
      <c r="I107" s="3">
        <v>33757</v>
      </c>
      <c r="J107" s="3">
        <v>68511</v>
      </c>
      <c r="K107" s="3">
        <v>121</v>
      </c>
      <c r="L107" s="1" t="s">
        <v>17</v>
      </c>
      <c r="M107" s="1" t="s">
        <v>18</v>
      </c>
      <c r="N107" s="12">
        <f t="shared" si="1"/>
        <v>10.143081434961637</v>
      </c>
    </row>
    <row r="108" spans="1:14" hidden="1">
      <c r="A108" s="1" t="s">
        <v>140</v>
      </c>
      <c r="B108" s="1" t="s">
        <v>14</v>
      </c>
      <c r="C108" s="5">
        <v>45494</v>
      </c>
      <c r="D108" s="3" t="s">
        <v>15</v>
      </c>
      <c r="E108" s="1" t="s">
        <v>16</v>
      </c>
      <c r="F108" s="3">
        <v>3004</v>
      </c>
      <c r="G108" s="3">
        <v>415</v>
      </c>
      <c r="H108" s="3">
        <v>218</v>
      </c>
      <c r="I108" s="3">
        <v>36090</v>
      </c>
      <c r="J108" s="3">
        <v>37073</v>
      </c>
      <c r="K108" s="3">
        <v>181</v>
      </c>
      <c r="L108" s="1" t="s">
        <v>21</v>
      </c>
      <c r="M108" s="1" t="s">
        <v>22</v>
      </c>
      <c r="N108" s="12">
        <f t="shared" si="1"/>
        <v>10.077583818232197</v>
      </c>
    </row>
    <row r="109" spans="1:14" hidden="1">
      <c r="A109" s="1" t="s">
        <v>213</v>
      </c>
      <c r="B109" s="1" t="s">
        <v>14</v>
      </c>
      <c r="C109" s="5">
        <v>45447</v>
      </c>
      <c r="D109" s="3" t="s">
        <v>15</v>
      </c>
      <c r="E109" s="1" t="s">
        <v>37</v>
      </c>
      <c r="F109" s="3">
        <v>3948</v>
      </c>
      <c r="G109" s="3">
        <v>151</v>
      </c>
      <c r="H109" s="3">
        <v>249</v>
      </c>
      <c r="I109" s="3">
        <v>43147</v>
      </c>
      <c r="J109" s="3">
        <v>63136</v>
      </c>
      <c r="K109" s="3">
        <v>230</v>
      </c>
      <c r="L109" s="1" t="s">
        <v>21</v>
      </c>
      <c r="M109" s="1" t="s">
        <v>22</v>
      </c>
      <c r="N109" s="12">
        <f t="shared" si="1"/>
        <v>10.077178019329269</v>
      </c>
    </row>
    <row r="110" spans="1:14" hidden="1">
      <c r="A110" s="1" t="s">
        <v>129</v>
      </c>
      <c r="B110" s="1" t="s">
        <v>14</v>
      </c>
      <c r="C110" s="5">
        <v>45630</v>
      </c>
      <c r="D110" s="3" t="s">
        <v>15</v>
      </c>
      <c r="E110" s="1" t="s">
        <v>29</v>
      </c>
      <c r="F110" s="3">
        <v>2601</v>
      </c>
      <c r="G110" s="3">
        <v>336</v>
      </c>
      <c r="H110" s="3">
        <v>260</v>
      </c>
      <c r="I110" s="3">
        <v>32368</v>
      </c>
      <c r="J110" s="3">
        <v>49028</v>
      </c>
      <c r="K110" s="3">
        <v>120</v>
      </c>
      <c r="L110" s="1" t="s">
        <v>17</v>
      </c>
      <c r="M110" s="1" t="s">
        <v>18</v>
      </c>
      <c r="N110" s="12">
        <f t="shared" si="1"/>
        <v>9.8770390509144832</v>
      </c>
    </row>
    <row r="111" spans="1:14" hidden="1">
      <c r="A111" s="1" t="s">
        <v>321</v>
      </c>
      <c r="B111" s="1" t="s">
        <v>14</v>
      </c>
      <c r="C111" s="5">
        <v>45298</v>
      </c>
      <c r="D111" s="3" t="s">
        <v>15</v>
      </c>
      <c r="E111" s="1" t="s">
        <v>41</v>
      </c>
      <c r="F111" s="3">
        <v>4931</v>
      </c>
      <c r="G111" s="3">
        <v>469</v>
      </c>
      <c r="H111" s="3">
        <v>193</v>
      </c>
      <c r="I111" s="3">
        <v>56701</v>
      </c>
      <c r="J111" s="3">
        <v>69437</v>
      </c>
      <c r="K111" s="3">
        <v>291</v>
      </c>
      <c r="L111" s="1" t="s">
        <v>17</v>
      </c>
      <c r="M111" s="1" t="s">
        <v>18</v>
      </c>
      <c r="N111" s="12">
        <f t="shared" si="1"/>
        <v>9.8640235621946708</v>
      </c>
    </row>
    <row r="112" spans="1:14" hidden="1">
      <c r="A112" s="1" t="s">
        <v>228</v>
      </c>
      <c r="B112" s="1" t="s">
        <v>14</v>
      </c>
      <c r="C112" s="5">
        <v>45814</v>
      </c>
      <c r="D112" s="3" t="s">
        <v>15</v>
      </c>
      <c r="E112" s="1" t="s">
        <v>29</v>
      </c>
      <c r="F112" s="3">
        <v>3987</v>
      </c>
      <c r="G112" s="3">
        <v>171</v>
      </c>
      <c r="H112" s="3">
        <v>274</v>
      </c>
      <c r="I112" s="3">
        <v>45122</v>
      </c>
      <c r="J112" s="3">
        <v>65431</v>
      </c>
      <c r="K112" s="3">
        <v>168</v>
      </c>
      <c r="L112" s="1" t="s">
        <v>21</v>
      </c>
      <c r="M112" s="1" t="s">
        <v>22</v>
      </c>
      <c r="N112" s="12">
        <f t="shared" si="1"/>
        <v>9.8222596516111871</v>
      </c>
    </row>
    <row r="113" spans="1:14" hidden="1">
      <c r="A113" s="1" t="s">
        <v>283</v>
      </c>
      <c r="B113" s="1" t="s">
        <v>24</v>
      </c>
      <c r="C113" s="5">
        <v>45636</v>
      </c>
      <c r="D113" s="3" t="s">
        <v>25</v>
      </c>
      <c r="E113" s="1" t="s">
        <v>29</v>
      </c>
      <c r="F113" s="3">
        <v>2267</v>
      </c>
      <c r="G113" s="3">
        <v>230</v>
      </c>
      <c r="H113" s="3">
        <v>243</v>
      </c>
      <c r="I113" s="3">
        <v>27904</v>
      </c>
      <c r="J113" s="3">
        <v>69771</v>
      </c>
      <c r="K113" s="3">
        <v>255</v>
      </c>
      <c r="L113" s="1" t="s">
        <v>39</v>
      </c>
      <c r="M113" s="1" t="s">
        <v>18</v>
      </c>
      <c r="N113" s="12">
        <f t="shared" si="1"/>
        <v>9.8193807339449553</v>
      </c>
    </row>
    <row r="114" spans="1:14" hidden="1">
      <c r="A114" s="1" t="s">
        <v>87</v>
      </c>
      <c r="B114" s="1" t="s">
        <v>31</v>
      </c>
      <c r="C114" s="5">
        <v>45365</v>
      </c>
      <c r="D114" s="3" t="s">
        <v>57</v>
      </c>
      <c r="E114" s="1" t="s">
        <v>49</v>
      </c>
      <c r="F114" s="3">
        <v>3361</v>
      </c>
      <c r="G114" s="3">
        <v>188</v>
      </c>
      <c r="H114" s="3">
        <v>358</v>
      </c>
      <c r="I114" s="3">
        <v>39838</v>
      </c>
      <c r="J114" s="3">
        <v>24536</v>
      </c>
      <c r="K114" s="3">
        <v>120</v>
      </c>
      <c r="L114" s="1" t="s">
        <v>58</v>
      </c>
      <c r="M114" s="1" t="s">
        <v>59</v>
      </c>
      <c r="N114" s="12">
        <f t="shared" si="1"/>
        <v>9.8072192379135501</v>
      </c>
    </row>
    <row r="115" spans="1:14" hidden="1">
      <c r="A115" s="1" t="s">
        <v>211</v>
      </c>
      <c r="B115" s="1" t="s">
        <v>14</v>
      </c>
      <c r="C115" s="5">
        <v>45536</v>
      </c>
      <c r="D115" s="3" t="s">
        <v>25</v>
      </c>
      <c r="E115" s="1" t="s">
        <v>29</v>
      </c>
      <c r="F115" s="3">
        <v>2335</v>
      </c>
      <c r="G115" s="3">
        <v>150</v>
      </c>
      <c r="H115" s="3">
        <v>75</v>
      </c>
      <c r="I115" s="3">
        <v>26114</v>
      </c>
      <c r="J115" s="3">
        <v>57549</v>
      </c>
      <c r="K115" s="3">
        <v>135</v>
      </c>
      <c r="L115" s="1" t="s">
        <v>42</v>
      </c>
      <c r="M115" s="1" t="s">
        <v>55</v>
      </c>
      <c r="N115" s="12">
        <f t="shared" si="1"/>
        <v>9.8031707130274945</v>
      </c>
    </row>
    <row r="116" spans="1:14" hidden="1">
      <c r="A116" s="1" t="s">
        <v>244</v>
      </c>
      <c r="B116" s="1" t="s">
        <v>24</v>
      </c>
      <c r="C116" s="5">
        <v>45656</v>
      </c>
      <c r="D116" s="3" t="s">
        <v>15</v>
      </c>
      <c r="E116" s="1" t="s">
        <v>37</v>
      </c>
      <c r="F116" s="3">
        <v>4214</v>
      </c>
      <c r="G116" s="3">
        <v>286</v>
      </c>
      <c r="H116" s="3">
        <v>127</v>
      </c>
      <c r="I116" s="3">
        <v>47293</v>
      </c>
      <c r="J116" s="3">
        <v>27184</v>
      </c>
      <c r="K116" s="3">
        <v>232</v>
      </c>
      <c r="L116" s="1" t="s">
        <v>42</v>
      </c>
      <c r="M116" s="1" t="s">
        <v>18</v>
      </c>
      <c r="N116" s="12">
        <f t="shared" si="1"/>
        <v>9.7836889180216957</v>
      </c>
    </row>
    <row r="117" spans="1:14" hidden="1">
      <c r="A117" s="1" t="s">
        <v>75</v>
      </c>
      <c r="B117" s="1" t="s">
        <v>24</v>
      </c>
      <c r="C117" s="5">
        <v>45785</v>
      </c>
      <c r="D117" s="3" t="s">
        <v>25</v>
      </c>
      <c r="E117" s="1" t="s">
        <v>51</v>
      </c>
      <c r="F117" s="3">
        <v>3316</v>
      </c>
      <c r="G117" s="3">
        <v>332</v>
      </c>
      <c r="H117" s="3">
        <v>268</v>
      </c>
      <c r="I117" s="3">
        <v>40095</v>
      </c>
      <c r="J117" s="3">
        <v>36913</v>
      </c>
      <c r="K117" s="3">
        <v>265</v>
      </c>
      <c r="L117" s="1" t="s">
        <v>27</v>
      </c>
      <c r="M117" s="1" t="s">
        <v>18</v>
      </c>
      <c r="N117" s="12">
        <f t="shared" si="1"/>
        <v>9.7668038408779143</v>
      </c>
    </row>
    <row r="118" spans="1:14" hidden="1">
      <c r="A118" s="1" t="s">
        <v>175</v>
      </c>
      <c r="B118" s="1" t="s">
        <v>24</v>
      </c>
      <c r="C118" s="5">
        <v>45569</v>
      </c>
      <c r="D118" s="3" t="s">
        <v>25</v>
      </c>
      <c r="E118" s="1" t="s">
        <v>20</v>
      </c>
      <c r="F118" s="3">
        <v>2870</v>
      </c>
      <c r="G118" s="3">
        <v>380</v>
      </c>
      <c r="H118" s="3">
        <v>393</v>
      </c>
      <c r="I118" s="3">
        <v>37621</v>
      </c>
      <c r="J118" s="3">
        <v>71794</v>
      </c>
      <c r="K118" s="3">
        <v>127</v>
      </c>
      <c r="L118" s="1" t="s">
        <v>27</v>
      </c>
      <c r="M118" s="1" t="s">
        <v>18</v>
      </c>
      <c r="N118" s="12">
        <f t="shared" si="1"/>
        <v>9.6834214933149045</v>
      </c>
    </row>
    <row r="119" spans="1:14" hidden="1">
      <c r="A119" s="1" t="s">
        <v>117</v>
      </c>
      <c r="B119" s="1" t="s">
        <v>24</v>
      </c>
      <c r="C119" s="5">
        <v>45805</v>
      </c>
      <c r="D119" s="3" t="s">
        <v>15</v>
      </c>
      <c r="E119" s="1" t="s">
        <v>49</v>
      </c>
      <c r="F119" s="3">
        <v>2418</v>
      </c>
      <c r="G119" s="3">
        <v>161</v>
      </c>
      <c r="H119" s="3">
        <v>360</v>
      </c>
      <c r="I119" s="3">
        <v>30589</v>
      </c>
      <c r="J119" s="3">
        <v>41383</v>
      </c>
      <c r="K119" s="3">
        <v>88</v>
      </c>
      <c r="L119" s="1" t="s">
        <v>42</v>
      </c>
      <c r="M119" s="1" t="s">
        <v>18</v>
      </c>
      <c r="N119" s="12">
        <f t="shared" si="1"/>
        <v>9.6080290300434807</v>
      </c>
    </row>
    <row r="120" spans="1:14" hidden="1">
      <c r="A120" s="1" t="s">
        <v>94</v>
      </c>
      <c r="B120" s="1" t="s">
        <v>14</v>
      </c>
      <c r="C120" s="5">
        <v>45722</v>
      </c>
      <c r="D120" s="3" t="s">
        <v>15</v>
      </c>
      <c r="E120" s="1" t="s">
        <v>37</v>
      </c>
      <c r="F120" s="3">
        <v>4851</v>
      </c>
      <c r="G120" s="3">
        <v>460</v>
      </c>
      <c r="H120" s="3">
        <v>212</v>
      </c>
      <c r="I120" s="3">
        <v>58075</v>
      </c>
      <c r="J120" s="3">
        <v>59574</v>
      </c>
      <c r="K120" s="3">
        <v>239</v>
      </c>
      <c r="L120" s="1" t="s">
        <v>21</v>
      </c>
      <c r="M120" s="1" t="s">
        <v>22</v>
      </c>
      <c r="N120" s="12">
        <f t="shared" si="1"/>
        <v>9.5101162290142049</v>
      </c>
    </row>
    <row r="121" spans="1:14" hidden="1">
      <c r="A121" s="1" t="s">
        <v>190</v>
      </c>
      <c r="B121" s="1" t="s">
        <v>24</v>
      </c>
      <c r="C121" s="5">
        <v>45442</v>
      </c>
      <c r="D121" s="3" t="s">
        <v>25</v>
      </c>
      <c r="E121" s="1" t="s">
        <v>51</v>
      </c>
      <c r="F121" s="3">
        <v>2311</v>
      </c>
      <c r="G121" s="3">
        <v>207</v>
      </c>
      <c r="H121" s="3">
        <v>363</v>
      </c>
      <c r="I121" s="3">
        <v>30349</v>
      </c>
      <c r="J121" s="3">
        <v>32925</v>
      </c>
      <c r="K121" s="3">
        <v>88</v>
      </c>
      <c r="L121" s="1" t="s">
        <v>27</v>
      </c>
      <c r="M121" s="1" t="s">
        <v>18</v>
      </c>
      <c r="N121" s="12">
        <f t="shared" si="1"/>
        <v>9.4928992718046725</v>
      </c>
    </row>
    <row r="122" spans="1:14" hidden="1">
      <c r="A122" s="1" t="s">
        <v>138</v>
      </c>
      <c r="B122" s="1" t="s">
        <v>24</v>
      </c>
      <c r="C122" s="5">
        <v>45366</v>
      </c>
      <c r="D122" s="3" t="s">
        <v>25</v>
      </c>
      <c r="E122" s="1" t="s">
        <v>37</v>
      </c>
      <c r="F122" s="3">
        <v>4969</v>
      </c>
      <c r="G122" s="3">
        <v>433</v>
      </c>
      <c r="H122" s="3">
        <v>237</v>
      </c>
      <c r="I122" s="3">
        <v>59552</v>
      </c>
      <c r="J122" s="3">
        <v>23885</v>
      </c>
      <c r="K122" s="3">
        <v>157</v>
      </c>
      <c r="L122" s="1" t="s">
        <v>39</v>
      </c>
      <c r="M122" s="1" t="s">
        <v>18</v>
      </c>
      <c r="N122" s="12">
        <f t="shared" si="1"/>
        <v>9.4690354648038682</v>
      </c>
    </row>
    <row r="123" spans="1:14" hidden="1">
      <c r="A123" s="1" t="s">
        <v>257</v>
      </c>
      <c r="B123" s="1" t="s">
        <v>14</v>
      </c>
      <c r="C123" s="5">
        <v>45808</v>
      </c>
      <c r="D123" s="3" t="s">
        <v>15</v>
      </c>
      <c r="E123" s="1" t="s">
        <v>35</v>
      </c>
      <c r="F123" s="3">
        <v>2169</v>
      </c>
      <c r="G123" s="3">
        <v>240</v>
      </c>
      <c r="H123" s="3">
        <v>57</v>
      </c>
      <c r="I123" s="3">
        <v>26109</v>
      </c>
      <c r="J123" s="3">
        <v>46667</v>
      </c>
      <c r="K123" s="3">
        <v>133</v>
      </c>
      <c r="L123" s="1" t="s">
        <v>17</v>
      </c>
      <c r="M123" s="1" t="s">
        <v>18</v>
      </c>
      <c r="N123" s="12">
        <f t="shared" si="1"/>
        <v>9.4450189589796612</v>
      </c>
    </row>
    <row r="124" spans="1:14" hidden="1">
      <c r="A124" s="1" t="s">
        <v>340</v>
      </c>
      <c r="B124" s="1" t="s">
        <v>14</v>
      </c>
      <c r="C124" s="5">
        <v>45329</v>
      </c>
      <c r="D124" s="3" t="s">
        <v>15</v>
      </c>
      <c r="E124" s="1" t="s">
        <v>32</v>
      </c>
      <c r="F124" s="3">
        <v>1883</v>
      </c>
      <c r="G124" s="3">
        <v>432</v>
      </c>
      <c r="H124" s="3">
        <v>397</v>
      </c>
      <c r="I124" s="3">
        <v>28759</v>
      </c>
      <c r="J124" s="3">
        <v>18691</v>
      </c>
      <c r="K124" s="3">
        <v>270</v>
      </c>
      <c r="L124" s="1" t="s">
        <v>17</v>
      </c>
      <c r="M124" s="1" t="s">
        <v>18</v>
      </c>
      <c r="N124" s="12">
        <f t="shared" si="1"/>
        <v>9.4300914496331583</v>
      </c>
    </row>
    <row r="125" spans="1:14" hidden="1">
      <c r="A125" s="1" t="s">
        <v>230</v>
      </c>
      <c r="B125" s="1" t="s">
        <v>14</v>
      </c>
      <c r="C125" s="5">
        <v>45673</v>
      </c>
      <c r="D125" s="3" t="s">
        <v>15</v>
      </c>
      <c r="E125" s="1" t="s">
        <v>32</v>
      </c>
      <c r="F125" s="3">
        <v>2605</v>
      </c>
      <c r="G125" s="3">
        <v>282</v>
      </c>
      <c r="H125" s="3">
        <v>148</v>
      </c>
      <c r="I125" s="3">
        <v>32201</v>
      </c>
      <c r="J125" s="3">
        <v>49583</v>
      </c>
      <c r="K125" s="3">
        <v>241</v>
      </c>
      <c r="L125" s="1" t="s">
        <v>17</v>
      </c>
      <c r="M125" s="1" t="s">
        <v>18</v>
      </c>
      <c r="N125" s="12">
        <f t="shared" si="1"/>
        <v>9.4251731312692151</v>
      </c>
    </row>
    <row r="126" spans="1:14" hidden="1">
      <c r="A126" s="1" t="s">
        <v>315</v>
      </c>
      <c r="B126" s="1" t="s">
        <v>14</v>
      </c>
      <c r="C126" s="5">
        <v>45341</v>
      </c>
      <c r="D126" s="3" t="s">
        <v>15</v>
      </c>
      <c r="E126" s="1" t="s">
        <v>29</v>
      </c>
      <c r="F126" s="3">
        <v>4752</v>
      </c>
      <c r="G126" s="3">
        <v>449</v>
      </c>
      <c r="H126" s="3">
        <v>309</v>
      </c>
      <c r="I126" s="3">
        <v>58530</v>
      </c>
      <c r="J126" s="3">
        <v>26630</v>
      </c>
      <c r="K126" s="3">
        <v>234</v>
      </c>
      <c r="L126" s="1" t="s">
        <v>21</v>
      </c>
      <c r="M126" s="1" t="s">
        <v>22</v>
      </c>
      <c r="N126" s="12">
        <f t="shared" si="1"/>
        <v>9.413975738937296</v>
      </c>
    </row>
    <row r="127" spans="1:14" hidden="1">
      <c r="A127" s="1" t="s">
        <v>161</v>
      </c>
      <c r="B127" s="1" t="s">
        <v>14</v>
      </c>
      <c r="C127" s="5">
        <v>45777</v>
      </c>
      <c r="D127" s="3" t="s">
        <v>25</v>
      </c>
      <c r="E127" s="1" t="s">
        <v>26</v>
      </c>
      <c r="F127" s="3">
        <v>3916</v>
      </c>
      <c r="G127" s="3">
        <v>459</v>
      </c>
      <c r="H127" s="3">
        <v>229</v>
      </c>
      <c r="I127" s="3">
        <v>48989</v>
      </c>
      <c r="J127" s="3">
        <v>39768</v>
      </c>
      <c r="K127" s="3">
        <v>200</v>
      </c>
      <c r="L127" s="1" t="s">
        <v>42</v>
      </c>
      <c r="M127" s="1" t="s">
        <v>55</v>
      </c>
      <c r="N127" s="12">
        <f t="shared" si="1"/>
        <v>9.3980281287635989</v>
      </c>
    </row>
    <row r="128" spans="1:14" hidden="1">
      <c r="A128" s="1" t="s">
        <v>52</v>
      </c>
      <c r="B128" s="1" t="s">
        <v>24</v>
      </c>
      <c r="C128" s="5">
        <v>45655</v>
      </c>
      <c r="D128" s="3" t="s">
        <v>25</v>
      </c>
      <c r="E128" s="1" t="s">
        <v>26</v>
      </c>
      <c r="F128" s="3">
        <v>4049</v>
      </c>
      <c r="G128" s="3">
        <v>377</v>
      </c>
      <c r="H128" s="3">
        <v>94</v>
      </c>
      <c r="I128" s="3">
        <v>48182</v>
      </c>
      <c r="J128" s="3">
        <v>42875</v>
      </c>
      <c r="K128" s="3">
        <v>172</v>
      </c>
      <c r="L128" s="1" t="s">
        <v>27</v>
      </c>
      <c r="M128" s="1" t="s">
        <v>18</v>
      </c>
      <c r="N128" s="12">
        <f t="shared" si="1"/>
        <v>9.3810966751068872</v>
      </c>
    </row>
    <row r="129" spans="1:14" hidden="1">
      <c r="A129" s="1" t="s">
        <v>82</v>
      </c>
      <c r="B129" s="1" t="s">
        <v>14</v>
      </c>
      <c r="C129" s="5">
        <v>45683</v>
      </c>
      <c r="D129" s="3" t="s">
        <v>25</v>
      </c>
      <c r="E129" s="1" t="s">
        <v>35</v>
      </c>
      <c r="F129" s="3">
        <v>3451</v>
      </c>
      <c r="G129" s="3">
        <v>363</v>
      </c>
      <c r="H129" s="3">
        <v>393</v>
      </c>
      <c r="I129" s="3">
        <v>44853</v>
      </c>
      <c r="J129" s="3">
        <v>69032</v>
      </c>
      <c r="K129" s="3">
        <v>211</v>
      </c>
      <c r="L129" s="1" t="s">
        <v>42</v>
      </c>
      <c r="M129" s="1" t="s">
        <v>55</v>
      </c>
      <c r="N129" s="12">
        <f t="shared" si="1"/>
        <v>9.3795286825853346</v>
      </c>
    </row>
    <row r="130" spans="1:14" hidden="1">
      <c r="A130" s="1" t="s">
        <v>309</v>
      </c>
      <c r="B130" s="1" t="s">
        <v>31</v>
      </c>
      <c r="C130" s="5">
        <v>45464</v>
      </c>
      <c r="D130" s="3" t="s">
        <v>57</v>
      </c>
      <c r="E130" s="1" t="s">
        <v>32</v>
      </c>
      <c r="F130" s="3">
        <v>4621</v>
      </c>
      <c r="G130" s="3">
        <v>374</v>
      </c>
      <c r="H130" s="3">
        <v>298</v>
      </c>
      <c r="I130" s="3">
        <v>56979</v>
      </c>
      <c r="J130" s="3">
        <v>24098</v>
      </c>
      <c r="K130" s="3">
        <v>205</v>
      </c>
      <c r="L130" s="1" t="s">
        <v>58</v>
      </c>
      <c r="M130" s="1" t="s">
        <v>59</v>
      </c>
      <c r="N130" s="12">
        <f t="shared" ref="N130:N193" si="2">((F130+G130+H130)/I130)*100</f>
        <v>9.2893873181347502</v>
      </c>
    </row>
    <row r="131" spans="1:14" hidden="1">
      <c r="A131" s="1" t="s">
        <v>285</v>
      </c>
      <c r="B131" s="1" t="s">
        <v>24</v>
      </c>
      <c r="C131" s="5">
        <v>45666</v>
      </c>
      <c r="D131" s="3" t="s">
        <v>25</v>
      </c>
      <c r="E131" s="1" t="s">
        <v>51</v>
      </c>
      <c r="F131" s="3">
        <v>3817</v>
      </c>
      <c r="G131" s="3">
        <v>284</v>
      </c>
      <c r="H131" s="3">
        <v>204</v>
      </c>
      <c r="I131" s="3">
        <v>46434</v>
      </c>
      <c r="J131" s="3">
        <v>53396</v>
      </c>
      <c r="K131" s="3">
        <v>104</v>
      </c>
      <c r="L131" s="1" t="s">
        <v>27</v>
      </c>
      <c r="M131" s="1" t="s">
        <v>18</v>
      </c>
      <c r="N131" s="12">
        <f t="shared" si="2"/>
        <v>9.271223672309084</v>
      </c>
    </row>
    <row r="132" spans="1:14" hidden="1">
      <c r="A132" s="1" t="s">
        <v>183</v>
      </c>
      <c r="B132" s="1" t="s">
        <v>14</v>
      </c>
      <c r="C132" s="5">
        <v>45460</v>
      </c>
      <c r="D132" s="3" t="s">
        <v>15</v>
      </c>
      <c r="E132" s="1" t="s">
        <v>16</v>
      </c>
      <c r="F132" s="3">
        <v>4283</v>
      </c>
      <c r="G132" s="3">
        <v>471</v>
      </c>
      <c r="H132" s="3">
        <v>156</v>
      </c>
      <c r="I132" s="3">
        <v>53004</v>
      </c>
      <c r="J132" s="3">
        <v>25678</v>
      </c>
      <c r="K132" s="3">
        <v>105</v>
      </c>
      <c r="L132" s="1" t="s">
        <v>21</v>
      </c>
      <c r="M132" s="1" t="s">
        <v>22</v>
      </c>
      <c r="N132" s="12">
        <f t="shared" si="2"/>
        <v>9.2634518149573619</v>
      </c>
    </row>
    <row r="133" spans="1:14" hidden="1">
      <c r="A133" s="1" t="s">
        <v>172</v>
      </c>
      <c r="B133" s="1" t="s">
        <v>24</v>
      </c>
      <c r="C133" s="5">
        <v>45563</v>
      </c>
      <c r="D133" s="3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  <c r="N133" s="12">
        <f t="shared" si="2"/>
        <v>9.2466575934672957</v>
      </c>
    </row>
    <row r="134" spans="1:14" hidden="1">
      <c r="A134" s="1" t="s">
        <v>192</v>
      </c>
      <c r="B134" s="1" t="s">
        <v>14</v>
      </c>
      <c r="C134" s="5">
        <v>45562</v>
      </c>
      <c r="D134" s="3" t="s">
        <v>15</v>
      </c>
      <c r="E134" s="1" t="s">
        <v>16</v>
      </c>
      <c r="F134" s="3">
        <v>3118</v>
      </c>
      <c r="G134" s="3">
        <v>116</v>
      </c>
      <c r="H134" s="3">
        <v>195</v>
      </c>
      <c r="I134" s="3">
        <v>37100</v>
      </c>
      <c r="J134" s="3">
        <v>62629</v>
      </c>
      <c r="K134" s="3">
        <v>272</v>
      </c>
      <c r="L134" s="1" t="s">
        <v>21</v>
      </c>
      <c r="M134" s="1" t="s">
        <v>22</v>
      </c>
      <c r="N134" s="12">
        <f t="shared" si="2"/>
        <v>9.2425876010781671</v>
      </c>
    </row>
    <row r="135" spans="1:14" hidden="1">
      <c r="A135" s="1" t="s">
        <v>206</v>
      </c>
      <c r="B135" s="1" t="s">
        <v>14</v>
      </c>
      <c r="C135" s="5">
        <v>45387</v>
      </c>
      <c r="D135" s="3" t="s">
        <v>15</v>
      </c>
      <c r="E135" s="1" t="s">
        <v>26</v>
      </c>
      <c r="F135" s="3">
        <v>4383</v>
      </c>
      <c r="G135" s="3">
        <v>352</v>
      </c>
      <c r="H135" s="3">
        <v>176</v>
      </c>
      <c r="I135" s="3">
        <v>53239</v>
      </c>
      <c r="J135" s="3">
        <v>34168</v>
      </c>
      <c r="K135" s="3">
        <v>288</v>
      </c>
      <c r="L135" s="1" t="s">
        <v>21</v>
      </c>
      <c r="M135" s="1" t="s">
        <v>22</v>
      </c>
      <c r="N135" s="12">
        <f t="shared" si="2"/>
        <v>9.2244407295403743</v>
      </c>
    </row>
    <row r="136" spans="1:14" hidden="1">
      <c r="A136" s="1" t="s">
        <v>104</v>
      </c>
      <c r="B136" s="1" t="s">
        <v>24</v>
      </c>
      <c r="C136" s="5">
        <v>45679</v>
      </c>
      <c r="D136" s="3" t="s">
        <v>25</v>
      </c>
      <c r="E136" s="1" t="s">
        <v>26</v>
      </c>
      <c r="F136" s="3">
        <v>4478</v>
      </c>
      <c r="G136" s="3">
        <v>101</v>
      </c>
      <c r="H136" s="3">
        <v>121</v>
      </c>
      <c r="I136" s="3">
        <v>51035</v>
      </c>
      <c r="J136" s="3">
        <v>58207</v>
      </c>
      <c r="K136" s="3">
        <v>205</v>
      </c>
      <c r="L136" s="1" t="s">
        <v>27</v>
      </c>
      <c r="M136" s="1" t="s">
        <v>18</v>
      </c>
      <c r="N136" s="12">
        <f t="shared" si="2"/>
        <v>9.2093661212893121</v>
      </c>
    </row>
    <row r="137" spans="1:14" hidden="1">
      <c r="A137" s="1" t="s">
        <v>269</v>
      </c>
      <c r="B137" s="1" t="s">
        <v>31</v>
      </c>
      <c r="C137" s="5">
        <v>45346</v>
      </c>
      <c r="D137" s="3" t="s">
        <v>15</v>
      </c>
      <c r="E137" s="1" t="s">
        <v>32</v>
      </c>
      <c r="F137" s="3">
        <v>4653</v>
      </c>
      <c r="G137" s="3">
        <v>226</v>
      </c>
      <c r="H137" s="3">
        <v>349</v>
      </c>
      <c r="I137" s="3">
        <v>56876</v>
      </c>
      <c r="J137" s="3">
        <v>28452</v>
      </c>
      <c r="K137" s="3">
        <v>257</v>
      </c>
      <c r="L137" s="1" t="s">
        <v>33</v>
      </c>
      <c r="M137" s="1" t="s">
        <v>22</v>
      </c>
      <c r="N137" s="12">
        <f t="shared" si="2"/>
        <v>9.1919262958013928</v>
      </c>
    </row>
    <row r="138" spans="1:14" hidden="1">
      <c r="A138" s="1" t="s">
        <v>305</v>
      </c>
      <c r="B138" s="1" t="s">
        <v>24</v>
      </c>
      <c r="C138" s="5">
        <v>45825</v>
      </c>
      <c r="D138" s="3" t="s">
        <v>25</v>
      </c>
      <c r="E138" s="1" t="s">
        <v>20</v>
      </c>
      <c r="F138" s="3">
        <v>4341</v>
      </c>
      <c r="G138" s="3">
        <v>141</v>
      </c>
      <c r="H138" s="3">
        <v>63</v>
      </c>
      <c r="I138" s="3">
        <v>50081</v>
      </c>
      <c r="J138" s="3">
        <v>27507</v>
      </c>
      <c r="K138" s="3">
        <v>221</v>
      </c>
      <c r="L138" s="1" t="s">
        <v>39</v>
      </c>
      <c r="M138" s="1" t="s">
        <v>18</v>
      </c>
      <c r="N138" s="12">
        <f t="shared" si="2"/>
        <v>9.0752980172121163</v>
      </c>
    </row>
    <row r="139" spans="1:14" hidden="1">
      <c r="A139" s="1" t="s">
        <v>106</v>
      </c>
      <c r="B139" s="1" t="s">
        <v>14</v>
      </c>
      <c r="C139" s="5">
        <v>45763</v>
      </c>
      <c r="D139" s="3" t="s">
        <v>15</v>
      </c>
      <c r="E139" s="1" t="s">
        <v>29</v>
      </c>
      <c r="F139" s="3">
        <v>4836</v>
      </c>
      <c r="G139" s="3">
        <v>331</v>
      </c>
      <c r="H139" s="3">
        <v>140</v>
      </c>
      <c r="I139" s="3">
        <v>58792</v>
      </c>
      <c r="J139" s="3">
        <v>47711</v>
      </c>
      <c r="K139" s="3">
        <v>227</v>
      </c>
      <c r="L139" s="1" t="s">
        <v>17</v>
      </c>
      <c r="M139" s="1" t="s">
        <v>18</v>
      </c>
      <c r="N139" s="12">
        <f t="shared" si="2"/>
        <v>9.0267383317458165</v>
      </c>
    </row>
    <row r="140" spans="1:14" hidden="1">
      <c r="A140" s="1" t="s">
        <v>232</v>
      </c>
      <c r="B140" s="1" t="s">
        <v>24</v>
      </c>
      <c r="C140" s="5">
        <v>45551</v>
      </c>
      <c r="D140" s="3" t="s">
        <v>25</v>
      </c>
      <c r="E140" s="1" t="s">
        <v>35</v>
      </c>
      <c r="F140" s="3">
        <v>4422</v>
      </c>
      <c r="G140" s="3">
        <v>434</v>
      </c>
      <c r="H140" s="3">
        <v>156</v>
      </c>
      <c r="I140" s="3">
        <v>56165</v>
      </c>
      <c r="J140" s="3">
        <v>52431</v>
      </c>
      <c r="K140" s="3">
        <v>173</v>
      </c>
      <c r="L140" s="1" t="s">
        <v>39</v>
      </c>
      <c r="M140" s="1" t="s">
        <v>18</v>
      </c>
      <c r="N140" s="12">
        <f t="shared" si="2"/>
        <v>8.9237069349238851</v>
      </c>
    </row>
    <row r="141" spans="1:14" hidden="1">
      <c r="A141" s="1" t="s">
        <v>144</v>
      </c>
      <c r="B141" s="1" t="s">
        <v>24</v>
      </c>
      <c r="C141" s="5">
        <v>45413</v>
      </c>
      <c r="D141" s="3" t="s">
        <v>25</v>
      </c>
      <c r="E141" s="1" t="s">
        <v>35</v>
      </c>
      <c r="F141" s="3">
        <v>2587</v>
      </c>
      <c r="G141" s="3">
        <v>447</v>
      </c>
      <c r="H141" s="3">
        <v>183</v>
      </c>
      <c r="I141" s="3">
        <v>36266</v>
      </c>
      <c r="J141" s="3">
        <v>32877</v>
      </c>
      <c r="K141" s="3">
        <v>132</v>
      </c>
      <c r="L141" s="1" t="s">
        <v>39</v>
      </c>
      <c r="M141" s="1" t="s">
        <v>18</v>
      </c>
      <c r="N141" s="12">
        <f t="shared" si="2"/>
        <v>8.8705674736667941</v>
      </c>
    </row>
    <row r="142" spans="1:14" hidden="1">
      <c r="A142" s="1" t="s">
        <v>98</v>
      </c>
      <c r="B142" s="1" t="s">
        <v>31</v>
      </c>
      <c r="C142" s="5">
        <v>45490</v>
      </c>
      <c r="D142" s="3" t="s">
        <v>15</v>
      </c>
      <c r="E142" s="1" t="s">
        <v>41</v>
      </c>
      <c r="F142" s="3">
        <v>3135</v>
      </c>
      <c r="G142" s="3">
        <v>110</v>
      </c>
      <c r="H142" s="3">
        <v>215</v>
      </c>
      <c r="I142" s="3">
        <v>39192</v>
      </c>
      <c r="J142" s="3">
        <v>24744</v>
      </c>
      <c r="K142" s="3">
        <v>177</v>
      </c>
      <c r="L142" s="1" t="s">
        <v>33</v>
      </c>
      <c r="M142" s="1" t="s">
        <v>22</v>
      </c>
      <c r="N142" s="12">
        <f t="shared" si="2"/>
        <v>8.8283323127168813</v>
      </c>
    </row>
    <row r="143" spans="1:14" hidden="1">
      <c r="A143" s="1" t="s">
        <v>121</v>
      </c>
      <c r="B143" s="1" t="s">
        <v>24</v>
      </c>
      <c r="C143" s="5">
        <v>45723</v>
      </c>
      <c r="D143" s="3" t="s">
        <v>15</v>
      </c>
      <c r="E143" s="1" t="s">
        <v>37</v>
      </c>
      <c r="F143" s="3">
        <v>4234</v>
      </c>
      <c r="G143" s="3">
        <v>486</v>
      </c>
      <c r="H143" s="3">
        <v>276</v>
      </c>
      <c r="I143" s="3">
        <v>56623</v>
      </c>
      <c r="J143" s="3">
        <v>41343</v>
      </c>
      <c r="K143" s="3">
        <v>184</v>
      </c>
      <c r="L143" s="1" t="s">
        <v>45</v>
      </c>
      <c r="M143" s="1" t="s">
        <v>22</v>
      </c>
      <c r="N143" s="12">
        <f t="shared" si="2"/>
        <v>8.8232696960599046</v>
      </c>
    </row>
    <row r="144" spans="1:14" hidden="1">
      <c r="A144" s="1" t="s">
        <v>101</v>
      </c>
      <c r="B144" s="1" t="s">
        <v>31</v>
      </c>
      <c r="C144" s="5">
        <v>45292</v>
      </c>
      <c r="D144" s="3" t="s">
        <v>57</v>
      </c>
      <c r="E144" s="1" t="s">
        <v>20</v>
      </c>
      <c r="F144" s="3">
        <v>3437</v>
      </c>
      <c r="G144" s="3">
        <v>129</v>
      </c>
      <c r="H144" s="3">
        <v>359</v>
      </c>
      <c r="I144" s="3">
        <v>44558</v>
      </c>
      <c r="J144" s="3">
        <v>30854</v>
      </c>
      <c r="K144" s="3">
        <v>171</v>
      </c>
      <c r="L144" s="1" t="s">
        <v>58</v>
      </c>
      <c r="M144" s="1" t="s">
        <v>59</v>
      </c>
      <c r="N144" s="12">
        <f t="shared" si="2"/>
        <v>8.8087436599488314</v>
      </c>
    </row>
    <row r="145" spans="1:14" hidden="1">
      <c r="A145" s="1" t="s">
        <v>38</v>
      </c>
      <c r="B145" s="1" t="s">
        <v>24</v>
      </c>
      <c r="C145" s="5">
        <v>45421</v>
      </c>
      <c r="D145" s="3" t="s">
        <v>25</v>
      </c>
      <c r="E145" s="1" t="s">
        <v>29</v>
      </c>
      <c r="F145" s="3">
        <v>1428</v>
      </c>
      <c r="G145" s="3">
        <v>347</v>
      </c>
      <c r="H145" s="3">
        <v>67</v>
      </c>
      <c r="I145" s="3">
        <v>21148</v>
      </c>
      <c r="J145" s="3">
        <v>19712</v>
      </c>
      <c r="K145" s="3">
        <v>120</v>
      </c>
      <c r="L145" s="1" t="s">
        <v>39</v>
      </c>
      <c r="M145" s="1" t="s">
        <v>18</v>
      </c>
      <c r="N145" s="12">
        <f t="shared" si="2"/>
        <v>8.7100435029317183</v>
      </c>
    </row>
    <row r="146" spans="1:14" hidden="1">
      <c r="A146" s="1" t="s">
        <v>19</v>
      </c>
      <c r="B146" s="1" t="s">
        <v>14</v>
      </c>
      <c r="C146" s="5">
        <v>45689</v>
      </c>
      <c r="D146" s="3" t="s">
        <v>15</v>
      </c>
      <c r="E146" s="1" t="s">
        <v>20</v>
      </c>
      <c r="F146" s="3">
        <v>1934</v>
      </c>
      <c r="G146" s="3">
        <v>210</v>
      </c>
      <c r="H146" s="3">
        <v>393</v>
      </c>
      <c r="I146" s="3">
        <v>29129</v>
      </c>
      <c r="J146" s="3">
        <v>73287</v>
      </c>
      <c r="K146" s="3">
        <v>273</v>
      </c>
      <c r="L146" s="1" t="s">
        <v>21</v>
      </c>
      <c r="M146" s="1" t="s">
        <v>22</v>
      </c>
      <c r="N146" s="12">
        <f t="shared" si="2"/>
        <v>8.7095334546328402</v>
      </c>
    </row>
    <row r="147" spans="1:14" hidden="1">
      <c r="A147" s="1" t="s">
        <v>180</v>
      </c>
      <c r="B147" s="1" t="s">
        <v>24</v>
      </c>
      <c r="C147" s="5">
        <v>45531</v>
      </c>
      <c r="D147" s="3" t="s">
        <v>25</v>
      </c>
      <c r="E147" s="1" t="s">
        <v>26</v>
      </c>
      <c r="F147" s="3">
        <v>1856</v>
      </c>
      <c r="G147" s="3">
        <v>357</v>
      </c>
      <c r="H147" s="3">
        <v>348</v>
      </c>
      <c r="I147" s="3">
        <v>29428</v>
      </c>
      <c r="J147" s="3">
        <v>70206</v>
      </c>
      <c r="K147" s="3">
        <v>236</v>
      </c>
      <c r="L147" s="1" t="s">
        <v>27</v>
      </c>
      <c r="M147" s="1" t="s">
        <v>18</v>
      </c>
      <c r="N147" s="12">
        <f t="shared" si="2"/>
        <v>8.7025961669158622</v>
      </c>
    </row>
    <row r="148" spans="1:14" hidden="1">
      <c r="A148" s="1" t="s">
        <v>155</v>
      </c>
      <c r="B148" s="1" t="s">
        <v>14</v>
      </c>
      <c r="C148" s="5">
        <v>45762</v>
      </c>
      <c r="D148" s="3" t="s">
        <v>15</v>
      </c>
      <c r="E148" s="1" t="s">
        <v>20</v>
      </c>
      <c r="F148" s="3">
        <v>4177</v>
      </c>
      <c r="G148" s="3">
        <v>489</v>
      </c>
      <c r="H148" s="3">
        <v>331</v>
      </c>
      <c r="I148" s="3">
        <v>57451</v>
      </c>
      <c r="J148" s="3">
        <v>73793</v>
      </c>
      <c r="K148" s="3">
        <v>251</v>
      </c>
      <c r="L148" s="1" t="s">
        <v>21</v>
      </c>
      <c r="M148" s="1" t="s">
        <v>22</v>
      </c>
      <c r="N148" s="12">
        <f t="shared" si="2"/>
        <v>8.6978468608031196</v>
      </c>
    </row>
    <row r="149" spans="1:14" hidden="1">
      <c r="A149" s="1" t="s">
        <v>262</v>
      </c>
      <c r="B149" s="1" t="s">
        <v>24</v>
      </c>
      <c r="C149" s="5">
        <v>45829</v>
      </c>
      <c r="D149" s="3" t="s">
        <v>15</v>
      </c>
      <c r="E149" s="1" t="s">
        <v>20</v>
      </c>
      <c r="F149" s="3">
        <v>3611</v>
      </c>
      <c r="G149" s="3">
        <v>127</v>
      </c>
      <c r="H149" s="3">
        <v>139</v>
      </c>
      <c r="I149" s="3">
        <v>44768</v>
      </c>
      <c r="J149" s="3">
        <v>29435</v>
      </c>
      <c r="K149" s="3">
        <v>178</v>
      </c>
      <c r="L149" s="1" t="s">
        <v>42</v>
      </c>
      <c r="M149" s="1" t="s">
        <v>18</v>
      </c>
      <c r="N149" s="12">
        <f t="shared" si="2"/>
        <v>8.6602037169406714</v>
      </c>
    </row>
    <row r="150" spans="1:14" hidden="1">
      <c r="A150" s="1" t="s">
        <v>147</v>
      </c>
      <c r="B150" s="1" t="s">
        <v>24</v>
      </c>
      <c r="C150" s="5">
        <v>45670</v>
      </c>
      <c r="D150" s="3" t="s">
        <v>15</v>
      </c>
      <c r="E150" s="1" t="s">
        <v>32</v>
      </c>
      <c r="F150" s="3">
        <v>4090</v>
      </c>
      <c r="G150" s="3">
        <v>209</v>
      </c>
      <c r="H150" s="3">
        <v>278</v>
      </c>
      <c r="I150" s="3">
        <v>52853</v>
      </c>
      <c r="J150" s="3">
        <v>57084</v>
      </c>
      <c r="K150" s="3">
        <v>102</v>
      </c>
      <c r="L150" s="1" t="s">
        <v>45</v>
      </c>
      <c r="M150" s="1" t="s">
        <v>22</v>
      </c>
      <c r="N150" s="12">
        <f t="shared" si="2"/>
        <v>8.659867935594951</v>
      </c>
    </row>
    <row r="151" spans="1:14" hidden="1">
      <c r="A151" s="1" t="s">
        <v>284</v>
      </c>
      <c r="B151" s="1" t="s">
        <v>31</v>
      </c>
      <c r="C151" s="5">
        <v>45816</v>
      </c>
      <c r="D151" s="3" t="s">
        <v>15</v>
      </c>
      <c r="E151" s="1" t="s">
        <v>32</v>
      </c>
      <c r="F151" s="3">
        <v>4375</v>
      </c>
      <c r="G151" s="3">
        <v>303</v>
      </c>
      <c r="H151" s="3">
        <v>294</v>
      </c>
      <c r="I151" s="3">
        <v>57468</v>
      </c>
      <c r="J151" s="3">
        <v>53397</v>
      </c>
      <c r="K151" s="3">
        <v>159</v>
      </c>
      <c r="L151" s="1" t="s">
        <v>33</v>
      </c>
      <c r="M151" s="1" t="s">
        <v>22</v>
      </c>
      <c r="N151" s="12">
        <f t="shared" si="2"/>
        <v>8.6517714206166918</v>
      </c>
    </row>
    <row r="152" spans="1:14" hidden="1">
      <c r="A152" s="1" t="s">
        <v>323</v>
      </c>
      <c r="B152" s="1" t="s">
        <v>14</v>
      </c>
      <c r="C152" s="5">
        <v>45531</v>
      </c>
      <c r="D152" s="3" t="s">
        <v>15</v>
      </c>
      <c r="E152" s="1" t="s">
        <v>32</v>
      </c>
      <c r="F152" s="3">
        <v>4197</v>
      </c>
      <c r="G152" s="3">
        <v>359</v>
      </c>
      <c r="H152" s="3">
        <v>280</v>
      </c>
      <c r="I152" s="3">
        <v>56048</v>
      </c>
      <c r="J152" s="3">
        <v>70930</v>
      </c>
      <c r="K152" s="3">
        <v>295</v>
      </c>
      <c r="L152" s="1" t="s">
        <v>21</v>
      </c>
      <c r="M152" s="1" t="s">
        <v>22</v>
      </c>
      <c r="N152" s="12">
        <f t="shared" si="2"/>
        <v>8.6283185840707954</v>
      </c>
    </row>
    <row r="153" spans="1:14" hidden="1">
      <c r="A153" s="1" t="s">
        <v>225</v>
      </c>
      <c r="B153" s="1" t="s">
        <v>31</v>
      </c>
      <c r="C153" s="5">
        <v>45769</v>
      </c>
      <c r="D153" s="3" t="s">
        <v>57</v>
      </c>
      <c r="E153" s="1" t="s">
        <v>26</v>
      </c>
      <c r="F153" s="3">
        <v>2733</v>
      </c>
      <c r="G153" s="3">
        <v>297</v>
      </c>
      <c r="H153" s="3">
        <v>235</v>
      </c>
      <c r="I153" s="3">
        <v>37980</v>
      </c>
      <c r="J153" s="3">
        <v>33058</v>
      </c>
      <c r="K153" s="3">
        <v>219</v>
      </c>
      <c r="L153" s="1" t="s">
        <v>58</v>
      </c>
      <c r="M153" s="1" t="s">
        <v>59</v>
      </c>
      <c r="N153" s="12">
        <f t="shared" si="2"/>
        <v>8.5966298051606103</v>
      </c>
    </row>
    <row r="154" spans="1:14" hidden="1">
      <c r="A154" s="1" t="s">
        <v>297</v>
      </c>
      <c r="B154" s="1" t="s">
        <v>24</v>
      </c>
      <c r="C154" s="5">
        <v>45451</v>
      </c>
      <c r="D154" s="3" t="s">
        <v>25</v>
      </c>
      <c r="E154" s="1" t="s">
        <v>41</v>
      </c>
      <c r="F154" s="3">
        <v>3413</v>
      </c>
      <c r="G154" s="3">
        <v>326</v>
      </c>
      <c r="H154" s="3">
        <v>86</v>
      </c>
      <c r="I154" s="3">
        <v>44680</v>
      </c>
      <c r="J154" s="3">
        <v>52719</v>
      </c>
      <c r="K154" s="3">
        <v>272</v>
      </c>
      <c r="L154" s="1" t="s">
        <v>39</v>
      </c>
      <c r="M154" s="1" t="s">
        <v>18</v>
      </c>
      <c r="N154" s="12">
        <f t="shared" si="2"/>
        <v>8.5608773500447626</v>
      </c>
    </row>
    <row r="155" spans="1:14" hidden="1">
      <c r="A155" s="1" t="s">
        <v>164</v>
      </c>
      <c r="B155" s="1" t="s">
        <v>24</v>
      </c>
      <c r="C155" s="5">
        <v>45421</v>
      </c>
      <c r="D155" s="3" t="s">
        <v>25</v>
      </c>
      <c r="E155" s="1" t="s">
        <v>26</v>
      </c>
      <c r="F155" s="3">
        <v>3277</v>
      </c>
      <c r="G155" s="3">
        <v>423</v>
      </c>
      <c r="H155" s="3">
        <v>259</v>
      </c>
      <c r="I155" s="3">
        <v>46328</v>
      </c>
      <c r="J155" s="3">
        <v>44293</v>
      </c>
      <c r="K155" s="3">
        <v>299</v>
      </c>
      <c r="L155" s="1" t="s">
        <v>17</v>
      </c>
      <c r="M155" s="1" t="s">
        <v>18</v>
      </c>
      <c r="N155" s="12">
        <f t="shared" si="2"/>
        <v>8.545587981350371</v>
      </c>
    </row>
    <row r="156" spans="1:14" hidden="1">
      <c r="A156" s="1" t="s">
        <v>48</v>
      </c>
      <c r="B156" s="1" t="s">
        <v>24</v>
      </c>
      <c r="C156" s="5">
        <v>45573</v>
      </c>
      <c r="D156" s="3" t="s">
        <v>15</v>
      </c>
      <c r="E156" s="1" t="s">
        <v>49</v>
      </c>
      <c r="F156" s="3">
        <v>2460</v>
      </c>
      <c r="G156" s="3">
        <v>409</v>
      </c>
      <c r="H156" s="3">
        <v>253</v>
      </c>
      <c r="I156" s="3">
        <v>36702</v>
      </c>
      <c r="J156" s="3">
        <v>46122</v>
      </c>
      <c r="K156" s="3">
        <v>264</v>
      </c>
      <c r="L156" s="1" t="s">
        <v>42</v>
      </c>
      <c r="M156" s="1" t="s">
        <v>18</v>
      </c>
      <c r="N156" s="12">
        <f t="shared" si="2"/>
        <v>8.5063484278785886</v>
      </c>
    </row>
    <row r="157" spans="1:14" hidden="1">
      <c r="A157" s="1" t="s">
        <v>327</v>
      </c>
      <c r="B157" s="1" t="s">
        <v>31</v>
      </c>
      <c r="C157" s="5">
        <v>45468</v>
      </c>
      <c r="D157" s="3" t="s">
        <v>15</v>
      </c>
      <c r="E157" s="1" t="s">
        <v>51</v>
      </c>
      <c r="F157" s="3">
        <v>2172</v>
      </c>
      <c r="G157" s="3">
        <v>338</v>
      </c>
      <c r="H157" s="3">
        <v>70</v>
      </c>
      <c r="I157" s="3">
        <v>30515</v>
      </c>
      <c r="J157" s="3">
        <v>57853</v>
      </c>
      <c r="K157" s="3">
        <v>156</v>
      </c>
      <c r="L157" s="1" t="s">
        <v>33</v>
      </c>
      <c r="M157" s="1" t="s">
        <v>22</v>
      </c>
      <c r="N157" s="12">
        <f t="shared" si="2"/>
        <v>8.4548582664263474</v>
      </c>
    </row>
    <row r="158" spans="1:14" hidden="1">
      <c r="A158" s="1" t="s">
        <v>209</v>
      </c>
      <c r="B158" s="1" t="s">
        <v>31</v>
      </c>
      <c r="C158" s="5">
        <v>45660</v>
      </c>
      <c r="D158" s="3" t="s">
        <v>15</v>
      </c>
      <c r="E158" s="1" t="s">
        <v>26</v>
      </c>
      <c r="F158" s="3">
        <v>3782</v>
      </c>
      <c r="G158" s="3">
        <v>484</v>
      </c>
      <c r="H158" s="3">
        <v>144</v>
      </c>
      <c r="I158" s="3">
        <v>52172</v>
      </c>
      <c r="J158" s="3">
        <v>59386</v>
      </c>
      <c r="K158" s="3">
        <v>175</v>
      </c>
      <c r="L158" s="1" t="s">
        <v>33</v>
      </c>
      <c r="M158" s="1" t="s">
        <v>22</v>
      </c>
      <c r="N158" s="12">
        <f t="shared" si="2"/>
        <v>8.4528099363643339</v>
      </c>
    </row>
    <row r="159" spans="1:14" hidden="1">
      <c r="A159" s="1" t="s">
        <v>44</v>
      </c>
      <c r="B159" s="1" t="s">
        <v>24</v>
      </c>
      <c r="C159" s="5">
        <v>45357</v>
      </c>
      <c r="D159" s="3" t="s">
        <v>15</v>
      </c>
      <c r="E159" s="1" t="s">
        <v>16</v>
      </c>
      <c r="F159" s="3">
        <v>1971</v>
      </c>
      <c r="G159" s="3">
        <v>370</v>
      </c>
      <c r="H159" s="3">
        <v>306</v>
      </c>
      <c r="I159" s="3">
        <v>31316</v>
      </c>
      <c r="J159" s="3">
        <v>27897</v>
      </c>
      <c r="K159" s="3">
        <v>88</v>
      </c>
      <c r="L159" s="1" t="s">
        <v>45</v>
      </c>
      <c r="M159" s="1" t="s">
        <v>22</v>
      </c>
      <c r="N159" s="12">
        <f t="shared" si="2"/>
        <v>8.4525482181632388</v>
      </c>
    </row>
    <row r="160" spans="1:14" hidden="1">
      <c r="A160" s="1" t="s">
        <v>216</v>
      </c>
      <c r="B160" s="1" t="s">
        <v>14</v>
      </c>
      <c r="C160" s="5">
        <v>45475</v>
      </c>
      <c r="D160" s="3" t="s">
        <v>15</v>
      </c>
      <c r="E160" s="1" t="s">
        <v>41</v>
      </c>
      <c r="F160" s="3">
        <v>3469</v>
      </c>
      <c r="G160" s="3">
        <v>371</v>
      </c>
      <c r="H160" s="3">
        <v>76</v>
      </c>
      <c r="I160" s="3">
        <v>46493</v>
      </c>
      <c r="J160" s="3">
        <v>26906</v>
      </c>
      <c r="K160" s="3">
        <v>150</v>
      </c>
      <c r="L160" s="1" t="s">
        <v>17</v>
      </c>
      <c r="M160" s="1" t="s">
        <v>18</v>
      </c>
      <c r="N160" s="12">
        <f t="shared" si="2"/>
        <v>8.4227733207149456</v>
      </c>
    </row>
    <row r="161" spans="1:14" hidden="1">
      <c r="A161" s="1" t="s">
        <v>324</v>
      </c>
      <c r="B161" s="1" t="s">
        <v>14</v>
      </c>
      <c r="C161" s="5">
        <v>45589</v>
      </c>
      <c r="D161" s="3" t="s">
        <v>25</v>
      </c>
      <c r="E161" s="1" t="s">
        <v>41</v>
      </c>
      <c r="F161" s="3">
        <v>1914</v>
      </c>
      <c r="G161" s="3">
        <v>255</v>
      </c>
      <c r="H161" s="3">
        <v>156</v>
      </c>
      <c r="I161" s="3">
        <v>27660</v>
      </c>
      <c r="J161" s="3">
        <v>47776</v>
      </c>
      <c r="K161" s="3">
        <v>111</v>
      </c>
      <c r="L161" s="1" t="s">
        <v>42</v>
      </c>
      <c r="M161" s="1" t="s">
        <v>55</v>
      </c>
      <c r="N161" s="12">
        <f t="shared" si="2"/>
        <v>8.405639913232104</v>
      </c>
    </row>
    <row r="162" spans="1:14" hidden="1">
      <c r="A162" s="1" t="s">
        <v>317</v>
      </c>
      <c r="B162" s="1" t="s">
        <v>14</v>
      </c>
      <c r="C162" s="5">
        <v>45691</v>
      </c>
      <c r="D162" s="3" t="s">
        <v>25</v>
      </c>
      <c r="E162" s="1" t="s">
        <v>26</v>
      </c>
      <c r="F162" s="3">
        <v>1205</v>
      </c>
      <c r="G162" s="3">
        <v>486</v>
      </c>
      <c r="H162" s="3">
        <v>269</v>
      </c>
      <c r="I162" s="3">
        <v>23341</v>
      </c>
      <c r="J162" s="3">
        <v>42411</v>
      </c>
      <c r="K162" s="3">
        <v>184</v>
      </c>
      <c r="L162" s="1" t="s">
        <v>42</v>
      </c>
      <c r="M162" s="1" t="s">
        <v>55</v>
      </c>
      <c r="N162" s="12">
        <f t="shared" si="2"/>
        <v>8.3972409065592739</v>
      </c>
    </row>
    <row r="163" spans="1:14" hidden="1">
      <c r="A163" s="1" t="s">
        <v>40</v>
      </c>
      <c r="B163" s="1" t="s">
        <v>24</v>
      </c>
      <c r="C163" s="5">
        <v>45823</v>
      </c>
      <c r="D163" s="3" t="s">
        <v>15</v>
      </c>
      <c r="E163" s="1" t="s">
        <v>41</v>
      </c>
      <c r="F163" s="3">
        <v>4432</v>
      </c>
      <c r="G163" s="3">
        <v>223</v>
      </c>
      <c r="H163" s="3">
        <v>299</v>
      </c>
      <c r="I163" s="3">
        <v>59016</v>
      </c>
      <c r="J163" s="3">
        <v>21742</v>
      </c>
      <c r="K163" s="3">
        <v>171</v>
      </c>
      <c r="L163" s="1" t="s">
        <v>42</v>
      </c>
      <c r="M163" s="1" t="s">
        <v>18</v>
      </c>
      <c r="N163" s="12">
        <f t="shared" si="2"/>
        <v>8.3943337400027112</v>
      </c>
    </row>
    <row r="164" spans="1:14" hidden="1">
      <c r="A164" s="1" t="s">
        <v>300</v>
      </c>
      <c r="B164" s="1" t="s">
        <v>24</v>
      </c>
      <c r="C164" s="5">
        <v>45662</v>
      </c>
      <c r="D164" s="3" t="s">
        <v>25</v>
      </c>
      <c r="E164" s="1" t="s">
        <v>20</v>
      </c>
      <c r="F164" s="3">
        <v>3341</v>
      </c>
      <c r="G164" s="3">
        <v>154</v>
      </c>
      <c r="H164" s="3">
        <v>123</v>
      </c>
      <c r="I164" s="3">
        <v>43369</v>
      </c>
      <c r="J164" s="3">
        <v>49035</v>
      </c>
      <c r="K164" s="3">
        <v>128</v>
      </c>
      <c r="L164" s="1" t="s">
        <v>27</v>
      </c>
      <c r="M164" s="1" t="s">
        <v>18</v>
      </c>
      <c r="N164" s="12">
        <f t="shared" si="2"/>
        <v>8.3423643616408025</v>
      </c>
    </row>
    <row r="165" spans="1:14" hidden="1">
      <c r="A165" s="1" t="s">
        <v>199</v>
      </c>
      <c r="B165" s="1" t="s">
        <v>14</v>
      </c>
      <c r="C165" s="5">
        <v>45394</v>
      </c>
      <c r="D165" s="3" t="s">
        <v>25</v>
      </c>
      <c r="E165" s="1" t="s">
        <v>37</v>
      </c>
      <c r="F165" s="3">
        <v>1558</v>
      </c>
      <c r="G165" s="3">
        <v>352</v>
      </c>
      <c r="H165" s="3">
        <v>202</v>
      </c>
      <c r="I165" s="3">
        <v>25405</v>
      </c>
      <c r="J165" s="3">
        <v>69941</v>
      </c>
      <c r="K165" s="3">
        <v>219</v>
      </c>
      <c r="L165" s="1" t="s">
        <v>42</v>
      </c>
      <c r="M165" s="1" t="s">
        <v>55</v>
      </c>
      <c r="N165" s="12">
        <f t="shared" si="2"/>
        <v>8.3133241487896079</v>
      </c>
    </row>
    <row r="166" spans="1:14" hidden="1">
      <c r="A166" s="1" t="s">
        <v>141</v>
      </c>
      <c r="B166" s="1" t="s">
        <v>24</v>
      </c>
      <c r="C166" s="5">
        <v>45577</v>
      </c>
      <c r="D166" s="3" t="s">
        <v>15</v>
      </c>
      <c r="E166" s="1" t="s">
        <v>37</v>
      </c>
      <c r="F166" s="3">
        <v>3169</v>
      </c>
      <c r="G166" s="3">
        <v>386</v>
      </c>
      <c r="H166" s="3">
        <v>175</v>
      </c>
      <c r="I166" s="3">
        <v>45012</v>
      </c>
      <c r="J166" s="3">
        <v>38508</v>
      </c>
      <c r="K166" s="3">
        <v>218</v>
      </c>
      <c r="L166" s="1" t="s">
        <v>42</v>
      </c>
      <c r="M166" s="1" t="s">
        <v>18</v>
      </c>
      <c r="N166" s="12">
        <f t="shared" si="2"/>
        <v>8.2866791077934785</v>
      </c>
    </row>
    <row r="167" spans="1:14" hidden="1">
      <c r="A167" s="1" t="s">
        <v>255</v>
      </c>
      <c r="B167" s="1" t="s">
        <v>31</v>
      </c>
      <c r="C167" s="5">
        <v>45672</v>
      </c>
      <c r="D167" s="3" t="s">
        <v>15</v>
      </c>
      <c r="E167" s="1" t="s">
        <v>51</v>
      </c>
      <c r="F167" s="3">
        <v>2599</v>
      </c>
      <c r="G167" s="3">
        <v>324</v>
      </c>
      <c r="H167" s="3">
        <v>182</v>
      </c>
      <c r="I167" s="3">
        <v>37525</v>
      </c>
      <c r="J167" s="3">
        <v>37216</v>
      </c>
      <c r="K167" s="3">
        <v>186</v>
      </c>
      <c r="L167" s="1" t="s">
        <v>33</v>
      </c>
      <c r="M167" s="1" t="s">
        <v>22</v>
      </c>
      <c r="N167" s="12">
        <f t="shared" si="2"/>
        <v>8.2744836775483019</v>
      </c>
    </row>
    <row r="168" spans="1:14" hidden="1">
      <c r="A168" s="1" t="s">
        <v>243</v>
      </c>
      <c r="B168" s="1" t="s">
        <v>14</v>
      </c>
      <c r="C168" s="5">
        <v>45571</v>
      </c>
      <c r="D168" s="3" t="s">
        <v>15</v>
      </c>
      <c r="E168" s="1" t="s">
        <v>41</v>
      </c>
      <c r="F168" s="3">
        <v>2080</v>
      </c>
      <c r="G168" s="3">
        <v>389</v>
      </c>
      <c r="H168" s="3">
        <v>92</v>
      </c>
      <c r="I168" s="3">
        <v>30971</v>
      </c>
      <c r="J168" s="3">
        <v>25347</v>
      </c>
      <c r="K168" s="3">
        <v>111</v>
      </c>
      <c r="L168" s="1" t="s">
        <v>21</v>
      </c>
      <c r="M168" s="1" t="s">
        <v>22</v>
      </c>
      <c r="N168" s="12">
        <f t="shared" si="2"/>
        <v>8.269025862904007</v>
      </c>
    </row>
    <row r="169" spans="1:14" hidden="1">
      <c r="A169" s="1" t="s">
        <v>193</v>
      </c>
      <c r="B169" s="1" t="s">
        <v>24</v>
      </c>
      <c r="C169" s="5">
        <v>45819</v>
      </c>
      <c r="D169" s="3" t="s">
        <v>25</v>
      </c>
      <c r="E169" s="1" t="s">
        <v>20</v>
      </c>
      <c r="F169" s="3">
        <v>3805</v>
      </c>
      <c r="G169" s="3">
        <v>453</v>
      </c>
      <c r="H169" s="3">
        <v>63</v>
      </c>
      <c r="I169" s="3">
        <v>52395</v>
      </c>
      <c r="J169" s="3">
        <v>72934</v>
      </c>
      <c r="K169" s="3">
        <v>87</v>
      </c>
      <c r="L169" s="1" t="s">
        <v>39</v>
      </c>
      <c r="M169" s="1" t="s">
        <v>18</v>
      </c>
      <c r="N169" s="12">
        <f t="shared" si="2"/>
        <v>8.2469701307376653</v>
      </c>
    </row>
    <row r="170" spans="1:14" hidden="1">
      <c r="A170" s="1" t="s">
        <v>68</v>
      </c>
      <c r="B170" s="1" t="s">
        <v>31</v>
      </c>
      <c r="C170" s="5">
        <v>45356</v>
      </c>
      <c r="D170" s="3" t="s">
        <v>57</v>
      </c>
      <c r="E170" s="1" t="s">
        <v>20</v>
      </c>
      <c r="F170" s="3">
        <v>3558</v>
      </c>
      <c r="G170" s="3">
        <v>314</v>
      </c>
      <c r="H170" s="3">
        <v>199</v>
      </c>
      <c r="I170" s="3">
        <v>49612</v>
      </c>
      <c r="J170" s="3">
        <v>53929</v>
      </c>
      <c r="K170" s="3">
        <v>206</v>
      </c>
      <c r="L170" s="1" t="s">
        <v>58</v>
      </c>
      <c r="M170" s="1" t="s">
        <v>59</v>
      </c>
      <c r="N170" s="12">
        <f t="shared" si="2"/>
        <v>8.2056760461178744</v>
      </c>
    </row>
    <row r="171" spans="1:14" hidden="1">
      <c r="A171" s="1" t="s">
        <v>276</v>
      </c>
      <c r="B171" s="1" t="s">
        <v>14</v>
      </c>
      <c r="C171" s="5">
        <v>45646</v>
      </c>
      <c r="D171" s="3" t="s">
        <v>15</v>
      </c>
      <c r="E171" s="1" t="s">
        <v>16</v>
      </c>
      <c r="F171" s="3">
        <v>2519</v>
      </c>
      <c r="G171" s="3">
        <v>202</v>
      </c>
      <c r="H171" s="3">
        <v>239</v>
      </c>
      <c r="I171" s="3">
        <v>36245</v>
      </c>
      <c r="J171" s="3">
        <v>48606</v>
      </c>
      <c r="K171" s="3">
        <v>145</v>
      </c>
      <c r="L171" s="1" t="s">
        <v>21</v>
      </c>
      <c r="M171" s="1" t="s">
        <v>22</v>
      </c>
      <c r="N171" s="12">
        <f t="shared" si="2"/>
        <v>8.166643674989654</v>
      </c>
    </row>
    <row r="172" spans="1:14" hidden="1">
      <c r="A172" s="1" t="s">
        <v>112</v>
      </c>
      <c r="B172" s="1" t="s">
        <v>14</v>
      </c>
      <c r="C172" s="5">
        <v>45576</v>
      </c>
      <c r="D172" s="3" t="s">
        <v>15</v>
      </c>
      <c r="E172" s="1" t="s">
        <v>49</v>
      </c>
      <c r="F172" s="3">
        <v>1360</v>
      </c>
      <c r="G172" s="3">
        <v>249</v>
      </c>
      <c r="H172" s="3">
        <v>52</v>
      </c>
      <c r="I172" s="3">
        <v>20368</v>
      </c>
      <c r="J172" s="3">
        <v>42152</v>
      </c>
      <c r="K172" s="3">
        <v>193</v>
      </c>
      <c r="L172" s="1" t="s">
        <v>21</v>
      </c>
      <c r="M172" s="1" t="s">
        <v>22</v>
      </c>
      <c r="N172" s="12">
        <f t="shared" si="2"/>
        <v>8.1549489395129608</v>
      </c>
    </row>
    <row r="173" spans="1:14" hidden="1">
      <c r="A173" s="1" t="s">
        <v>186</v>
      </c>
      <c r="B173" s="1" t="s">
        <v>14</v>
      </c>
      <c r="C173" s="5">
        <v>45799</v>
      </c>
      <c r="D173" s="3" t="s">
        <v>15</v>
      </c>
      <c r="E173" s="1" t="s">
        <v>16</v>
      </c>
      <c r="F173" s="3">
        <v>2633</v>
      </c>
      <c r="G173" s="3">
        <v>318</v>
      </c>
      <c r="H173" s="3">
        <v>380</v>
      </c>
      <c r="I173" s="3">
        <v>40869</v>
      </c>
      <c r="J173" s="3">
        <v>64474</v>
      </c>
      <c r="K173" s="3">
        <v>245</v>
      </c>
      <c r="L173" s="1" t="s">
        <v>21</v>
      </c>
      <c r="M173" s="1" t="s">
        <v>22</v>
      </c>
      <c r="N173" s="12">
        <f t="shared" si="2"/>
        <v>8.1504318676747669</v>
      </c>
    </row>
    <row r="174" spans="1:14" hidden="1">
      <c r="A174" s="1" t="s">
        <v>189</v>
      </c>
      <c r="B174" s="1" t="s">
        <v>24</v>
      </c>
      <c r="C174" s="5">
        <v>45760</v>
      </c>
      <c r="D174" s="3" t="s">
        <v>15</v>
      </c>
      <c r="E174" s="1" t="s">
        <v>49</v>
      </c>
      <c r="F174" s="3">
        <v>3890</v>
      </c>
      <c r="G174" s="3">
        <v>408</v>
      </c>
      <c r="H174" s="3">
        <v>338</v>
      </c>
      <c r="I174" s="3">
        <v>56994</v>
      </c>
      <c r="J174" s="3">
        <v>32621</v>
      </c>
      <c r="K174" s="3">
        <v>286</v>
      </c>
      <c r="L174" s="1" t="s">
        <v>45</v>
      </c>
      <c r="M174" s="1" t="s">
        <v>22</v>
      </c>
      <c r="N174" s="12">
        <f t="shared" si="2"/>
        <v>8.1341895638137345</v>
      </c>
    </row>
    <row r="175" spans="1:14" hidden="1">
      <c r="A175" s="1" t="s">
        <v>65</v>
      </c>
      <c r="B175" s="1" t="s">
        <v>31</v>
      </c>
      <c r="C175" s="5">
        <v>45575</v>
      </c>
      <c r="D175" s="3" t="s">
        <v>57</v>
      </c>
      <c r="E175" s="1" t="s">
        <v>49</v>
      </c>
      <c r="F175" s="3">
        <v>4013</v>
      </c>
      <c r="G175" s="3">
        <v>320</v>
      </c>
      <c r="H175" s="3">
        <v>92</v>
      </c>
      <c r="I175" s="3">
        <v>54605</v>
      </c>
      <c r="J175" s="3">
        <v>60169</v>
      </c>
      <c r="K175" s="3">
        <v>232</v>
      </c>
      <c r="L175" s="1" t="s">
        <v>58</v>
      </c>
      <c r="M175" s="1" t="s">
        <v>59</v>
      </c>
      <c r="N175" s="12">
        <f t="shared" si="2"/>
        <v>8.1036535115831878</v>
      </c>
    </row>
    <row r="176" spans="1:14" hidden="1">
      <c r="A176" s="1" t="s">
        <v>273</v>
      </c>
      <c r="B176" s="1" t="s">
        <v>24</v>
      </c>
      <c r="C176" s="5">
        <v>45585</v>
      </c>
      <c r="D176" s="3" t="s">
        <v>15</v>
      </c>
      <c r="E176" s="1" t="s">
        <v>49</v>
      </c>
      <c r="F176" s="3">
        <v>2752</v>
      </c>
      <c r="G176" s="3">
        <v>309</v>
      </c>
      <c r="H176" s="3">
        <v>91</v>
      </c>
      <c r="I176" s="3">
        <v>39038</v>
      </c>
      <c r="J176" s="3">
        <v>28095</v>
      </c>
      <c r="K176" s="3">
        <v>277</v>
      </c>
      <c r="L176" s="1" t="s">
        <v>42</v>
      </c>
      <c r="M176" s="1" t="s">
        <v>18</v>
      </c>
      <c r="N176" s="12">
        <f t="shared" si="2"/>
        <v>8.0741841282852604</v>
      </c>
    </row>
    <row r="177" spans="1:14" hidden="1">
      <c r="A177" s="1" t="s">
        <v>71</v>
      </c>
      <c r="B177" s="1" t="s">
        <v>14</v>
      </c>
      <c r="C177" s="5">
        <v>45658</v>
      </c>
      <c r="D177" s="3" t="s">
        <v>15</v>
      </c>
      <c r="E177" s="1" t="s">
        <v>26</v>
      </c>
      <c r="F177" s="3">
        <v>4036</v>
      </c>
      <c r="G177" s="3">
        <v>112</v>
      </c>
      <c r="H177" s="3">
        <v>382</v>
      </c>
      <c r="I177" s="3">
        <v>56284</v>
      </c>
      <c r="J177" s="3">
        <v>29440</v>
      </c>
      <c r="K177" s="3">
        <v>279</v>
      </c>
      <c r="L177" s="1" t="s">
        <v>17</v>
      </c>
      <c r="M177" s="1" t="s">
        <v>18</v>
      </c>
      <c r="N177" s="12">
        <f t="shared" si="2"/>
        <v>8.0484684812735416</v>
      </c>
    </row>
    <row r="178" spans="1:14" hidden="1">
      <c r="A178" s="1" t="s">
        <v>260</v>
      </c>
      <c r="B178" s="1" t="s">
        <v>31</v>
      </c>
      <c r="C178" s="5">
        <v>45636</v>
      </c>
      <c r="D178" s="3" t="s">
        <v>15</v>
      </c>
      <c r="E178" s="1" t="s">
        <v>35</v>
      </c>
      <c r="F178" s="3">
        <v>2569</v>
      </c>
      <c r="G178" s="3">
        <v>140</v>
      </c>
      <c r="H178" s="3">
        <v>375</v>
      </c>
      <c r="I178" s="3">
        <v>38372</v>
      </c>
      <c r="J178" s="3">
        <v>22102</v>
      </c>
      <c r="K178" s="3">
        <v>255</v>
      </c>
      <c r="L178" s="1" t="s">
        <v>33</v>
      </c>
      <c r="M178" s="1" t="s">
        <v>22</v>
      </c>
      <c r="N178" s="12">
        <f t="shared" si="2"/>
        <v>8.0371103929948919</v>
      </c>
    </row>
    <row r="179" spans="1:14" hidden="1">
      <c r="A179" s="1" t="s">
        <v>63</v>
      </c>
      <c r="B179" s="1" t="s">
        <v>31</v>
      </c>
      <c r="C179" s="5">
        <v>45452</v>
      </c>
      <c r="D179" s="3" t="s">
        <v>57</v>
      </c>
      <c r="E179" s="1" t="s">
        <v>49</v>
      </c>
      <c r="F179" s="3">
        <v>2786</v>
      </c>
      <c r="G179" s="3">
        <v>368</v>
      </c>
      <c r="H179" s="3">
        <v>208</v>
      </c>
      <c r="I179" s="3">
        <v>42000</v>
      </c>
      <c r="J179" s="3">
        <v>39967</v>
      </c>
      <c r="K179" s="3">
        <v>103</v>
      </c>
      <c r="L179" s="1" t="s">
        <v>58</v>
      </c>
      <c r="M179" s="1" t="s">
        <v>59</v>
      </c>
      <c r="N179" s="12">
        <f t="shared" si="2"/>
        <v>8.0047619047619047</v>
      </c>
    </row>
    <row r="180" spans="1:14" hidden="1">
      <c r="A180" s="1" t="s">
        <v>169</v>
      </c>
      <c r="B180" s="1" t="s">
        <v>24</v>
      </c>
      <c r="C180" s="5">
        <v>45839</v>
      </c>
      <c r="D180" s="3" t="s">
        <v>25</v>
      </c>
      <c r="E180" s="1" t="s">
        <v>20</v>
      </c>
      <c r="F180" s="3">
        <v>3219</v>
      </c>
      <c r="G180" s="3">
        <v>424</v>
      </c>
      <c r="H180" s="3">
        <v>267</v>
      </c>
      <c r="I180" s="3">
        <v>48879</v>
      </c>
      <c r="J180" s="3">
        <v>37691</v>
      </c>
      <c r="K180" s="3">
        <v>224</v>
      </c>
      <c r="L180" s="1" t="s">
        <v>39</v>
      </c>
      <c r="M180" s="1" t="s">
        <v>18</v>
      </c>
      <c r="N180" s="12">
        <f t="shared" si="2"/>
        <v>7.9993453221219744</v>
      </c>
    </row>
    <row r="181" spans="1:14" hidden="1">
      <c r="A181" s="1" t="s">
        <v>246</v>
      </c>
      <c r="B181" s="1" t="s">
        <v>24</v>
      </c>
      <c r="C181" s="5">
        <v>45525</v>
      </c>
      <c r="D181" s="3" t="s">
        <v>25</v>
      </c>
      <c r="E181" s="1" t="s">
        <v>20</v>
      </c>
      <c r="F181" s="3">
        <v>3989</v>
      </c>
      <c r="G181" s="3">
        <v>476</v>
      </c>
      <c r="H181" s="3">
        <v>128</v>
      </c>
      <c r="I181" s="3">
        <v>57569</v>
      </c>
      <c r="J181" s="3">
        <v>40193</v>
      </c>
      <c r="K181" s="3">
        <v>222</v>
      </c>
      <c r="L181" s="1" t="s">
        <v>39</v>
      </c>
      <c r="M181" s="1" t="s">
        <v>18</v>
      </c>
      <c r="N181" s="12">
        <f t="shared" si="2"/>
        <v>7.9782521843353189</v>
      </c>
    </row>
    <row r="182" spans="1:14" hidden="1">
      <c r="A182" s="1" t="s">
        <v>132</v>
      </c>
      <c r="B182" s="1" t="s">
        <v>31</v>
      </c>
      <c r="C182" s="5">
        <v>45376</v>
      </c>
      <c r="D182" s="3" t="s">
        <v>57</v>
      </c>
      <c r="E182" s="1" t="s">
        <v>20</v>
      </c>
      <c r="F182" s="3">
        <v>1948</v>
      </c>
      <c r="G182" s="3">
        <v>155</v>
      </c>
      <c r="H182" s="3">
        <v>315</v>
      </c>
      <c r="I182" s="3">
        <v>30321</v>
      </c>
      <c r="J182" s="3">
        <v>57121</v>
      </c>
      <c r="K182" s="3">
        <v>82</v>
      </c>
      <c r="L182" s="1" t="s">
        <v>58</v>
      </c>
      <c r="M182" s="1" t="s">
        <v>59</v>
      </c>
      <c r="N182" s="12">
        <f t="shared" si="2"/>
        <v>7.974671020085089</v>
      </c>
    </row>
    <row r="183" spans="1:14" hidden="1">
      <c r="A183" s="1" t="s">
        <v>131</v>
      </c>
      <c r="B183" s="1" t="s">
        <v>24</v>
      </c>
      <c r="C183" s="5">
        <v>45774</v>
      </c>
      <c r="D183" s="3" t="s">
        <v>15</v>
      </c>
      <c r="E183" s="1" t="s">
        <v>20</v>
      </c>
      <c r="F183" s="3">
        <v>1165</v>
      </c>
      <c r="G183" s="3">
        <v>294</v>
      </c>
      <c r="H183" s="3">
        <v>163</v>
      </c>
      <c r="I183" s="3">
        <v>20659</v>
      </c>
      <c r="J183" s="3">
        <v>45926</v>
      </c>
      <c r="K183" s="3">
        <v>111</v>
      </c>
      <c r="L183" s="1" t="s">
        <v>45</v>
      </c>
      <c r="M183" s="1" t="s">
        <v>22</v>
      </c>
      <c r="N183" s="12">
        <f t="shared" si="2"/>
        <v>7.8512996756861426</v>
      </c>
    </row>
    <row r="184" spans="1:14" hidden="1">
      <c r="A184" s="1" t="s">
        <v>220</v>
      </c>
      <c r="B184" s="1" t="s">
        <v>24</v>
      </c>
      <c r="C184" s="5">
        <v>45777</v>
      </c>
      <c r="D184" s="3" t="s">
        <v>25</v>
      </c>
      <c r="E184" s="1" t="s">
        <v>29</v>
      </c>
      <c r="F184" s="3">
        <v>3929</v>
      </c>
      <c r="G184" s="3">
        <v>275</v>
      </c>
      <c r="H184" s="3">
        <v>330</v>
      </c>
      <c r="I184" s="3">
        <v>58329</v>
      </c>
      <c r="J184" s="3">
        <v>33196</v>
      </c>
      <c r="K184" s="3">
        <v>85</v>
      </c>
      <c r="L184" s="1" t="s">
        <v>27</v>
      </c>
      <c r="M184" s="1" t="s">
        <v>18</v>
      </c>
      <c r="N184" s="12">
        <f t="shared" si="2"/>
        <v>7.773148862486928</v>
      </c>
    </row>
    <row r="185" spans="1:14" hidden="1">
      <c r="A185" s="1" t="s">
        <v>245</v>
      </c>
      <c r="B185" s="1" t="s">
        <v>24</v>
      </c>
      <c r="C185" s="5">
        <v>45763</v>
      </c>
      <c r="D185" s="3" t="s">
        <v>15</v>
      </c>
      <c r="E185" s="1" t="s">
        <v>29</v>
      </c>
      <c r="F185" s="3">
        <v>3792</v>
      </c>
      <c r="G185" s="3">
        <v>315</v>
      </c>
      <c r="H185" s="3">
        <v>120</v>
      </c>
      <c r="I185" s="3">
        <v>54592</v>
      </c>
      <c r="J185" s="3">
        <v>67886</v>
      </c>
      <c r="K185" s="3">
        <v>117</v>
      </c>
      <c r="L185" s="1" t="s">
        <v>45</v>
      </c>
      <c r="M185" s="1" t="s">
        <v>22</v>
      </c>
      <c r="N185" s="12">
        <f t="shared" si="2"/>
        <v>7.7428927315357567</v>
      </c>
    </row>
    <row r="186" spans="1:14" hidden="1">
      <c r="A186" s="1" t="s">
        <v>249</v>
      </c>
      <c r="B186" s="1" t="s">
        <v>24</v>
      </c>
      <c r="C186" s="5">
        <v>45492</v>
      </c>
      <c r="D186" s="3" t="s">
        <v>25</v>
      </c>
      <c r="E186" s="1" t="s">
        <v>35</v>
      </c>
      <c r="F186" s="3">
        <v>3071</v>
      </c>
      <c r="G186" s="3">
        <v>126</v>
      </c>
      <c r="H186" s="3">
        <v>200</v>
      </c>
      <c r="I186" s="3">
        <v>44013</v>
      </c>
      <c r="J186" s="3">
        <v>44679</v>
      </c>
      <c r="K186" s="3">
        <v>118</v>
      </c>
      <c r="L186" s="1" t="s">
        <v>39</v>
      </c>
      <c r="M186" s="1" t="s">
        <v>18</v>
      </c>
      <c r="N186" s="12">
        <f t="shared" si="2"/>
        <v>7.7181741758116917</v>
      </c>
    </row>
    <row r="187" spans="1:14" hidden="1">
      <c r="A187" s="1" t="s">
        <v>116</v>
      </c>
      <c r="B187" s="1" t="s">
        <v>14</v>
      </c>
      <c r="C187" s="5">
        <v>45487</v>
      </c>
      <c r="D187" s="3" t="s">
        <v>15</v>
      </c>
      <c r="E187" s="1" t="s">
        <v>29</v>
      </c>
      <c r="F187" s="3">
        <v>2464</v>
      </c>
      <c r="G187" s="3">
        <v>401</v>
      </c>
      <c r="H187" s="3">
        <v>78</v>
      </c>
      <c r="I187" s="3">
        <v>38665</v>
      </c>
      <c r="J187" s="3">
        <v>73593</v>
      </c>
      <c r="K187" s="3">
        <v>207</v>
      </c>
      <c r="L187" s="1" t="s">
        <v>21</v>
      </c>
      <c r="M187" s="1" t="s">
        <v>22</v>
      </c>
      <c r="N187" s="12">
        <f t="shared" si="2"/>
        <v>7.6115349799560317</v>
      </c>
    </row>
    <row r="188" spans="1:14" hidden="1">
      <c r="A188" s="1" t="s">
        <v>72</v>
      </c>
      <c r="B188" s="1" t="s">
        <v>24</v>
      </c>
      <c r="C188" s="5">
        <v>45419</v>
      </c>
      <c r="D188" s="3" t="s">
        <v>25</v>
      </c>
      <c r="E188" s="1" t="s">
        <v>20</v>
      </c>
      <c r="F188" s="3">
        <v>2776</v>
      </c>
      <c r="G188" s="3">
        <v>307</v>
      </c>
      <c r="H188" s="3">
        <v>178</v>
      </c>
      <c r="I188" s="3">
        <v>43365</v>
      </c>
      <c r="J188" s="3">
        <v>48408</v>
      </c>
      <c r="K188" s="3">
        <v>138</v>
      </c>
      <c r="L188" s="1" t="s">
        <v>17</v>
      </c>
      <c r="M188" s="1" t="s">
        <v>18</v>
      </c>
      <c r="N188" s="12">
        <f t="shared" si="2"/>
        <v>7.5198893116568657</v>
      </c>
    </row>
    <row r="189" spans="1:14" hidden="1">
      <c r="A189" s="1" t="s">
        <v>299</v>
      </c>
      <c r="B189" s="1" t="s">
        <v>24</v>
      </c>
      <c r="C189" s="5">
        <v>45676</v>
      </c>
      <c r="D189" s="3" t="s">
        <v>25</v>
      </c>
      <c r="E189" s="1" t="s">
        <v>32</v>
      </c>
      <c r="F189" s="3">
        <v>1651</v>
      </c>
      <c r="G189" s="3">
        <v>480</v>
      </c>
      <c r="H189" s="3">
        <v>282</v>
      </c>
      <c r="I189" s="3">
        <v>32140</v>
      </c>
      <c r="J189" s="3">
        <v>70560</v>
      </c>
      <c r="K189" s="3">
        <v>138</v>
      </c>
      <c r="L189" s="1" t="s">
        <v>17</v>
      </c>
      <c r="M189" s="1" t="s">
        <v>18</v>
      </c>
      <c r="N189" s="12">
        <f t="shared" si="2"/>
        <v>7.5077784691972624</v>
      </c>
    </row>
    <row r="190" spans="1:14" hidden="1">
      <c r="A190" s="1" t="s">
        <v>174</v>
      </c>
      <c r="B190" s="1" t="s">
        <v>24</v>
      </c>
      <c r="C190" s="5">
        <v>45792</v>
      </c>
      <c r="D190" s="3" t="s">
        <v>15</v>
      </c>
      <c r="E190" s="1" t="s">
        <v>26</v>
      </c>
      <c r="F190" s="3">
        <v>1583</v>
      </c>
      <c r="G190" s="3">
        <v>433</v>
      </c>
      <c r="H190" s="3">
        <v>249</v>
      </c>
      <c r="I190" s="3">
        <v>30256</v>
      </c>
      <c r="J190" s="3">
        <v>47066</v>
      </c>
      <c r="K190" s="3">
        <v>196</v>
      </c>
      <c r="L190" s="1" t="s">
        <v>42</v>
      </c>
      <c r="M190" s="1" t="s">
        <v>18</v>
      </c>
      <c r="N190" s="12">
        <f t="shared" si="2"/>
        <v>7.4861184558434681</v>
      </c>
    </row>
    <row r="191" spans="1:14" hidden="1">
      <c r="A191" s="1" t="s">
        <v>34</v>
      </c>
      <c r="B191" s="1" t="s">
        <v>31</v>
      </c>
      <c r="C191" s="5">
        <v>45456</v>
      </c>
      <c r="D191" s="3" t="s">
        <v>15</v>
      </c>
      <c r="E191" s="1" t="s">
        <v>35</v>
      </c>
      <c r="F191" s="3">
        <v>3882</v>
      </c>
      <c r="G191" s="3">
        <v>239</v>
      </c>
      <c r="H191" s="3">
        <v>275</v>
      </c>
      <c r="I191" s="3">
        <v>58748</v>
      </c>
      <c r="J191" s="3">
        <v>44646</v>
      </c>
      <c r="K191" s="3">
        <v>149</v>
      </c>
      <c r="L191" s="1" t="s">
        <v>33</v>
      </c>
      <c r="M191" s="1" t="s">
        <v>22</v>
      </c>
      <c r="N191" s="12">
        <f t="shared" si="2"/>
        <v>7.4828079253761839</v>
      </c>
    </row>
    <row r="192" spans="1:14" hidden="1">
      <c r="A192" s="1" t="s">
        <v>47</v>
      </c>
      <c r="B192" s="1" t="s">
        <v>24</v>
      </c>
      <c r="C192" s="5">
        <v>45826</v>
      </c>
      <c r="D192" s="3" t="s">
        <v>25</v>
      </c>
      <c r="E192" s="1" t="s">
        <v>16</v>
      </c>
      <c r="F192" s="3">
        <v>3956</v>
      </c>
      <c r="G192" s="3">
        <v>319</v>
      </c>
      <c r="H192" s="3">
        <v>61</v>
      </c>
      <c r="I192" s="3">
        <v>58162</v>
      </c>
      <c r="J192" s="3">
        <v>28720</v>
      </c>
      <c r="K192" s="3">
        <v>213</v>
      </c>
      <c r="L192" s="1" t="s">
        <v>27</v>
      </c>
      <c r="M192" s="1" t="s">
        <v>18</v>
      </c>
      <c r="N192" s="12">
        <f t="shared" si="2"/>
        <v>7.4550393727863558</v>
      </c>
    </row>
    <row r="193" spans="1:14" hidden="1">
      <c r="A193" s="1" t="s">
        <v>218</v>
      </c>
      <c r="B193" s="1" t="s">
        <v>14</v>
      </c>
      <c r="C193" s="5">
        <v>45640</v>
      </c>
      <c r="D193" s="3" t="s">
        <v>25</v>
      </c>
      <c r="E193" s="1" t="s">
        <v>49</v>
      </c>
      <c r="F193" s="3">
        <v>3812</v>
      </c>
      <c r="G193" s="3">
        <v>321</v>
      </c>
      <c r="H193" s="3">
        <v>289</v>
      </c>
      <c r="I193" s="3">
        <v>59838</v>
      </c>
      <c r="J193" s="3">
        <v>36337</v>
      </c>
      <c r="K193" s="3">
        <v>161</v>
      </c>
      <c r="L193" s="1" t="s">
        <v>42</v>
      </c>
      <c r="M193" s="1" t="s">
        <v>55</v>
      </c>
      <c r="N193" s="12">
        <f t="shared" si="2"/>
        <v>7.3899528727564414</v>
      </c>
    </row>
    <row r="194" spans="1:14" hidden="1">
      <c r="A194" s="1" t="s">
        <v>308</v>
      </c>
      <c r="B194" s="1" t="s">
        <v>31</v>
      </c>
      <c r="C194" s="5">
        <v>45368</v>
      </c>
      <c r="D194" s="3" t="s">
        <v>57</v>
      </c>
      <c r="E194" s="1" t="s">
        <v>20</v>
      </c>
      <c r="F194" s="3">
        <v>2692</v>
      </c>
      <c r="G194" s="3">
        <v>446</v>
      </c>
      <c r="H194" s="3">
        <v>216</v>
      </c>
      <c r="I194" s="3">
        <v>45818</v>
      </c>
      <c r="J194" s="3">
        <v>62723</v>
      </c>
      <c r="K194" s="3">
        <v>85</v>
      </c>
      <c r="L194" s="1" t="s">
        <v>58</v>
      </c>
      <c r="M194" s="1" t="s">
        <v>59</v>
      </c>
      <c r="N194" s="12">
        <f t="shared" ref="N194:N257" si="3">((F194+G194+H194)/I194)*100</f>
        <v>7.3202671439172375</v>
      </c>
    </row>
    <row r="195" spans="1:14" hidden="1">
      <c r="A195" s="1" t="s">
        <v>120</v>
      </c>
      <c r="B195" s="1" t="s">
        <v>14</v>
      </c>
      <c r="C195" s="5">
        <v>45825</v>
      </c>
      <c r="D195" s="3" t="s">
        <v>15</v>
      </c>
      <c r="E195" s="1" t="s">
        <v>32</v>
      </c>
      <c r="F195" s="3">
        <v>2284</v>
      </c>
      <c r="G195" s="3">
        <v>187</v>
      </c>
      <c r="H195" s="3">
        <v>260</v>
      </c>
      <c r="I195" s="3">
        <v>37400</v>
      </c>
      <c r="J195" s="3">
        <v>65014</v>
      </c>
      <c r="K195" s="3">
        <v>157</v>
      </c>
      <c r="L195" s="1" t="s">
        <v>17</v>
      </c>
      <c r="M195" s="1" t="s">
        <v>18</v>
      </c>
      <c r="N195" s="12">
        <f t="shared" si="3"/>
        <v>7.3021390374331556</v>
      </c>
    </row>
    <row r="196" spans="1:14" hidden="1">
      <c r="A196" s="1" t="s">
        <v>222</v>
      </c>
      <c r="B196" s="1" t="s">
        <v>14</v>
      </c>
      <c r="C196" s="5">
        <v>45370</v>
      </c>
      <c r="D196" s="3" t="s">
        <v>15</v>
      </c>
      <c r="E196" s="1" t="s">
        <v>49</v>
      </c>
      <c r="F196" s="3">
        <v>2878</v>
      </c>
      <c r="G196" s="3">
        <v>278</v>
      </c>
      <c r="H196" s="3">
        <v>255</v>
      </c>
      <c r="I196" s="3">
        <v>47235</v>
      </c>
      <c r="J196" s="3">
        <v>57922</v>
      </c>
      <c r="K196" s="3">
        <v>112</v>
      </c>
      <c r="L196" s="1" t="s">
        <v>17</v>
      </c>
      <c r="M196" s="1" t="s">
        <v>18</v>
      </c>
      <c r="N196" s="12">
        <f t="shared" si="3"/>
        <v>7.2213401079707848</v>
      </c>
    </row>
    <row r="197" spans="1:14" hidden="1">
      <c r="A197" s="1" t="s">
        <v>187</v>
      </c>
      <c r="B197" s="1" t="s">
        <v>24</v>
      </c>
      <c r="C197" s="5">
        <v>45312</v>
      </c>
      <c r="D197" s="3" t="s">
        <v>25</v>
      </c>
      <c r="E197" s="1" t="s">
        <v>16</v>
      </c>
      <c r="F197" s="3">
        <v>2383</v>
      </c>
      <c r="G197" s="3">
        <v>136</v>
      </c>
      <c r="H197" s="3">
        <v>302</v>
      </c>
      <c r="I197" s="3">
        <v>39187</v>
      </c>
      <c r="J197" s="3">
        <v>22133</v>
      </c>
      <c r="K197" s="3">
        <v>208</v>
      </c>
      <c r="L197" s="1" t="s">
        <v>27</v>
      </c>
      <c r="M197" s="1" t="s">
        <v>18</v>
      </c>
      <c r="N197" s="12">
        <f t="shared" si="3"/>
        <v>7.1988159338556148</v>
      </c>
    </row>
    <row r="198" spans="1:14" hidden="1">
      <c r="A198" s="1" t="s">
        <v>287</v>
      </c>
      <c r="B198" s="1" t="s">
        <v>24</v>
      </c>
      <c r="C198" s="5">
        <v>45551</v>
      </c>
      <c r="D198" s="3" t="s">
        <v>25</v>
      </c>
      <c r="E198" s="1" t="s">
        <v>51</v>
      </c>
      <c r="F198" s="3">
        <v>3300</v>
      </c>
      <c r="G198" s="3">
        <v>354</v>
      </c>
      <c r="H198" s="3">
        <v>397</v>
      </c>
      <c r="I198" s="3">
        <v>56773</v>
      </c>
      <c r="J198" s="3">
        <v>72110</v>
      </c>
      <c r="K198" s="3">
        <v>163</v>
      </c>
      <c r="L198" s="1" t="s">
        <v>39</v>
      </c>
      <c r="M198" s="1" t="s">
        <v>18</v>
      </c>
      <c r="N198" s="12">
        <f t="shared" si="3"/>
        <v>7.1354340971940893</v>
      </c>
    </row>
    <row r="199" spans="1:14" hidden="1">
      <c r="A199" s="1" t="s">
        <v>247</v>
      </c>
      <c r="B199" s="1" t="s">
        <v>24</v>
      </c>
      <c r="C199" s="5">
        <v>45387</v>
      </c>
      <c r="D199" s="3" t="s">
        <v>25</v>
      </c>
      <c r="E199" s="1" t="s">
        <v>29</v>
      </c>
      <c r="F199" s="3">
        <v>2857</v>
      </c>
      <c r="G199" s="3">
        <v>443</v>
      </c>
      <c r="H199" s="3">
        <v>359</v>
      </c>
      <c r="I199" s="3">
        <v>51519</v>
      </c>
      <c r="J199" s="3">
        <v>28256</v>
      </c>
      <c r="K199" s="3">
        <v>155</v>
      </c>
      <c r="L199" s="1" t="s">
        <v>17</v>
      </c>
      <c r="M199" s="1" t="s">
        <v>18</v>
      </c>
      <c r="N199" s="12">
        <f t="shared" si="3"/>
        <v>7.102234127215203</v>
      </c>
    </row>
    <row r="200" spans="1:14" hidden="1">
      <c r="A200" s="1" t="s">
        <v>219</v>
      </c>
      <c r="B200" s="1" t="s">
        <v>24</v>
      </c>
      <c r="C200" s="5">
        <v>45615</v>
      </c>
      <c r="D200" s="3" t="s">
        <v>15</v>
      </c>
      <c r="E200" s="1" t="s">
        <v>20</v>
      </c>
      <c r="F200" s="3">
        <v>2387</v>
      </c>
      <c r="G200" s="3">
        <v>353</v>
      </c>
      <c r="H200" s="3">
        <v>78</v>
      </c>
      <c r="I200" s="3">
        <v>39745</v>
      </c>
      <c r="J200" s="3">
        <v>69226</v>
      </c>
      <c r="K200" s="3">
        <v>208</v>
      </c>
      <c r="L200" s="1" t="s">
        <v>45</v>
      </c>
      <c r="M200" s="1" t="s">
        <v>22</v>
      </c>
      <c r="N200" s="12">
        <f t="shared" si="3"/>
        <v>7.0902000251603976</v>
      </c>
    </row>
    <row r="201" spans="1:14" hidden="1">
      <c r="A201" s="1" t="s">
        <v>166</v>
      </c>
      <c r="B201" s="1" t="s">
        <v>24</v>
      </c>
      <c r="C201" s="5">
        <v>45295</v>
      </c>
      <c r="D201" s="3" t="s">
        <v>25</v>
      </c>
      <c r="E201" s="1" t="s">
        <v>35</v>
      </c>
      <c r="F201" s="3">
        <v>3208</v>
      </c>
      <c r="G201" s="3">
        <v>476</v>
      </c>
      <c r="H201" s="3">
        <v>277</v>
      </c>
      <c r="I201" s="3">
        <v>56072</v>
      </c>
      <c r="J201" s="3">
        <v>21061</v>
      </c>
      <c r="K201" s="3">
        <v>113</v>
      </c>
      <c r="L201" s="1" t="s">
        <v>27</v>
      </c>
      <c r="M201" s="1" t="s">
        <v>18</v>
      </c>
      <c r="N201" s="12">
        <f t="shared" si="3"/>
        <v>7.064131830503638</v>
      </c>
    </row>
    <row r="202" spans="1:14" hidden="1">
      <c r="A202" s="1" t="s">
        <v>181</v>
      </c>
      <c r="B202" s="1" t="s">
        <v>31</v>
      </c>
      <c r="C202" s="5">
        <v>45566</v>
      </c>
      <c r="D202" s="3" t="s">
        <v>57</v>
      </c>
      <c r="E202" s="1" t="s">
        <v>20</v>
      </c>
      <c r="F202" s="3">
        <v>3543</v>
      </c>
      <c r="G202" s="3">
        <v>334</v>
      </c>
      <c r="H202" s="3">
        <v>218</v>
      </c>
      <c r="I202" s="3">
        <v>58007</v>
      </c>
      <c r="J202" s="3">
        <v>24792</v>
      </c>
      <c r="K202" s="3">
        <v>273</v>
      </c>
      <c r="L202" s="1" t="s">
        <v>58</v>
      </c>
      <c r="M202" s="1" t="s">
        <v>59</v>
      </c>
      <c r="N202" s="12">
        <f t="shared" si="3"/>
        <v>7.059492819832089</v>
      </c>
    </row>
    <row r="203" spans="1:14" hidden="1">
      <c r="A203" s="1" t="s">
        <v>23</v>
      </c>
      <c r="B203" s="1" t="s">
        <v>24</v>
      </c>
      <c r="C203" s="5">
        <v>45629</v>
      </c>
      <c r="D203" s="3" t="s">
        <v>25</v>
      </c>
      <c r="E203" s="1" t="s">
        <v>26</v>
      </c>
      <c r="F203" s="3">
        <v>3092</v>
      </c>
      <c r="G203" s="3">
        <v>177</v>
      </c>
      <c r="H203" s="3">
        <v>81</v>
      </c>
      <c r="I203" s="3">
        <v>47533</v>
      </c>
      <c r="J203" s="3">
        <v>29220</v>
      </c>
      <c r="K203" s="3">
        <v>121</v>
      </c>
      <c r="L203" s="1" t="s">
        <v>27</v>
      </c>
      <c r="M203" s="1" t="s">
        <v>18</v>
      </c>
      <c r="N203" s="12">
        <f t="shared" si="3"/>
        <v>7.0477352576105021</v>
      </c>
    </row>
    <row r="204" spans="1:14" hidden="1">
      <c r="A204" s="1" t="s">
        <v>69</v>
      </c>
      <c r="B204" s="1" t="s">
        <v>24</v>
      </c>
      <c r="C204" s="5">
        <v>45734</v>
      </c>
      <c r="D204" s="3" t="s">
        <v>25</v>
      </c>
      <c r="E204" s="1" t="s">
        <v>20</v>
      </c>
      <c r="F204" s="3">
        <v>3418</v>
      </c>
      <c r="G204" s="3">
        <v>188</v>
      </c>
      <c r="H204" s="3">
        <v>387</v>
      </c>
      <c r="I204" s="3">
        <v>57431</v>
      </c>
      <c r="J204" s="3">
        <v>36933</v>
      </c>
      <c r="K204" s="3">
        <v>202</v>
      </c>
      <c r="L204" s="1" t="s">
        <v>27</v>
      </c>
      <c r="M204" s="1" t="s">
        <v>18</v>
      </c>
      <c r="N204" s="12">
        <f t="shared" si="3"/>
        <v>6.9526910553533803</v>
      </c>
    </row>
    <row r="205" spans="1:14" hidden="1">
      <c r="A205" s="1" t="s">
        <v>191</v>
      </c>
      <c r="B205" s="1" t="s">
        <v>14</v>
      </c>
      <c r="C205" s="5">
        <v>45516</v>
      </c>
      <c r="D205" s="3" t="s">
        <v>25</v>
      </c>
      <c r="E205" s="1" t="s">
        <v>16</v>
      </c>
      <c r="F205" s="3">
        <v>2962</v>
      </c>
      <c r="G205" s="3">
        <v>400</v>
      </c>
      <c r="H205" s="3">
        <v>280</v>
      </c>
      <c r="I205" s="3">
        <v>52508</v>
      </c>
      <c r="J205" s="3">
        <v>58329</v>
      </c>
      <c r="K205" s="3">
        <v>219</v>
      </c>
      <c r="L205" s="1" t="s">
        <v>42</v>
      </c>
      <c r="M205" s="1" t="s">
        <v>55</v>
      </c>
      <c r="N205" s="12">
        <f t="shared" si="3"/>
        <v>6.9360859297630837</v>
      </c>
    </row>
    <row r="206" spans="1:14" hidden="1">
      <c r="A206" s="1" t="s">
        <v>139</v>
      </c>
      <c r="B206" s="1" t="s">
        <v>24</v>
      </c>
      <c r="C206" s="5">
        <v>45580</v>
      </c>
      <c r="D206" s="3" t="s">
        <v>15</v>
      </c>
      <c r="E206" s="1" t="s">
        <v>29</v>
      </c>
      <c r="F206" s="3">
        <v>1984</v>
      </c>
      <c r="G206" s="3">
        <v>481</v>
      </c>
      <c r="H206" s="3">
        <v>356</v>
      </c>
      <c r="I206" s="3">
        <v>40681</v>
      </c>
      <c r="J206" s="3">
        <v>63111</v>
      </c>
      <c r="K206" s="3">
        <v>258</v>
      </c>
      <c r="L206" s="1" t="s">
        <v>42</v>
      </c>
      <c r="M206" s="1" t="s">
        <v>18</v>
      </c>
      <c r="N206" s="12">
        <f t="shared" si="3"/>
        <v>6.9344411395983379</v>
      </c>
    </row>
    <row r="207" spans="1:14" hidden="1">
      <c r="A207" s="1" t="s">
        <v>301</v>
      </c>
      <c r="B207" s="1" t="s">
        <v>24</v>
      </c>
      <c r="C207" s="5">
        <v>45612</v>
      </c>
      <c r="D207" s="3" t="s">
        <v>15</v>
      </c>
      <c r="E207" s="1" t="s">
        <v>49</v>
      </c>
      <c r="F207" s="3">
        <v>2972</v>
      </c>
      <c r="G207" s="3">
        <v>263</v>
      </c>
      <c r="H207" s="3">
        <v>308</v>
      </c>
      <c r="I207" s="3">
        <v>51740</v>
      </c>
      <c r="J207" s="3">
        <v>28214</v>
      </c>
      <c r="K207" s="3">
        <v>190</v>
      </c>
      <c r="L207" s="1" t="s">
        <v>45</v>
      </c>
      <c r="M207" s="1" t="s">
        <v>22</v>
      </c>
      <c r="N207" s="12">
        <f t="shared" si="3"/>
        <v>6.8477000386548124</v>
      </c>
    </row>
    <row r="208" spans="1:14" hidden="1">
      <c r="A208" s="1" t="s">
        <v>271</v>
      </c>
      <c r="B208" s="1" t="s">
        <v>14</v>
      </c>
      <c r="C208" s="5">
        <v>45379</v>
      </c>
      <c r="D208" s="3" t="s">
        <v>15</v>
      </c>
      <c r="E208" s="1" t="s">
        <v>35</v>
      </c>
      <c r="F208" s="3">
        <v>1673</v>
      </c>
      <c r="G208" s="3">
        <v>280</v>
      </c>
      <c r="H208" s="3">
        <v>67</v>
      </c>
      <c r="I208" s="3">
        <v>29847</v>
      </c>
      <c r="J208" s="3">
        <v>48016</v>
      </c>
      <c r="K208" s="3">
        <v>213</v>
      </c>
      <c r="L208" s="1" t="s">
        <v>17</v>
      </c>
      <c r="M208" s="1" t="s">
        <v>18</v>
      </c>
      <c r="N208" s="12">
        <f t="shared" si="3"/>
        <v>6.7678493650953202</v>
      </c>
    </row>
    <row r="209" spans="1:14" hidden="1">
      <c r="A209" s="1" t="s">
        <v>143</v>
      </c>
      <c r="B209" s="1" t="s">
        <v>14</v>
      </c>
      <c r="C209" s="5">
        <v>45336</v>
      </c>
      <c r="D209" s="3" t="s">
        <v>15</v>
      </c>
      <c r="E209" s="1" t="s">
        <v>32</v>
      </c>
      <c r="F209" s="3">
        <v>1830</v>
      </c>
      <c r="G209" s="3">
        <v>112</v>
      </c>
      <c r="H209" s="3">
        <v>181</v>
      </c>
      <c r="I209" s="3">
        <v>31870</v>
      </c>
      <c r="J209" s="3">
        <v>55742</v>
      </c>
      <c r="K209" s="3">
        <v>263</v>
      </c>
      <c r="L209" s="1" t="s">
        <v>17</v>
      </c>
      <c r="M209" s="1" t="s">
        <v>18</v>
      </c>
      <c r="N209" s="12">
        <f t="shared" si="3"/>
        <v>6.6614370881706932</v>
      </c>
    </row>
    <row r="210" spans="1:14" hidden="1">
      <c r="A210" s="1" t="s">
        <v>318</v>
      </c>
      <c r="B210" s="1" t="s">
        <v>14</v>
      </c>
      <c r="C210" s="5">
        <v>45628</v>
      </c>
      <c r="D210" s="3" t="s">
        <v>15</v>
      </c>
      <c r="E210" s="1" t="s">
        <v>41</v>
      </c>
      <c r="F210" s="3">
        <v>3194</v>
      </c>
      <c r="G210" s="3">
        <v>292</v>
      </c>
      <c r="H210" s="3">
        <v>245</v>
      </c>
      <c r="I210" s="3">
        <v>56371</v>
      </c>
      <c r="J210" s="3">
        <v>65597</v>
      </c>
      <c r="K210" s="3">
        <v>163</v>
      </c>
      <c r="L210" s="1" t="s">
        <v>17</v>
      </c>
      <c r="M210" s="1" t="s">
        <v>18</v>
      </c>
      <c r="N210" s="12">
        <f t="shared" si="3"/>
        <v>6.6186514342481058</v>
      </c>
    </row>
    <row r="211" spans="1:14" hidden="1">
      <c r="A211" s="1" t="s">
        <v>313</v>
      </c>
      <c r="B211" s="1" t="s">
        <v>24</v>
      </c>
      <c r="C211" s="5">
        <v>45334</v>
      </c>
      <c r="D211" s="3" t="s">
        <v>15</v>
      </c>
      <c r="E211" s="1" t="s">
        <v>20</v>
      </c>
      <c r="F211" s="3">
        <v>2691</v>
      </c>
      <c r="G211" s="3">
        <v>486</v>
      </c>
      <c r="H211" s="3">
        <v>206</v>
      </c>
      <c r="I211" s="3">
        <v>51133</v>
      </c>
      <c r="J211" s="3">
        <v>44583</v>
      </c>
      <c r="K211" s="3">
        <v>276</v>
      </c>
      <c r="L211" s="1" t="s">
        <v>42</v>
      </c>
      <c r="M211" s="1" t="s">
        <v>18</v>
      </c>
      <c r="N211" s="12">
        <f t="shared" si="3"/>
        <v>6.6160796354604656</v>
      </c>
    </row>
    <row r="212" spans="1:14" hidden="1">
      <c r="A212" s="1" t="s">
        <v>233</v>
      </c>
      <c r="B212" s="1" t="s">
        <v>31</v>
      </c>
      <c r="C212" s="5">
        <v>45447</v>
      </c>
      <c r="D212" s="3" t="s">
        <v>57</v>
      </c>
      <c r="E212" s="1" t="s">
        <v>29</v>
      </c>
      <c r="F212" s="3">
        <v>1211</v>
      </c>
      <c r="G212" s="3">
        <v>431</v>
      </c>
      <c r="H212" s="3">
        <v>83</v>
      </c>
      <c r="I212" s="3">
        <v>26532</v>
      </c>
      <c r="J212" s="3">
        <v>47305</v>
      </c>
      <c r="K212" s="3">
        <v>232</v>
      </c>
      <c r="L212" s="1" t="s">
        <v>58</v>
      </c>
      <c r="M212" s="1" t="s">
        <v>59</v>
      </c>
      <c r="N212" s="12">
        <f t="shared" si="3"/>
        <v>6.5015829941203069</v>
      </c>
    </row>
    <row r="213" spans="1:14" hidden="1">
      <c r="A213" s="1" t="s">
        <v>275</v>
      </c>
      <c r="B213" s="1" t="s">
        <v>31</v>
      </c>
      <c r="C213" s="5">
        <v>45542</v>
      </c>
      <c r="D213" s="3" t="s">
        <v>15</v>
      </c>
      <c r="E213" s="1" t="s">
        <v>51</v>
      </c>
      <c r="F213" s="3">
        <v>2101</v>
      </c>
      <c r="G213" s="3">
        <v>411</v>
      </c>
      <c r="H213" s="3">
        <v>190</v>
      </c>
      <c r="I213" s="3">
        <v>41791</v>
      </c>
      <c r="J213" s="3">
        <v>57090</v>
      </c>
      <c r="K213" s="3">
        <v>172</v>
      </c>
      <c r="L213" s="1" t="s">
        <v>33</v>
      </c>
      <c r="M213" s="1" t="s">
        <v>22</v>
      </c>
      <c r="N213" s="12">
        <f t="shared" si="3"/>
        <v>6.4655069273288515</v>
      </c>
    </row>
    <row r="214" spans="1:14" hidden="1">
      <c r="A214" s="1" t="s">
        <v>56</v>
      </c>
      <c r="B214" s="1" t="s">
        <v>31</v>
      </c>
      <c r="C214" s="5">
        <v>45458</v>
      </c>
      <c r="D214" s="3" t="s">
        <v>57</v>
      </c>
      <c r="E214" s="1" t="s">
        <v>37</v>
      </c>
      <c r="F214" s="3">
        <v>1751</v>
      </c>
      <c r="G214" s="3">
        <v>143</v>
      </c>
      <c r="H214" s="3">
        <v>151</v>
      </c>
      <c r="I214" s="3">
        <v>31826</v>
      </c>
      <c r="J214" s="3">
        <v>47729</v>
      </c>
      <c r="K214" s="3">
        <v>95</v>
      </c>
      <c r="L214" s="1" t="s">
        <v>58</v>
      </c>
      <c r="M214" s="1" t="s">
        <v>59</v>
      </c>
      <c r="N214" s="12">
        <f t="shared" si="3"/>
        <v>6.4255640042732365</v>
      </c>
    </row>
    <row r="215" spans="1:14" hidden="1">
      <c r="A215" s="1" t="s">
        <v>133</v>
      </c>
      <c r="B215" s="1" t="s">
        <v>14</v>
      </c>
      <c r="C215" s="5">
        <v>45351</v>
      </c>
      <c r="D215" s="3" t="s">
        <v>15</v>
      </c>
      <c r="E215" s="1" t="s">
        <v>49</v>
      </c>
      <c r="F215" s="3">
        <v>1100</v>
      </c>
      <c r="G215" s="3">
        <v>229</v>
      </c>
      <c r="H215" s="3">
        <v>312</v>
      </c>
      <c r="I215" s="3">
        <v>25641</v>
      </c>
      <c r="J215" s="3">
        <v>34601</v>
      </c>
      <c r="K215" s="3">
        <v>169</v>
      </c>
      <c r="L215" s="1" t="s">
        <v>21</v>
      </c>
      <c r="M215" s="1" t="s">
        <v>22</v>
      </c>
      <c r="N215" s="12">
        <f t="shared" si="3"/>
        <v>6.3999063999063992</v>
      </c>
    </row>
    <row r="216" spans="1:14" hidden="1">
      <c r="A216" s="1" t="s">
        <v>76</v>
      </c>
      <c r="B216" s="1" t="s">
        <v>14</v>
      </c>
      <c r="C216" s="5">
        <v>45416</v>
      </c>
      <c r="D216" s="3" t="s">
        <v>15</v>
      </c>
      <c r="E216" s="1" t="s">
        <v>29</v>
      </c>
      <c r="F216" s="3">
        <v>2274</v>
      </c>
      <c r="G216" s="3">
        <v>243</v>
      </c>
      <c r="H216" s="3">
        <v>222</v>
      </c>
      <c r="I216" s="3">
        <v>43066</v>
      </c>
      <c r="J216" s="3">
        <v>59174</v>
      </c>
      <c r="K216" s="3">
        <v>80</v>
      </c>
      <c r="L216" s="1" t="s">
        <v>21</v>
      </c>
      <c r="M216" s="1" t="s">
        <v>22</v>
      </c>
      <c r="N216" s="12">
        <f t="shared" si="3"/>
        <v>6.3600055728416844</v>
      </c>
    </row>
    <row r="217" spans="1:14" hidden="1">
      <c r="A217" s="1" t="s">
        <v>241</v>
      </c>
      <c r="B217" s="1" t="s">
        <v>24</v>
      </c>
      <c r="C217" s="5">
        <v>45547</v>
      </c>
      <c r="D217" s="3" t="s">
        <v>25</v>
      </c>
      <c r="E217" s="1" t="s">
        <v>29</v>
      </c>
      <c r="F217" s="3">
        <v>1839</v>
      </c>
      <c r="G217" s="3">
        <v>223</v>
      </c>
      <c r="H217" s="3">
        <v>171</v>
      </c>
      <c r="I217" s="3">
        <v>35459</v>
      </c>
      <c r="J217" s="3">
        <v>69988</v>
      </c>
      <c r="K217" s="3">
        <v>114</v>
      </c>
      <c r="L217" s="1" t="s">
        <v>27</v>
      </c>
      <c r="M217" s="1" t="s">
        <v>18</v>
      </c>
      <c r="N217" s="12">
        <f t="shared" si="3"/>
        <v>6.2974139146620036</v>
      </c>
    </row>
    <row r="218" spans="1:14" hidden="1">
      <c r="A218" s="1" t="s">
        <v>224</v>
      </c>
      <c r="B218" s="1" t="s">
        <v>24</v>
      </c>
      <c r="C218" s="5">
        <v>45486</v>
      </c>
      <c r="D218" s="3" t="s">
        <v>25</v>
      </c>
      <c r="E218" s="1" t="s">
        <v>37</v>
      </c>
      <c r="F218" s="3">
        <v>2408</v>
      </c>
      <c r="G218" s="3">
        <v>323</v>
      </c>
      <c r="H218" s="3">
        <v>251</v>
      </c>
      <c r="I218" s="3">
        <v>47599</v>
      </c>
      <c r="J218" s="3">
        <v>35543</v>
      </c>
      <c r="K218" s="3">
        <v>287</v>
      </c>
      <c r="L218" s="1" t="s">
        <v>27</v>
      </c>
      <c r="M218" s="1" t="s">
        <v>18</v>
      </c>
      <c r="N218" s="12">
        <f t="shared" si="3"/>
        <v>6.2648374965860638</v>
      </c>
    </row>
    <row r="219" spans="1:14" hidden="1">
      <c r="A219" s="1" t="s">
        <v>145</v>
      </c>
      <c r="B219" s="1" t="s">
        <v>24</v>
      </c>
      <c r="C219" s="5">
        <v>45553</v>
      </c>
      <c r="D219" s="3" t="s">
        <v>15</v>
      </c>
      <c r="E219" s="1" t="s">
        <v>16</v>
      </c>
      <c r="F219" s="3">
        <v>2878</v>
      </c>
      <c r="G219" s="3">
        <v>265</v>
      </c>
      <c r="H219" s="3">
        <v>91</v>
      </c>
      <c r="I219" s="3">
        <v>52090</v>
      </c>
      <c r="J219" s="3">
        <v>28924</v>
      </c>
      <c r="K219" s="3">
        <v>133</v>
      </c>
      <c r="L219" s="1" t="s">
        <v>42</v>
      </c>
      <c r="M219" s="1" t="s">
        <v>18</v>
      </c>
      <c r="N219" s="12">
        <f t="shared" si="3"/>
        <v>6.2084853138798231</v>
      </c>
    </row>
    <row r="220" spans="1:14" hidden="1">
      <c r="A220" s="1" t="s">
        <v>307</v>
      </c>
      <c r="B220" s="1" t="s">
        <v>31</v>
      </c>
      <c r="C220" s="5">
        <v>45604</v>
      </c>
      <c r="D220" s="3" t="s">
        <v>15</v>
      </c>
      <c r="E220" s="1" t="s">
        <v>41</v>
      </c>
      <c r="F220" s="3">
        <v>2471</v>
      </c>
      <c r="G220" s="3">
        <v>166</v>
      </c>
      <c r="H220" s="3">
        <v>320</v>
      </c>
      <c r="I220" s="3">
        <v>48254</v>
      </c>
      <c r="J220" s="3">
        <v>46900</v>
      </c>
      <c r="K220" s="3">
        <v>111</v>
      </c>
      <c r="L220" s="1" t="s">
        <v>33</v>
      </c>
      <c r="M220" s="1" t="s">
        <v>22</v>
      </c>
      <c r="N220" s="12">
        <f t="shared" si="3"/>
        <v>6.127989389480665</v>
      </c>
    </row>
    <row r="221" spans="1:14" hidden="1">
      <c r="A221" s="1" t="s">
        <v>127</v>
      </c>
      <c r="B221" s="1" t="s">
        <v>24</v>
      </c>
      <c r="C221" s="5">
        <v>45405</v>
      </c>
      <c r="D221" s="3" t="s">
        <v>25</v>
      </c>
      <c r="E221" s="1" t="s">
        <v>16</v>
      </c>
      <c r="F221" s="3">
        <v>2683</v>
      </c>
      <c r="G221" s="3">
        <v>496</v>
      </c>
      <c r="H221" s="3">
        <v>89</v>
      </c>
      <c r="I221" s="3">
        <v>53435</v>
      </c>
      <c r="J221" s="3">
        <v>30334</v>
      </c>
      <c r="K221" s="3">
        <v>160</v>
      </c>
      <c r="L221" s="1" t="s">
        <v>17</v>
      </c>
      <c r="M221" s="1" t="s">
        <v>18</v>
      </c>
      <c r="N221" s="12">
        <f t="shared" si="3"/>
        <v>6.1158416768035933</v>
      </c>
    </row>
    <row r="222" spans="1:14" hidden="1">
      <c r="A222" s="1" t="s">
        <v>338</v>
      </c>
      <c r="B222" s="1" t="s">
        <v>24</v>
      </c>
      <c r="C222" s="5">
        <v>45838</v>
      </c>
      <c r="D222" s="3" t="s">
        <v>15</v>
      </c>
      <c r="E222" s="1" t="s">
        <v>35</v>
      </c>
      <c r="F222" s="3">
        <v>2275</v>
      </c>
      <c r="G222" s="3">
        <v>285</v>
      </c>
      <c r="H222" s="3">
        <v>125</v>
      </c>
      <c r="I222" s="3">
        <v>43970</v>
      </c>
      <c r="J222" s="3">
        <v>74761</v>
      </c>
      <c r="K222" s="3">
        <v>83</v>
      </c>
      <c r="L222" s="1" t="s">
        <v>42</v>
      </c>
      <c r="M222" s="1" t="s">
        <v>18</v>
      </c>
      <c r="N222" s="12">
        <f t="shared" si="3"/>
        <v>6.1064362065044353</v>
      </c>
    </row>
    <row r="223" spans="1:14" hidden="1">
      <c r="A223" s="1" t="s">
        <v>184</v>
      </c>
      <c r="B223" s="1" t="s">
        <v>14</v>
      </c>
      <c r="C223" s="5">
        <v>45702</v>
      </c>
      <c r="D223" s="3" t="s">
        <v>15</v>
      </c>
      <c r="E223" s="1" t="s">
        <v>16</v>
      </c>
      <c r="F223" s="3">
        <v>2329</v>
      </c>
      <c r="G223" s="3">
        <v>373</v>
      </c>
      <c r="H223" s="3">
        <v>291</v>
      </c>
      <c r="I223" s="3">
        <v>49577</v>
      </c>
      <c r="J223" s="3">
        <v>28002</v>
      </c>
      <c r="K223" s="3">
        <v>82</v>
      </c>
      <c r="L223" s="1" t="s">
        <v>17</v>
      </c>
      <c r="M223" s="1" t="s">
        <v>18</v>
      </c>
      <c r="N223" s="12">
        <f t="shared" si="3"/>
        <v>6.0370736430199488</v>
      </c>
    </row>
    <row r="224" spans="1:14" hidden="1">
      <c r="A224" s="1" t="s">
        <v>125</v>
      </c>
      <c r="B224" s="1" t="s">
        <v>14</v>
      </c>
      <c r="C224" s="5">
        <v>45522</v>
      </c>
      <c r="D224" s="3" t="s">
        <v>15</v>
      </c>
      <c r="E224" s="1" t="s">
        <v>20</v>
      </c>
      <c r="F224" s="3">
        <v>2965</v>
      </c>
      <c r="G224" s="3">
        <v>328</v>
      </c>
      <c r="H224" s="3">
        <v>171</v>
      </c>
      <c r="I224" s="3">
        <v>57685</v>
      </c>
      <c r="J224" s="3">
        <v>67536</v>
      </c>
      <c r="K224" s="3">
        <v>264</v>
      </c>
      <c r="L224" s="1" t="s">
        <v>17</v>
      </c>
      <c r="M224" s="1" t="s">
        <v>18</v>
      </c>
      <c r="N224" s="12">
        <f t="shared" si="3"/>
        <v>6.005027303458438</v>
      </c>
    </row>
    <row r="225" spans="1:14" hidden="1">
      <c r="A225" s="1" t="s">
        <v>337</v>
      </c>
      <c r="B225" s="1" t="s">
        <v>24</v>
      </c>
      <c r="C225" s="5">
        <v>45612</v>
      </c>
      <c r="D225" s="3" t="s">
        <v>15</v>
      </c>
      <c r="E225" s="1" t="s">
        <v>20</v>
      </c>
      <c r="F225" s="3">
        <v>2901</v>
      </c>
      <c r="G225" s="3">
        <v>108</v>
      </c>
      <c r="H225" s="3">
        <v>86</v>
      </c>
      <c r="I225" s="3">
        <v>51777</v>
      </c>
      <c r="J225" s="3">
        <v>23773</v>
      </c>
      <c r="K225" s="3">
        <v>160</v>
      </c>
      <c r="L225" s="1" t="s">
        <v>45</v>
      </c>
      <c r="M225" s="1" t="s">
        <v>22</v>
      </c>
      <c r="N225" s="12">
        <f t="shared" si="3"/>
        <v>5.9775576027966082</v>
      </c>
    </row>
    <row r="226" spans="1:14" hidden="1">
      <c r="A226" s="1" t="s">
        <v>194</v>
      </c>
      <c r="B226" s="1" t="s">
        <v>14</v>
      </c>
      <c r="C226" s="5">
        <v>45615</v>
      </c>
      <c r="D226" s="3" t="s">
        <v>15</v>
      </c>
      <c r="E226" s="1" t="s">
        <v>35</v>
      </c>
      <c r="F226" s="3">
        <v>2525</v>
      </c>
      <c r="G226" s="3">
        <v>272</v>
      </c>
      <c r="H226" s="3">
        <v>294</v>
      </c>
      <c r="I226" s="3">
        <v>51875</v>
      </c>
      <c r="J226" s="3">
        <v>24732</v>
      </c>
      <c r="K226" s="3">
        <v>92</v>
      </c>
      <c r="L226" s="1" t="s">
        <v>21</v>
      </c>
      <c r="M226" s="1" t="s">
        <v>22</v>
      </c>
      <c r="N226" s="12">
        <f t="shared" si="3"/>
        <v>5.9585542168674701</v>
      </c>
    </row>
    <row r="227" spans="1:14" hidden="1">
      <c r="A227" s="1" t="s">
        <v>122</v>
      </c>
      <c r="B227" s="1" t="s">
        <v>14</v>
      </c>
      <c r="C227" s="5">
        <v>45530</v>
      </c>
      <c r="D227" s="3" t="s">
        <v>15</v>
      </c>
      <c r="E227" s="1" t="s">
        <v>51</v>
      </c>
      <c r="F227" s="3">
        <v>2102</v>
      </c>
      <c r="G227" s="3">
        <v>181</v>
      </c>
      <c r="H227" s="3">
        <v>306</v>
      </c>
      <c r="I227" s="3">
        <v>43650</v>
      </c>
      <c r="J227" s="3">
        <v>50079</v>
      </c>
      <c r="K227" s="3">
        <v>182</v>
      </c>
      <c r="L227" s="1" t="s">
        <v>21</v>
      </c>
      <c r="M227" s="1" t="s">
        <v>22</v>
      </c>
      <c r="N227" s="12">
        <f t="shared" si="3"/>
        <v>5.9312714776632305</v>
      </c>
    </row>
    <row r="228" spans="1:14" hidden="1">
      <c r="A228" s="1" t="s">
        <v>163</v>
      </c>
      <c r="B228" s="1" t="s">
        <v>31</v>
      </c>
      <c r="C228" s="5">
        <v>45424</v>
      </c>
      <c r="D228" s="3" t="s">
        <v>15</v>
      </c>
      <c r="E228" s="1" t="s">
        <v>49</v>
      </c>
      <c r="F228" s="3">
        <v>2911</v>
      </c>
      <c r="G228" s="3">
        <v>467</v>
      </c>
      <c r="H228" s="3">
        <v>94</v>
      </c>
      <c r="I228" s="3">
        <v>59083</v>
      </c>
      <c r="J228" s="3">
        <v>49762</v>
      </c>
      <c r="K228" s="3">
        <v>236</v>
      </c>
      <c r="L228" s="1" t="s">
        <v>33</v>
      </c>
      <c r="M228" s="1" t="s">
        <v>22</v>
      </c>
      <c r="N228" s="12">
        <f t="shared" si="3"/>
        <v>5.8764788517847775</v>
      </c>
    </row>
    <row r="229" spans="1:14" hidden="1">
      <c r="A229" s="1" t="s">
        <v>93</v>
      </c>
      <c r="B229" s="1" t="s">
        <v>24</v>
      </c>
      <c r="C229" s="5">
        <v>45516</v>
      </c>
      <c r="D229" s="3" t="s">
        <v>25</v>
      </c>
      <c r="E229" s="1" t="s">
        <v>35</v>
      </c>
      <c r="F229" s="3">
        <v>2842</v>
      </c>
      <c r="G229" s="3">
        <v>213</v>
      </c>
      <c r="H229" s="3">
        <v>331</v>
      </c>
      <c r="I229" s="3">
        <v>57660</v>
      </c>
      <c r="J229" s="3">
        <v>68606</v>
      </c>
      <c r="K229" s="3">
        <v>87</v>
      </c>
      <c r="L229" s="1" t="s">
        <v>27</v>
      </c>
      <c r="M229" s="1" t="s">
        <v>18</v>
      </c>
      <c r="N229" s="12">
        <f t="shared" si="3"/>
        <v>5.8723551855705862</v>
      </c>
    </row>
    <row r="230" spans="1:14" hidden="1">
      <c r="A230" s="1" t="s">
        <v>331</v>
      </c>
      <c r="B230" s="1" t="s">
        <v>14</v>
      </c>
      <c r="C230" s="5">
        <v>45472</v>
      </c>
      <c r="D230" s="3" t="s">
        <v>15</v>
      </c>
      <c r="E230" s="1" t="s">
        <v>51</v>
      </c>
      <c r="F230" s="3">
        <v>2088</v>
      </c>
      <c r="G230" s="3">
        <v>490</v>
      </c>
      <c r="H230" s="3">
        <v>124</v>
      </c>
      <c r="I230" s="3">
        <v>46544</v>
      </c>
      <c r="J230" s="3">
        <v>69346</v>
      </c>
      <c r="K230" s="3">
        <v>178</v>
      </c>
      <c r="L230" s="1" t="s">
        <v>17</v>
      </c>
      <c r="M230" s="1" t="s">
        <v>18</v>
      </c>
      <c r="N230" s="12">
        <f t="shared" si="3"/>
        <v>5.8052595393606046</v>
      </c>
    </row>
    <row r="231" spans="1:14" hidden="1">
      <c r="A231" s="1" t="s">
        <v>159</v>
      </c>
      <c r="B231" s="1" t="s">
        <v>24</v>
      </c>
      <c r="C231" s="5">
        <v>45806</v>
      </c>
      <c r="D231" s="3" t="s">
        <v>25</v>
      </c>
      <c r="E231" s="1" t="s">
        <v>32</v>
      </c>
      <c r="F231" s="3">
        <v>2134</v>
      </c>
      <c r="G231" s="3">
        <v>322</v>
      </c>
      <c r="H231" s="3">
        <v>114</v>
      </c>
      <c r="I231" s="3">
        <v>44338</v>
      </c>
      <c r="J231" s="3">
        <v>52165</v>
      </c>
      <c r="K231" s="3">
        <v>176</v>
      </c>
      <c r="L231" s="1" t="s">
        <v>27</v>
      </c>
      <c r="M231" s="1" t="s">
        <v>18</v>
      </c>
      <c r="N231" s="12">
        <f t="shared" si="3"/>
        <v>5.7963823356939868</v>
      </c>
    </row>
    <row r="232" spans="1:14" hidden="1">
      <c r="A232" s="1" t="s">
        <v>316</v>
      </c>
      <c r="B232" s="1" t="s">
        <v>24</v>
      </c>
      <c r="C232" s="5">
        <v>45720</v>
      </c>
      <c r="D232" s="3" t="s">
        <v>15</v>
      </c>
      <c r="E232" s="1" t="s">
        <v>16</v>
      </c>
      <c r="F232" s="3">
        <v>2177</v>
      </c>
      <c r="G232" s="3">
        <v>258</v>
      </c>
      <c r="H232" s="3">
        <v>292</v>
      </c>
      <c r="I232" s="3">
        <v>47276</v>
      </c>
      <c r="J232" s="3">
        <v>51324</v>
      </c>
      <c r="K232" s="3">
        <v>143</v>
      </c>
      <c r="L232" s="1" t="s">
        <v>42</v>
      </c>
      <c r="M232" s="1" t="s">
        <v>18</v>
      </c>
      <c r="N232" s="12">
        <f t="shared" si="3"/>
        <v>5.7682545054573149</v>
      </c>
    </row>
    <row r="233" spans="1:14" hidden="1">
      <c r="A233" s="1" t="s">
        <v>295</v>
      </c>
      <c r="B233" s="1" t="s">
        <v>24</v>
      </c>
      <c r="C233" s="5">
        <v>45385</v>
      </c>
      <c r="D233" s="3" t="s">
        <v>25</v>
      </c>
      <c r="E233" s="1" t="s">
        <v>41</v>
      </c>
      <c r="F233" s="3">
        <v>2291</v>
      </c>
      <c r="G233" s="3">
        <v>146</v>
      </c>
      <c r="H233" s="3">
        <v>399</v>
      </c>
      <c r="I233" s="3">
        <v>49319</v>
      </c>
      <c r="J233" s="3">
        <v>28056</v>
      </c>
      <c r="K233" s="3">
        <v>90</v>
      </c>
      <c r="L233" s="1" t="s">
        <v>39</v>
      </c>
      <c r="M233" s="1" t="s">
        <v>18</v>
      </c>
      <c r="N233" s="12">
        <f t="shared" si="3"/>
        <v>5.750319349540745</v>
      </c>
    </row>
    <row r="234" spans="1:14" hidden="1">
      <c r="A234" s="1" t="s">
        <v>215</v>
      </c>
      <c r="B234" s="1" t="s">
        <v>24</v>
      </c>
      <c r="C234" s="5">
        <v>45748</v>
      </c>
      <c r="D234" s="3" t="s">
        <v>25</v>
      </c>
      <c r="E234" s="1" t="s">
        <v>32</v>
      </c>
      <c r="F234" s="3">
        <v>2665</v>
      </c>
      <c r="G234" s="3">
        <v>143</v>
      </c>
      <c r="H234" s="3">
        <v>315</v>
      </c>
      <c r="I234" s="3">
        <v>54808</v>
      </c>
      <c r="J234" s="3">
        <v>29818</v>
      </c>
      <c r="K234" s="3">
        <v>98</v>
      </c>
      <c r="L234" s="1" t="s">
        <v>39</v>
      </c>
      <c r="M234" s="1" t="s">
        <v>18</v>
      </c>
      <c r="N234" s="12">
        <f t="shared" si="3"/>
        <v>5.6980732739746021</v>
      </c>
    </row>
    <row r="235" spans="1:14" hidden="1">
      <c r="A235" s="1" t="s">
        <v>234</v>
      </c>
      <c r="B235" s="1" t="s">
        <v>24</v>
      </c>
      <c r="C235" s="5">
        <v>45422</v>
      </c>
      <c r="D235" s="3" t="s">
        <v>25</v>
      </c>
      <c r="E235" s="1" t="s">
        <v>20</v>
      </c>
      <c r="F235" s="3">
        <v>2784</v>
      </c>
      <c r="G235" s="3">
        <v>111</v>
      </c>
      <c r="H235" s="3">
        <v>399</v>
      </c>
      <c r="I235" s="3">
        <v>58366</v>
      </c>
      <c r="J235" s="3">
        <v>69512</v>
      </c>
      <c r="K235" s="3">
        <v>269</v>
      </c>
      <c r="L235" s="1" t="s">
        <v>27</v>
      </c>
      <c r="M235" s="1" t="s">
        <v>18</v>
      </c>
      <c r="N235" s="12">
        <f t="shared" si="3"/>
        <v>5.6436966727204192</v>
      </c>
    </row>
    <row r="236" spans="1:14" hidden="1">
      <c r="A236" s="1" t="s">
        <v>339</v>
      </c>
      <c r="B236" s="1" t="s">
        <v>24</v>
      </c>
      <c r="C236" s="5">
        <v>45303</v>
      </c>
      <c r="D236" s="3" t="s">
        <v>25</v>
      </c>
      <c r="E236" s="1" t="s">
        <v>29</v>
      </c>
      <c r="F236" s="3">
        <v>2227</v>
      </c>
      <c r="G236" s="3">
        <v>494</v>
      </c>
      <c r="H236" s="3">
        <v>161</v>
      </c>
      <c r="I236" s="3">
        <v>51651</v>
      </c>
      <c r="J236" s="3">
        <v>68074</v>
      </c>
      <c r="K236" s="3">
        <v>240</v>
      </c>
      <c r="L236" s="1" t="s">
        <v>39</v>
      </c>
      <c r="M236" s="1" t="s">
        <v>18</v>
      </c>
      <c r="N236" s="12">
        <f t="shared" si="3"/>
        <v>5.5797564422760448</v>
      </c>
    </row>
    <row r="237" spans="1:14" hidden="1">
      <c r="A237" s="1" t="s">
        <v>304</v>
      </c>
      <c r="B237" s="1" t="s">
        <v>31</v>
      </c>
      <c r="C237" s="5">
        <v>45808</v>
      </c>
      <c r="D237" s="3" t="s">
        <v>57</v>
      </c>
      <c r="E237" s="1" t="s">
        <v>37</v>
      </c>
      <c r="F237" s="3">
        <v>2162</v>
      </c>
      <c r="G237" s="3">
        <v>318</v>
      </c>
      <c r="H237" s="3">
        <v>83</v>
      </c>
      <c r="I237" s="3">
        <v>46719</v>
      </c>
      <c r="J237" s="3">
        <v>20482</v>
      </c>
      <c r="K237" s="3">
        <v>185</v>
      </c>
      <c r="L237" s="1" t="s">
        <v>58</v>
      </c>
      <c r="M237" s="1" t="s">
        <v>59</v>
      </c>
      <c r="N237" s="12">
        <f t="shared" si="3"/>
        <v>5.4859907104176031</v>
      </c>
    </row>
    <row r="238" spans="1:14" hidden="1">
      <c r="A238" s="1" t="s">
        <v>314</v>
      </c>
      <c r="B238" s="1" t="s">
        <v>14</v>
      </c>
      <c r="C238" s="5">
        <v>45573</v>
      </c>
      <c r="D238" s="3" t="s">
        <v>15</v>
      </c>
      <c r="E238" s="1" t="s">
        <v>20</v>
      </c>
      <c r="F238" s="3">
        <v>2110</v>
      </c>
      <c r="G238" s="3">
        <v>384</v>
      </c>
      <c r="H238" s="3">
        <v>236</v>
      </c>
      <c r="I238" s="3">
        <v>49965</v>
      </c>
      <c r="J238" s="3">
        <v>61555</v>
      </c>
      <c r="K238" s="3">
        <v>195</v>
      </c>
      <c r="L238" s="1" t="s">
        <v>21</v>
      </c>
      <c r="M238" s="1" t="s">
        <v>22</v>
      </c>
      <c r="N238" s="12">
        <f t="shared" si="3"/>
        <v>5.4638246772740917</v>
      </c>
    </row>
    <row r="239" spans="1:14" hidden="1">
      <c r="A239" s="1" t="s">
        <v>171</v>
      </c>
      <c r="B239" s="1" t="s">
        <v>24</v>
      </c>
      <c r="C239" s="5">
        <v>45736</v>
      </c>
      <c r="D239" s="3" t="s">
        <v>15</v>
      </c>
      <c r="E239" s="1" t="s">
        <v>51</v>
      </c>
      <c r="F239" s="3">
        <v>1564</v>
      </c>
      <c r="G239" s="3">
        <v>362</v>
      </c>
      <c r="H239" s="3">
        <v>371</v>
      </c>
      <c r="I239" s="3">
        <v>42075</v>
      </c>
      <c r="J239" s="3">
        <v>66659</v>
      </c>
      <c r="K239" s="3">
        <v>205</v>
      </c>
      <c r="L239" s="1" t="s">
        <v>45</v>
      </c>
      <c r="M239" s="1" t="s">
        <v>22</v>
      </c>
      <c r="N239" s="12">
        <f t="shared" si="3"/>
        <v>5.4592988710635764</v>
      </c>
    </row>
    <row r="240" spans="1:14" hidden="1">
      <c r="A240" s="1" t="s">
        <v>322</v>
      </c>
      <c r="B240" s="1" t="s">
        <v>24</v>
      </c>
      <c r="C240" s="5">
        <v>45343</v>
      </c>
      <c r="D240" s="3" t="s">
        <v>25</v>
      </c>
      <c r="E240" s="1" t="s">
        <v>37</v>
      </c>
      <c r="F240" s="3">
        <v>2604</v>
      </c>
      <c r="G240" s="3">
        <v>439</v>
      </c>
      <c r="H240" s="3">
        <v>148</v>
      </c>
      <c r="I240" s="3">
        <v>58468</v>
      </c>
      <c r="J240" s="3">
        <v>39629</v>
      </c>
      <c r="K240" s="3">
        <v>163</v>
      </c>
      <c r="L240" s="1" t="s">
        <v>27</v>
      </c>
      <c r="M240" s="1" t="s">
        <v>18</v>
      </c>
      <c r="N240" s="12">
        <f t="shared" si="3"/>
        <v>5.4576862557296293</v>
      </c>
    </row>
    <row r="241" spans="1:14" hidden="1">
      <c r="A241" s="1" t="s">
        <v>303</v>
      </c>
      <c r="B241" s="1" t="s">
        <v>31</v>
      </c>
      <c r="C241" s="5">
        <v>45378</v>
      </c>
      <c r="D241" s="3" t="s">
        <v>15</v>
      </c>
      <c r="E241" s="1" t="s">
        <v>32</v>
      </c>
      <c r="F241" s="3">
        <v>2399</v>
      </c>
      <c r="G241" s="3">
        <v>191</v>
      </c>
      <c r="H241" s="3">
        <v>221</v>
      </c>
      <c r="I241" s="3">
        <v>51603</v>
      </c>
      <c r="J241" s="3">
        <v>40033</v>
      </c>
      <c r="K241" s="3">
        <v>173</v>
      </c>
      <c r="L241" s="1" t="s">
        <v>33</v>
      </c>
      <c r="M241" s="1" t="s">
        <v>22</v>
      </c>
      <c r="N241" s="12">
        <f t="shared" si="3"/>
        <v>5.4473577117609437</v>
      </c>
    </row>
    <row r="242" spans="1:14" hidden="1">
      <c r="A242" s="1" t="s">
        <v>46</v>
      </c>
      <c r="B242" s="1" t="s">
        <v>14</v>
      </c>
      <c r="C242" s="5">
        <v>45426</v>
      </c>
      <c r="D242" s="3" t="s">
        <v>15</v>
      </c>
      <c r="E242" s="1" t="s">
        <v>16</v>
      </c>
      <c r="F242" s="3">
        <v>1485</v>
      </c>
      <c r="G242" s="3">
        <v>353</v>
      </c>
      <c r="H242" s="3">
        <v>244</v>
      </c>
      <c r="I242" s="3">
        <v>38419</v>
      </c>
      <c r="J242" s="3">
        <v>38556</v>
      </c>
      <c r="K242" s="3">
        <v>86</v>
      </c>
      <c r="L242" s="1" t="s">
        <v>17</v>
      </c>
      <c r="M242" s="1" t="s">
        <v>18</v>
      </c>
      <c r="N242" s="12">
        <f t="shared" si="3"/>
        <v>5.4191936281527369</v>
      </c>
    </row>
    <row r="243" spans="1:14" hidden="1">
      <c r="A243" s="1" t="s">
        <v>278</v>
      </c>
      <c r="B243" s="1" t="s">
        <v>14</v>
      </c>
      <c r="C243" s="5">
        <v>45823</v>
      </c>
      <c r="D243" s="3" t="s">
        <v>15</v>
      </c>
      <c r="E243" s="1" t="s">
        <v>20</v>
      </c>
      <c r="F243" s="3">
        <v>2478</v>
      </c>
      <c r="G243" s="3">
        <v>427</v>
      </c>
      <c r="H243" s="3">
        <v>242</v>
      </c>
      <c r="I243" s="3">
        <v>59272</v>
      </c>
      <c r="J243" s="3">
        <v>37833</v>
      </c>
      <c r="K243" s="3">
        <v>214</v>
      </c>
      <c r="L243" s="1" t="s">
        <v>17</v>
      </c>
      <c r="M243" s="1" t="s">
        <v>18</v>
      </c>
      <c r="N243" s="12">
        <f t="shared" si="3"/>
        <v>5.3094209744904841</v>
      </c>
    </row>
    <row r="244" spans="1:14" hidden="1">
      <c r="A244" s="1" t="s">
        <v>152</v>
      </c>
      <c r="B244" s="1" t="s">
        <v>14</v>
      </c>
      <c r="C244" s="5">
        <v>45704</v>
      </c>
      <c r="D244" s="3" t="s">
        <v>15</v>
      </c>
      <c r="E244" s="1" t="s">
        <v>51</v>
      </c>
      <c r="F244" s="3">
        <v>1333</v>
      </c>
      <c r="G244" s="3">
        <v>286</v>
      </c>
      <c r="H244" s="3">
        <v>298</v>
      </c>
      <c r="I244" s="3">
        <v>36174</v>
      </c>
      <c r="J244" s="3">
        <v>34517</v>
      </c>
      <c r="K244" s="3">
        <v>170</v>
      </c>
      <c r="L244" s="1" t="s">
        <v>17</v>
      </c>
      <c r="M244" s="1" t="s">
        <v>18</v>
      </c>
      <c r="N244" s="12">
        <f t="shared" si="3"/>
        <v>5.2993862995521646</v>
      </c>
    </row>
    <row r="245" spans="1:14" hidden="1">
      <c r="A245" s="1" t="s">
        <v>265</v>
      </c>
      <c r="B245" s="1" t="s">
        <v>31</v>
      </c>
      <c r="C245" s="5">
        <v>45323</v>
      </c>
      <c r="D245" s="3" t="s">
        <v>15</v>
      </c>
      <c r="E245" s="1" t="s">
        <v>29</v>
      </c>
      <c r="F245" s="3">
        <v>1432</v>
      </c>
      <c r="G245" s="3">
        <v>437</v>
      </c>
      <c r="H245" s="3">
        <v>267</v>
      </c>
      <c r="I245" s="3">
        <v>40634</v>
      </c>
      <c r="J245" s="3">
        <v>54511</v>
      </c>
      <c r="K245" s="3">
        <v>197</v>
      </c>
      <c r="L245" s="1" t="s">
        <v>33</v>
      </c>
      <c r="M245" s="1" t="s">
        <v>22</v>
      </c>
      <c r="N245" s="12">
        <f t="shared" si="3"/>
        <v>5.2566815966924256</v>
      </c>
    </row>
    <row r="246" spans="1:14" hidden="1">
      <c r="A246" s="1" t="s">
        <v>266</v>
      </c>
      <c r="B246" s="1" t="s">
        <v>24</v>
      </c>
      <c r="C246" s="5">
        <v>45308</v>
      </c>
      <c r="D246" s="3" t="s">
        <v>25</v>
      </c>
      <c r="E246" s="1" t="s">
        <v>26</v>
      </c>
      <c r="F246" s="3">
        <v>2174</v>
      </c>
      <c r="G246" s="3">
        <v>499</v>
      </c>
      <c r="H246" s="3">
        <v>212</v>
      </c>
      <c r="I246" s="3">
        <v>54938</v>
      </c>
      <c r="J246" s="3">
        <v>27190</v>
      </c>
      <c r="K246" s="3">
        <v>265</v>
      </c>
      <c r="L246" s="1" t="s">
        <v>27</v>
      </c>
      <c r="M246" s="1" t="s">
        <v>18</v>
      </c>
      <c r="N246" s="12">
        <f t="shared" si="3"/>
        <v>5.2513742764570974</v>
      </c>
    </row>
    <row r="247" spans="1:14" hidden="1">
      <c r="A247" s="1" t="s">
        <v>296</v>
      </c>
      <c r="B247" s="1" t="s">
        <v>24</v>
      </c>
      <c r="C247" s="5">
        <v>45481</v>
      </c>
      <c r="D247" s="3" t="s">
        <v>25</v>
      </c>
      <c r="E247" s="1" t="s">
        <v>29</v>
      </c>
      <c r="F247" s="3">
        <v>2304</v>
      </c>
      <c r="G247" s="3">
        <v>289</v>
      </c>
      <c r="H247" s="3">
        <v>161</v>
      </c>
      <c r="I247" s="3">
        <v>52645</v>
      </c>
      <c r="J247" s="3">
        <v>66262</v>
      </c>
      <c r="K247" s="3">
        <v>146</v>
      </c>
      <c r="L247" s="1" t="s">
        <v>27</v>
      </c>
      <c r="M247" s="1" t="s">
        <v>18</v>
      </c>
      <c r="N247" s="12">
        <f t="shared" si="3"/>
        <v>5.2312660271630733</v>
      </c>
    </row>
    <row r="248" spans="1:14" hidden="1">
      <c r="A248" s="1" t="s">
        <v>113</v>
      </c>
      <c r="B248" s="1" t="s">
        <v>31</v>
      </c>
      <c r="C248" s="5">
        <v>45783</v>
      </c>
      <c r="D248" s="3" t="s">
        <v>57</v>
      </c>
      <c r="E248" s="1" t="s">
        <v>16</v>
      </c>
      <c r="F248" s="3">
        <v>1085</v>
      </c>
      <c r="G248" s="3">
        <v>496</v>
      </c>
      <c r="H248" s="3">
        <v>320</v>
      </c>
      <c r="I248" s="3">
        <v>36528</v>
      </c>
      <c r="J248" s="3">
        <v>38599</v>
      </c>
      <c r="K248" s="3">
        <v>270</v>
      </c>
      <c r="L248" s="1" t="s">
        <v>58</v>
      </c>
      <c r="M248" s="1" t="s">
        <v>59</v>
      </c>
      <c r="N248" s="12">
        <f t="shared" si="3"/>
        <v>5.2042268944371441</v>
      </c>
    </row>
    <row r="249" spans="1:14" hidden="1">
      <c r="A249" s="1" t="s">
        <v>256</v>
      </c>
      <c r="B249" s="1" t="s">
        <v>24</v>
      </c>
      <c r="C249" s="5">
        <v>45669</v>
      </c>
      <c r="D249" s="3" t="s">
        <v>15</v>
      </c>
      <c r="E249" s="1" t="s">
        <v>32</v>
      </c>
      <c r="F249" s="3">
        <v>1765</v>
      </c>
      <c r="G249" s="3">
        <v>285</v>
      </c>
      <c r="H249" s="3">
        <v>100</v>
      </c>
      <c r="I249" s="3">
        <v>41313</v>
      </c>
      <c r="J249" s="3">
        <v>56575</v>
      </c>
      <c r="K249" s="3">
        <v>174</v>
      </c>
      <c r="L249" s="1" t="s">
        <v>45</v>
      </c>
      <c r="M249" s="1" t="s">
        <v>22</v>
      </c>
      <c r="N249" s="12">
        <f t="shared" si="3"/>
        <v>5.2041730205988426</v>
      </c>
    </row>
    <row r="250" spans="1:14" hidden="1">
      <c r="A250" s="1" t="s">
        <v>312</v>
      </c>
      <c r="B250" s="1" t="s">
        <v>24</v>
      </c>
      <c r="C250" s="5">
        <v>45603</v>
      </c>
      <c r="D250" s="3" t="s">
        <v>15</v>
      </c>
      <c r="E250" s="1" t="s">
        <v>20</v>
      </c>
      <c r="F250" s="3">
        <v>2229</v>
      </c>
      <c r="G250" s="3">
        <v>395</v>
      </c>
      <c r="H250" s="3">
        <v>328</v>
      </c>
      <c r="I250" s="3">
        <v>56921</v>
      </c>
      <c r="J250" s="3">
        <v>37176</v>
      </c>
      <c r="K250" s="3">
        <v>126</v>
      </c>
      <c r="L250" s="1" t="s">
        <v>45</v>
      </c>
      <c r="M250" s="1" t="s">
        <v>22</v>
      </c>
      <c r="N250" s="12">
        <f t="shared" si="3"/>
        <v>5.1861351697967359</v>
      </c>
    </row>
    <row r="251" spans="1:14" hidden="1">
      <c r="A251" s="1" t="s">
        <v>236</v>
      </c>
      <c r="B251" s="1" t="s">
        <v>14</v>
      </c>
      <c r="C251" s="5">
        <v>45669</v>
      </c>
      <c r="D251" s="3" t="s">
        <v>15</v>
      </c>
      <c r="E251" s="1" t="s">
        <v>49</v>
      </c>
      <c r="F251" s="3">
        <v>1771</v>
      </c>
      <c r="G251" s="3">
        <v>487</v>
      </c>
      <c r="H251" s="3">
        <v>272</v>
      </c>
      <c r="I251" s="3">
        <v>48810</v>
      </c>
      <c r="J251" s="3">
        <v>48084</v>
      </c>
      <c r="K251" s="3">
        <v>272</v>
      </c>
      <c r="L251" s="1" t="s">
        <v>17</v>
      </c>
      <c r="M251" s="1" t="s">
        <v>18</v>
      </c>
      <c r="N251" s="12">
        <f t="shared" si="3"/>
        <v>5.1833640647408314</v>
      </c>
    </row>
    <row r="252" spans="1:14" hidden="1">
      <c r="A252" s="1" t="s">
        <v>66</v>
      </c>
      <c r="B252" s="1" t="s">
        <v>24</v>
      </c>
      <c r="C252" s="5">
        <v>45791</v>
      </c>
      <c r="D252" s="3" t="s">
        <v>25</v>
      </c>
      <c r="E252" s="1" t="s">
        <v>49</v>
      </c>
      <c r="F252" s="3">
        <v>2707</v>
      </c>
      <c r="G252" s="3">
        <v>103</v>
      </c>
      <c r="H252" s="3">
        <v>51</v>
      </c>
      <c r="I252" s="3">
        <v>55302</v>
      </c>
      <c r="J252" s="3">
        <v>18801</v>
      </c>
      <c r="K252" s="3">
        <v>147</v>
      </c>
      <c r="L252" s="1" t="s">
        <v>39</v>
      </c>
      <c r="M252" s="1" t="s">
        <v>18</v>
      </c>
      <c r="N252" s="12">
        <f t="shared" si="3"/>
        <v>5.1734114498571477</v>
      </c>
    </row>
    <row r="253" spans="1:14" hidden="1">
      <c r="A253" s="1" t="s">
        <v>115</v>
      </c>
      <c r="B253" s="1" t="s">
        <v>24</v>
      </c>
      <c r="C253" s="5">
        <v>45313</v>
      </c>
      <c r="D253" s="3" t="s">
        <v>25</v>
      </c>
      <c r="E253" s="1" t="s">
        <v>49</v>
      </c>
      <c r="F253" s="3">
        <v>1554</v>
      </c>
      <c r="G253" s="3">
        <v>455</v>
      </c>
      <c r="H253" s="3">
        <v>158</v>
      </c>
      <c r="I253" s="3">
        <v>41947</v>
      </c>
      <c r="J253" s="3">
        <v>48578</v>
      </c>
      <c r="K253" s="3">
        <v>101</v>
      </c>
      <c r="L253" s="1" t="s">
        <v>17</v>
      </c>
      <c r="M253" s="1" t="s">
        <v>18</v>
      </c>
      <c r="N253" s="12">
        <f t="shared" si="3"/>
        <v>5.1660428636136073</v>
      </c>
    </row>
    <row r="254" spans="1:14" hidden="1">
      <c r="A254" s="1" t="s">
        <v>154</v>
      </c>
      <c r="B254" s="1" t="s">
        <v>24</v>
      </c>
      <c r="C254" s="5">
        <v>45489</v>
      </c>
      <c r="D254" s="3" t="s">
        <v>15</v>
      </c>
      <c r="E254" s="1" t="s">
        <v>41</v>
      </c>
      <c r="F254" s="3">
        <v>1803</v>
      </c>
      <c r="G254" s="3">
        <v>273</v>
      </c>
      <c r="H254" s="3">
        <v>287</v>
      </c>
      <c r="I254" s="3">
        <v>46176</v>
      </c>
      <c r="J254" s="3">
        <v>25488</v>
      </c>
      <c r="K254" s="3">
        <v>141</v>
      </c>
      <c r="L254" s="1" t="s">
        <v>42</v>
      </c>
      <c r="M254" s="1" t="s">
        <v>18</v>
      </c>
      <c r="N254" s="12">
        <f t="shared" si="3"/>
        <v>5.1173769923769923</v>
      </c>
    </row>
    <row r="255" spans="1:14" hidden="1">
      <c r="A255" s="1" t="s">
        <v>293</v>
      </c>
      <c r="B255" s="1" t="s">
        <v>31</v>
      </c>
      <c r="C255" s="5">
        <v>45512</v>
      </c>
      <c r="D255" s="3" t="s">
        <v>15</v>
      </c>
      <c r="E255" s="1" t="s">
        <v>49</v>
      </c>
      <c r="F255" s="3">
        <v>1994</v>
      </c>
      <c r="G255" s="3">
        <v>197</v>
      </c>
      <c r="H255" s="3">
        <v>290</v>
      </c>
      <c r="I255" s="3">
        <v>49500</v>
      </c>
      <c r="J255" s="3">
        <v>23343</v>
      </c>
      <c r="K255" s="3">
        <v>160</v>
      </c>
      <c r="L255" s="1" t="s">
        <v>33</v>
      </c>
      <c r="M255" s="1" t="s">
        <v>22</v>
      </c>
      <c r="N255" s="12">
        <f t="shared" si="3"/>
        <v>5.0121212121212118</v>
      </c>
    </row>
    <row r="256" spans="1:14" hidden="1">
      <c r="A256" s="1" t="s">
        <v>200</v>
      </c>
      <c r="B256" s="1" t="s">
        <v>31</v>
      </c>
      <c r="C256" s="5">
        <v>45330</v>
      </c>
      <c r="D256" s="3" t="s">
        <v>57</v>
      </c>
      <c r="E256" s="1" t="s">
        <v>41</v>
      </c>
      <c r="F256" s="3">
        <v>1889</v>
      </c>
      <c r="G256" s="3">
        <v>298</v>
      </c>
      <c r="H256" s="3">
        <v>122</v>
      </c>
      <c r="I256" s="3">
        <v>46225</v>
      </c>
      <c r="J256" s="3">
        <v>74305</v>
      </c>
      <c r="K256" s="3">
        <v>293</v>
      </c>
      <c r="L256" s="1" t="s">
        <v>58</v>
      </c>
      <c r="M256" s="1" t="s">
        <v>59</v>
      </c>
      <c r="N256" s="12">
        <f t="shared" si="3"/>
        <v>4.9951325040562464</v>
      </c>
    </row>
    <row r="257" spans="1:14" hidden="1">
      <c r="A257" s="1" t="s">
        <v>156</v>
      </c>
      <c r="B257" s="1" t="s">
        <v>14</v>
      </c>
      <c r="C257" s="5">
        <v>45781</v>
      </c>
      <c r="D257" s="3" t="s">
        <v>25</v>
      </c>
      <c r="E257" s="1" t="s">
        <v>26</v>
      </c>
      <c r="F257" s="3">
        <v>1311</v>
      </c>
      <c r="G257" s="3">
        <v>181</v>
      </c>
      <c r="H257" s="3">
        <v>361</v>
      </c>
      <c r="I257" s="3">
        <v>37148</v>
      </c>
      <c r="J257" s="3">
        <v>44875</v>
      </c>
      <c r="K257" s="3">
        <v>245</v>
      </c>
      <c r="L257" s="1" t="s">
        <v>42</v>
      </c>
      <c r="M257" s="1" t="s">
        <v>55</v>
      </c>
      <c r="N257" s="12">
        <f t="shared" si="3"/>
        <v>4.9881554861634543</v>
      </c>
    </row>
    <row r="258" spans="1:14" hidden="1">
      <c r="A258" s="1" t="s">
        <v>270</v>
      </c>
      <c r="B258" s="1" t="s">
        <v>31</v>
      </c>
      <c r="C258" s="5">
        <v>45791</v>
      </c>
      <c r="D258" s="3" t="s">
        <v>15</v>
      </c>
      <c r="E258" s="1" t="s">
        <v>16</v>
      </c>
      <c r="F258" s="3">
        <v>1701</v>
      </c>
      <c r="G258" s="3">
        <v>272</v>
      </c>
      <c r="H258" s="3">
        <v>385</v>
      </c>
      <c r="I258" s="3">
        <v>47496</v>
      </c>
      <c r="J258" s="3">
        <v>40832</v>
      </c>
      <c r="K258" s="3">
        <v>246</v>
      </c>
      <c r="L258" s="1" t="s">
        <v>33</v>
      </c>
      <c r="M258" s="1" t="s">
        <v>22</v>
      </c>
      <c r="N258" s="12">
        <f t="shared" ref="N258:N301" si="4">((F258+G258+H258)/I258)*100</f>
        <v>4.9646286003031834</v>
      </c>
    </row>
    <row r="259" spans="1:14" hidden="1">
      <c r="A259" s="1" t="s">
        <v>281</v>
      </c>
      <c r="B259" s="1" t="s">
        <v>24</v>
      </c>
      <c r="C259" s="5">
        <v>45550</v>
      </c>
      <c r="D259" s="3" t="s">
        <v>15</v>
      </c>
      <c r="E259" s="1" t="s">
        <v>37</v>
      </c>
      <c r="F259" s="3">
        <v>2145</v>
      </c>
      <c r="G259" s="3">
        <v>340</v>
      </c>
      <c r="H259" s="3">
        <v>85</v>
      </c>
      <c r="I259" s="3">
        <v>53323</v>
      </c>
      <c r="J259" s="3">
        <v>49938</v>
      </c>
      <c r="K259" s="3">
        <v>104</v>
      </c>
      <c r="L259" s="1" t="s">
        <v>42</v>
      </c>
      <c r="M259" s="1" t="s">
        <v>18</v>
      </c>
      <c r="N259" s="12">
        <f t="shared" si="4"/>
        <v>4.8196838137389122</v>
      </c>
    </row>
    <row r="260" spans="1:14" hidden="1">
      <c r="A260" s="1" t="s">
        <v>95</v>
      </c>
      <c r="B260" s="1" t="s">
        <v>24</v>
      </c>
      <c r="C260" s="5">
        <v>45420</v>
      </c>
      <c r="D260" s="3" t="s">
        <v>15</v>
      </c>
      <c r="E260" s="1" t="s">
        <v>20</v>
      </c>
      <c r="F260" s="3">
        <v>1828</v>
      </c>
      <c r="G260" s="3">
        <v>450</v>
      </c>
      <c r="H260" s="3">
        <v>214</v>
      </c>
      <c r="I260" s="3">
        <v>52115</v>
      </c>
      <c r="J260" s="3">
        <v>19166</v>
      </c>
      <c r="K260" s="3">
        <v>190</v>
      </c>
      <c r="L260" s="1" t="s">
        <v>42</v>
      </c>
      <c r="M260" s="1" t="s">
        <v>18</v>
      </c>
      <c r="N260" s="12">
        <f t="shared" si="4"/>
        <v>4.7817327065144388</v>
      </c>
    </row>
    <row r="261" spans="1:14" hidden="1">
      <c r="A261" s="1" t="s">
        <v>173</v>
      </c>
      <c r="B261" s="1" t="s">
        <v>31</v>
      </c>
      <c r="C261" s="5">
        <v>45318</v>
      </c>
      <c r="D261" s="3" t="s">
        <v>15</v>
      </c>
      <c r="E261" s="1" t="s">
        <v>51</v>
      </c>
      <c r="F261" s="3">
        <v>1976</v>
      </c>
      <c r="G261" s="3">
        <v>262</v>
      </c>
      <c r="H261" s="3">
        <v>218</v>
      </c>
      <c r="I261" s="3">
        <v>51696</v>
      </c>
      <c r="J261" s="3">
        <v>44846</v>
      </c>
      <c r="K261" s="3">
        <v>139</v>
      </c>
      <c r="L261" s="1" t="s">
        <v>33</v>
      </c>
      <c r="M261" s="1" t="s">
        <v>22</v>
      </c>
      <c r="N261" s="12">
        <f t="shared" si="4"/>
        <v>4.7508511296812133</v>
      </c>
    </row>
    <row r="262" spans="1:14" hidden="1">
      <c r="A262" s="1" t="s">
        <v>53</v>
      </c>
      <c r="B262" s="1" t="s">
        <v>24</v>
      </c>
      <c r="C262" s="5">
        <v>45453</v>
      </c>
      <c r="D262" s="3" t="s">
        <v>15</v>
      </c>
      <c r="E262" s="1" t="s">
        <v>35</v>
      </c>
      <c r="F262" s="3">
        <v>1514</v>
      </c>
      <c r="G262" s="3">
        <v>164</v>
      </c>
      <c r="H262" s="3">
        <v>275</v>
      </c>
      <c r="I262" s="3">
        <v>41364</v>
      </c>
      <c r="J262" s="3">
        <v>44389</v>
      </c>
      <c r="K262" s="3">
        <v>83</v>
      </c>
      <c r="L262" s="1" t="s">
        <v>42</v>
      </c>
      <c r="M262" s="1" t="s">
        <v>18</v>
      </c>
      <c r="N262" s="12">
        <f t="shared" si="4"/>
        <v>4.7214969538729328</v>
      </c>
    </row>
    <row r="263" spans="1:14" hidden="1">
      <c r="A263" s="1" t="s">
        <v>160</v>
      </c>
      <c r="B263" s="1" t="s">
        <v>14</v>
      </c>
      <c r="C263" s="5">
        <v>45674</v>
      </c>
      <c r="D263" s="3" t="s">
        <v>15</v>
      </c>
      <c r="E263" s="1" t="s">
        <v>41</v>
      </c>
      <c r="F263" s="3">
        <v>2266</v>
      </c>
      <c r="G263" s="3">
        <v>126</v>
      </c>
      <c r="H263" s="3">
        <v>140</v>
      </c>
      <c r="I263" s="3">
        <v>53759</v>
      </c>
      <c r="J263" s="3">
        <v>46834</v>
      </c>
      <c r="K263" s="3">
        <v>277</v>
      </c>
      <c r="L263" s="1" t="s">
        <v>21</v>
      </c>
      <c r="M263" s="1" t="s">
        <v>22</v>
      </c>
      <c r="N263" s="12">
        <f t="shared" si="4"/>
        <v>4.7099090384865789</v>
      </c>
    </row>
    <row r="264" spans="1:14" hidden="1">
      <c r="A264" s="1" t="s">
        <v>109</v>
      </c>
      <c r="B264" s="1" t="s">
        <v>24</v>
      </c>
      <c r="C264" s="5">
        <v>45643</v>
      </c>
      <c r="D264" s="3" t="s">
        <v>25</v>
      </c>
      <c r="E264" s="1" t="s">
        <v>32</v>
      </c>
      <c r="F264" s="3">
        <v>1316</v>
      </c>
      <c r="G264" s="3">
        <v>472</v>
      </c>
      <c r="H264" s="3">
        <v>286</v>
      </c>
      <c r="I264" s="3">
        <v>44692</v>
      </c>
      <c r="J264" s="3">
        <v>53343</v>
      </c>
      <c r="K264" s="3">
        <v>227</v>
      </c>
      <c r="L264" s="1" t="s">
        <v>39</v>
      </c>
      <c r="M264" s="1" t="s">
        <v>18</v>
      </c>
      <c r="N264" s="12">
        <f t="shared" si="4"/>
        <v>4.6406515707509168</v>
      </c>
    </row>
    <row r="265" spans="1:14" hidden="1">
      <c r="A265" s="1" t="s">
        <v>259</v>
      </c>
      <c r="B265" s="1" t="s">
        <v>24</v>
      </c>
      <c r="C265" s="5">
        <v>45332</v>
      </c>
      <c r="D265" s="3" t="s">
        <v>15</v>
      </c>
      <c r="E265" s="1" t="s">
        <v>49</v>
      </c>
      <c r="F265" s="3">
        <v>1519</v>
      </c>
      <c r="G265" s="3">
        <v>456</v>
      </c>
      <c r="H265" s="3">
        <v>379</v>
      </c>
      <c r="I265" s="3">
        <v>51611</v>
      </c>
      <c r="J265" s="3">
        <v>45880</v>
      </c>
      <c r="K265" s="3">
        <v>176</v>
      </c>
      <c r="L265" s="1" t="s">
        <v>45</v>
      </c>
      <c r="M265" s="1" t="s">
        <v>22</v>
      </c>
      <c r="N265" s="12">
        <f t="shared" si="4"/>
        <v>4.5610431884675746</v>
      </c>
    </row>
    <row r="266" spans="1:14" hidden="1">
      <c r="A266" s="1" t="s">
        <v>240</v>
      </c>
      <c r="B266" s="1" t="s">
        <v>24</v>
      </c>
      <c r="C266" s="5">
        <v>45369</v>
      </c>
      <c r="D266" s="3" t="s">
        <v>15</v>
      </c>
      <c r="E266" s="1" t="s">
        <v>26</v>
      </c>
      <c r="F266" s="3">
        <v>2033</v>
      </c>
      <c r="G266" s="3">
        <v>420</v>
      </c>
      <c r="H266" s="3">
        <v>94</v>
      </c>
      <c r="I266" s="3">
        <v>56290</v>
      </c>
      <c r="J266" s="3">
        <v>57391</v>
      </c>
      <c r="K266" s="3">
        <v>196</v>
      </c>
      <c r="L266" s="1" t="s">
        <v>42</v>
      </c>
      <c r="M266" s="1" t="s">
        <v>18</v>
      </c>
      <c r="N266" s="12">
        <f t="shared" si="4"/>
        <v>4.5247823769763729</v>
      </c>
    </row>
    <row r="267" spans="1:14" hidden="1">
      <c r="A267" s="1" t="s">
        <v>333</v>
      </c>
      <c r="B267" s="1" t="s">
        <v>31</v>
      </c>
      <c r="C267" s="5">
        <v>45765</v>
      </c>
      <c r="D267" s="3" t="s">
        <v>57</v>
      </c>
      <c r="E267" s="1" t="s">
        <v>51</v>
      </c>
      <c r="F267" s="3">
        <v>1265</v>
      </c>
      <c r="G267" s="3">
        <v>230</v>
      </c>
      <c r="H267" s="3">
        <v>364</v>
      </c>
      <c r="I267" s="3">
        <v>41312</v>
      </c>
      <c r="J267" s="3">
        <v>50382</v>
      </c>
      <c r="K267" s="3">
        <v>106</v>
      </c>
      <c r="L267" s="1" t="s">
        <v>58</v>
      </c>
      <c r="M267" s="1" t="s">
        <v>59</v>
      </c>
      <c r="N267" s="12">
        <f t="shared" si="4"/>
        <v>4.4999031758326877</v>
      </c>
    </row>
    <row r="268" spans="1:14" hidden="1">
      <c r="A268" s="1" t="s">
        <v>126</v>
      </c>
      <c r="B268" s="1" t="s">
        <v>24</v>
      </c>
      <c r="C268" s="5">
        <v>45791</v>
      </c>
      <c r="D268" s="3" t="s">
        <v>25</v>
      </c>
      <c r="E268" s="1" t="s">
        <v>29</v>
      </c>
      <c r="F268" s="3">
        <v>1371</v>
      </c>
      <c r="G268" s="3">
        <v>139</v>
      </c>
      <c r="H268" s="3">
        <v>96</v>
      </c>
      <c r="I268" s="3">
        <v>36140</v>
      </c>
      <c r="J268" s="3">
        <v>39395</v>
      </c>
      <c r="K268" s="3">
        <v>169</v>
      </c>
      <c r="L268" s="1" t="s">
        <v>17</v>
      </c>
      <c r="M268" s="1" t="s">
        <v>18</v>
      </c>
      <c r="N268" s="12">
        <f t="shared" si="4"/>
        <v>4.4438295517432209</v>
      </c>
    </row>
    <row r="269" spans="1:14" hidden="1">
      <c r="A269" s="1" t="s">
        <v>74</v>
      </c>
      <c r="B269" s="1" t="s">
        <v>14</v>
      </c>
      <c r="C269" s="5">
        <v>45666</v>
      </c>
      <c r="D269" s="3" t="s">
        <v>15</v>
      </c>
      <c r="E269" s="1" t="s">
        <v>26</v>
      </c>
      <c r="F269" s="3">
        <v>1015</v>
      </c>
      <c r="G269" s="3">
        <v>366</v>
      </c>
      <c r="H269" s="3">
        <v>308</v>
      </c>
      <c r="I269" s="3">
        <v>38127</v>
      </c>
      <c r="J269" s="3">
        <v>63790</v>
      </c>
      <c r="K269" s="3">
        <v>287</v>
      </c>
      <c r="L269" s="1" t="s">
        <v>17</v>
      </c>
      <c r="M269" s="1" t="s">
        <v>18</v>
      </c>
      <c r="N269" s="12">
        <f t="shared" si="4"/>
        <v>4.4299315445747114</v>
      </c>
    </row>
    <row r="270" spans="1:14" hidden="1">
      <c r="A270" s="1" t="s">
        <v>291</v>
      </c>
      <c r="B270" s="1" t="s">
        <v>24</v>
      </c>
      <c r="C270" s="5">
        <v>45480</v>
      </c>
      <c r="D270" s="3" t="s">
        <v>15</v>
      </c>
      <c r="E270" s="1" t="s">
        <v>35</v>
      </c>
      <c r="F270" s="3">
        <v>1848</v>
      </c>
      <c r="G270" s="3">
        <v>417</v>
      </c>
      <c r="H270" s="3">
        <v>294</v>
      </c>
      <c r="I270" s="3">
        <v>57819</v>
      </c>
      <c r="J270" s="3">
        <v>19798</v>
      </c>
      <c r="K270" s="3">
        <v>262</v>
      </c>
      <c r="L270" s="1" t="s">
        <v>45</v>
      </c>
      <c r="M270" s="1" t="s">
        <v>22</v>
      </c>
      <c r="N270" s="12">
        <f t="shared" si="4"/>
        <v>4.4258807658382189</v>
      </c>
    </row>
    <row r="271" spans="1:14" hidden="1">
      <c r="A271" s="1" t="s">
        <v>102</v>
      </c>
      <c r="B271" s="1" t="s">
        <v>24</v>
      </c>
      <c r="C271" s="5">
        <v>45599</v>
      </c>
      <c r="D271" s="3" t="s">
        <v>25</v>
      </c>
      <c r="E271" s="1" t="s">
        <v>29</v>
      </c>
      <c r="F271" s="3">
        <v>1959</v>
      </c>
      <c r="G271" s="3">
        <v>316</v>
      </c>
      <c r="H271" s="3">
        <v>82</v>
      </c>
      <c r="I271" s="3">
        <v>54036</v>
      </c>
      <c r="J271" s="3">
        <v>69015</v>
      </c>
      <c r="K271" s="3">
        <v>182</v>
      </c>
      <c r="L271" s="1" t="s">
        <v>27</v>
      </c>
      <c r="M271" s="1" t="s">
        <v>18</v>
      </c>
      <c r="N271" s="12">
        <f t="shared" si="4"/>
        <v>4.3619068768968834</v>
      </c>
    </row>
    <row r="272" spans="1:14" hidden="1">
      <c r="A272" s="1" t="s">
        <v>61</v>
      </c>
      <c r="B272" s="1" t="s">
        <v>14</v>
      </c>
      <c r="C272" s="5">
        <v>45603</v>
      </c>
      <c r="D272" s="3" t="s">
        <v>25</v>
      </c>
      <c r="E272" s="1" t="s">
        <v>29</v>
      </c>
      <c r="F272" s="3">
        <v>1678</v>
      </c>
      <c r="G272" s="3">
        <v>423</v>
      </c>
      <c r="H272" s="3">
        <v>323</v>
      </c>
      <c r="I272" s="3">
        <v>55668</v>
      </c>
      <c r="J272" s="3">
        <v>37945</v>
      </c>
      <c r="K272" s="3">
        <v>230</v>
      </c>
      <c r="L272" s="1" t="s">
        <v>42</v>
      </c>
      <c r="M272" s="1" t="s">
        <v>55</v>
      </c>
      <c r="N272" s="12">
        <f t="shared" si="4"/>
        <v>4.3543867212761374</v>
      </c>
    </row>
    <row r="273" spans="1:14" hidden="1">
      <c r="A273" s="1" t="s">
        <v>221</v>
      </c>
      <c r="B273" s="1" t="s">
        <v>24</v>
      </c>
      <c r="C273" s="5">
        <v>45370</v>
      </c>
      <c r="D273" s="3" t="s">
        <v>15</v>
      </c>
      <c r="E273" s="1" t="s">
        <v>49</v>
      </c>
      <c r="F273" s="3">
        <v>2191</v>
      </c>
      <c r="G273" s="3">
        <v>288</v>
      </c>
      <c r="H273" s="3">
        <v>83</v>
      </c>
      <c r="I273" s="3">
        <v>59606</v>
      </c>
      <c r="J273" s="3">
        <v>24765</v>
      </c>
      <c r="K273" s="3">
        <v>281</v>
      </c>
      <c r="L273" s="1" t="s">
        <v>45</v>
      </c>
      <c r="M273" s="1" t="s">
        <v>22</v>
      </c>
      <c r="N273" s="12">
        <f t="shared" si="4"/>
        <v>4.2982250109049422</v>
      </c>
    </row>
    <row r="274" spans="1:14" hidden="1">
      <c r="A274" s="1" t="s">
        <v>158</v>
      </c>
      <c r="B274" s="1" t="s">
        <v>24</v>
      </c>
      <c r="C274" s="5">
        <v>45428</v>
      </c>
      <c r="D274" s="3" t="s">
        <v>25</v>
      </c>
      <c r="E274" s="1" t="s">
        <v>32</v>
      </c>
      <c r="F274" s="3">
        <v>2023</v>
      </c>
      <c r="G274" s="3">
        <v>124</v>
      </c>
      <c r="H274" s="3">
        <v>99</v>
      </c>
      <c r="I274" s="3">
        <v>54524</v>
      </c>
      <c r="J274" s="3">
        <v>34790</v>
      </c>
      <c r="K274" s="3">
        <v>195</v>
      </c>
      <c r="L274" s="1" t="s">
        <v>39</v>
      </c>
      <c r="M274" s="1" t="s">
        <v>18</v>
      </c>
      <c r="N274" s="12">
        <f t="shared" si="4"/>
        <v>4.119286919521679</v>
      </c>
    </row>
    <row r="275" spans="1:14" hidden="1">
      <c r="A275" s="1" t="s">
        <v>114</v>
      </c>
      <c r="B275" s="1" t="s">
        <v>24</v>
      </c>
      <c r="C275" s="5">
        <v>45431</v>
      </c>
      <c r="D275" s="3" t="s">
        <v>25</v>
      </c>
      <c r="E275" s="1" t="s">
        <v>37</v>
      </c>
      <c r="F275" s="3">
        <v>1763</v>
      </c>
      <c r="G275" s="3">
        <v>206</v>
      </c>
      <c r="H275" s="3">
        <v>187</v>
      </c>
      <c r="I275" s="3">
        <v>53342</v>
      </c>
      <c r="J275" s="3">
        <v>25095</v>
      </c>
      <c r="K275" s="3">
        <v>88</v>
      </c>
      <c r="L275" s="1" t="s">
        <v>39</v>
      </c>
      <c r="M275" s="1" t="s">
        <v>18</v>
      </c>
      <c r="N275" s="12">
        <f t="shared" si="4"/>
        <v>4.0418432004799225</v>
      </c>
    </row>
    <row r="276" spans="1:14" hidden="1">
      <c r="A276" s="1" t="s">
        <v>252</v>
      </c>
      <c r="B276" s="1" t="s">
        <v>24</v>
      </c>
      <c r="C276" s="5">
        <v>45827</v>
      </c>
      <c r="D276" s="3" t="s">
        <v>25</v>
      </c>
      <c r="E276" s="1" t="s">
        <v>35</v>
      </c>
      <c r="F276" s="3">
        <v>1433</v>
      </c>
      <c r="G276" s="3">
        <v>452</v>
      </c>
      <c r="H276" s="3">
        <v>305</v>
      </c>
      <c r="I276" s="3">
        <v>54541</v>
      </c>
      <c r="J276" s="3">
        <v>63700</v>
      </c>
      <c r="K276" s="3">
        <v>296</v>
      </c>
      <c r="L276" s="1" t="s">
        <v>39</v>
      </c>
      <c r="M276" s="1" t="s">
        <v>18</v>
      </c>
      <c r="N276" s="12">
        <f t="shared" si="4"/>
        <v>4.0153279184466735</v>
      </c>
    </row>
    <row r="277" spans="1:14" hidden="1">
      <c r="A277" s="1" t="s">
        <v>84</v>
      </c>
      <c r="B277" s="1" t="s">
        <v>14</v>
      </c>
      <c r="C277" s="5">
        <v>45541</v>
      </c>
      <c r="D277" s="3" t="s">
        <v>15</v>
      </c>
      <c r="E277" s="1" t="s">
        <v>26</v>
      </c>
      <c r="F277" s="3">
        <v>1452</v>
      </c>
      <c r="G277" s="3">
        <v>281</v>
      </c>
      <c r="H277" s="3">
        <v>326</v>
      </c>
      <c r="I277" s="3">
        <v>51556</v>
      </c>
      <c r="J277" s="3">
        <v>62599</v>
      </c>
      <c r="K277" s="3">
        <v>290</v>
      </c>
      <c r="L277" s="1" t="s">
        <v>21</v>
      </c>
      <c r="M277" s="1" t="s">
        <v>22</v>
      </c>
      <c r="N277" s="12">
        <f t="shared" si="4"/>
        <v>3.9937155714174879</v>
      </c>
    </row>
    <row r="278" spans="1:14" hidden="1">
      <c r="A278" s="1" t="s">
        <v>79</v>
      </c>
      <c r="B278" s="1" t="s">
        <v>14</v>
      </c>
      <c r="C278" s="5">
        <v>45621</v>
      </c>
      <c r="D278" s="3" t="s">
        <v>15</v>
      </c>
      <c r="E278" s="1" t="s">
        <v>49</v>
      </c>
      <c r="F278" s="3">
        <v>1341</v>
      </c>
      <c r="G278" s="3">
        <v>472</v>
      </c>
      <c r="H278" s="3">
        <v>238</v>
      </c>
      <c r="I278" s="3">
        <v>51386</v>
      </c>
      <c r="J278" s="3">
        <v>51706</v>
      </c>
      <c r="K278" s="3">
        <v>133</v>
      </c>
      <c r="L278" s="1" t="s">
        <v>21</v>
      </c>
      <c r="M278" s="1" t="s">
        <v>22</v>
      </c>
      <c r="N278" s="12">
        <f t="shared" si="4"/>
        <v>3.9913595142645857</v>
      </c>
    </row>
    <row r="279" spans="1:14" hidden="1">
      <c r="A279" s="1" t="s">
        <v>153</v>
      </c>
      <c r="B279" s="1" t="s">
        <v>14</v>
      </c>
      <c r="C279" s="5">
        <v>45544</v>
      </c>
      <c r="D279" s="3" t="s">
        <v>15</v>
      </c>
      <c r="E279" s="1" t="s">
        <v>26</v>
      </c>
      <c r="F279" s="3">
        <v>1616</v>
      </c>
      <c r="G279" s="3">
        <v>360</v>
      </c>
      <c r="H279" s="3">
        <v>180</v>
      </c>
      <c r="I279" s="3">
        <v>54342</v>
      </c>
      <c r="J279" s="3">
        <v>18796</v>
      </c>
      <c r="K279" s="3">
        <v>282</v>
      </c>
      <c r="L279" s="1" t="s">
        <v>17</v>
      </c>
      <c r="M279" s="1" t="s">
        <v>18</v>
      </c>
      <c r="N279" s="12">
        <f t="shared" si="4"/>
        <v>3.967465312281476</v>
      </c>
    </row>
    <row r="280" spans="1:14" hidden="1">
      <c r="A280" s="1" t="s">
        <v>248</v>
      </c>
      <c r="B280" s="1" t="s">
        <v>24</v>
      </c>
      <c r="C280" s="5">
        <v>45754</v>
      </c>
      <c r="D280" s="3" t="s">
        <v>15</v>
      </c>
      <c r="E280" s="1" t="s">
        <v>49</v>
      </c>
      <c r="F280" s="3">
        <v>1403</v>
      </c>
      <c r="G280" s="3">
        <v>385</v>
      </c>
      <c r="H280" s="3">
        <v>344</v>
      </c>
      <c r="I280" s="3">
        <v>54223</v>
      </c>
      <c r="J280" s="3">
        <v>72595</v>
      </c>
      <c r="K280" s="3">
        <v>239</v>
      </c>
      <c r="L280" s="1" t="s">
        <v>45</v>
      </c>
      <c r="M280" s="1" t="s">
        <v>22</v>
      </c>
      <c r="N280" s="12">
        <f t="shared" si="4"/>
        <v>3.9319108127547353</v>
      </c>
    </row>
    <row r="281" spans="1:14" hidden="1">
      <c r="A281" s="1" t="s">
        <v>78</v>
      </c>
      <c r="B281" s="1" t="s">
        <v>14</v>
      </c>
      <c r="C281" s="5">
        <v>45545</v>
      </c>
      <c r="D281" s="3" t="s">
        <v>25</v>
      </c>
      <c r="E281" s="1" t="s">
        <v>26</v>
      </c>
      <c r="F281" s="3">
        <v>1230</v>
      </c>
      <c r="G281" s="3">
        <v>309</v>
      </c>
      <c r="H281" s="3">
        <v>207</v>
      </c>
      <c r="I281" s="3">
        <v>44629</v>
      </c>
      <c r="J281" s="3">
        <v>40699</v>
      </c>
      <c r="K281" s="3">
        <v>195</v>
      </c>
      <c r="L281" s="1" t="s">
        <v>42</v>
      </c>
      <c r="M281" s="1" t="s">
        <v>55</v>
      </c>
      <c r="N281" s="12">
        <f t="shared" si="4"/>
        <v>3.9122543637545095</v>
      </c>
    </row>
    <row r="282" spans="1:14" hidden="1">
      <c r="A282" s="1" t="s">
        <v>196</v>
      </c>
      <c r="B282" s="1" t="s">
        <v>31</v>
      </c>
      <c r="C282" s="5">
        <v>45538</v>
      </c>
      <c r="D282" s="3" t="s">
        <v>57</v>
      </c>
      <c r="E282" s="1" t="s">
        <v>35</v>
      </c>
      <c r="F282" s="3">
        <v>1437</v>
      </c>
      <c r="G282" s="3">
        <v>494</v>
      </c>
      <c r="H282" s="3">
        <v>129</v>
      </c>
      <c r="I282" s="3">
        <v>53048</v>
      </c>
      <c r="J282" s="3">
        <v>44090</v>
      </c>
      <c r="K282" s="3">
        <v>230</v>
      </c>
      <c r="L282" s="1" t="s">
        <v>58</v>
      </c>
      <c r="M282" s="1" t="s">
        <v>59</v>
      </c>
      <c r="N282" s="12">
        <f t="shared" si="4"/>
        <v>3.8832755240536874</v>
      </c>
    </row>
    <row r="283" spans="1:14" hidden="1">
      <c r="A283" s="1" t="s">
        <v>103</v>
      </c>
      <c r="B283" s="1" t="s">
        <v>24</v>
      </c>
      <c r="C283" s="5">
        <v>45480</v>
      </c>
      <c r="D283" s="3" t="s">
        <v>15</v>
      </c>
      <c r="E283" s="1" t="s">
        <v>26</v>
      </c>
      <c r="F283" s="3">
        <v>1035</v>
      </c>
      <c r="G283" s="3">
        <v>137</v>
      </c>
      <c r="H283" s="3">
        <v>184</v>
      </c>
      <c r="I283" s="3">
        <v>37302</v>
      </c>
      <c r="J283" s="3">
        <v>68953</v>
      </c>
      <c r="K283" s="3">
        <v>237</v>
      </c>
      <c r="L283" s="1" t="s">
        <v>45</v>
      </c>
      <c r="M283" s="1" t="s">
        <v>22</v>
      </c>
      <c r="N283" s="12">
        <f t="shared" si="4"/>
        <v>3.6351938233874859</v>
      </c>
    </row>
    <row r="284" spans="1:14" hidden="1">
      <c r="A284" s="1" t="s">
        <v>162</v>
      </c>
      <c r="B284" s="1" t="s">
        <v>24</v>
      </c>
      <c r="C284" s="5">
        <v>45346</v>
      </c>
      <c r="D284" s="3" t="s">
        <v>25</v>
      </c>
      <c r="E284" s="1" t="s">
        <v>32</v>
      </c>
      <c r="F284" s="3">
        <v>1022</v>
      </c>
      <c r="G284" s="3">
        <v>463</v>
      </c>
      <c r="H284" s="3">
        <v>360</v>
      </c>
      <c r="I284" s="3">
        <v>51468</v>
      </c>
      <c r="J284" s="3">
        <v>24279</v>
      </c>
      <c r="K284" s="3">
        <v>230</v>
      </c>
      <c r="L284" s="1" t="s">
        <v>39</v>
      </c>
      <c r="M284" s="1" t="s">
        <v>18</v>
      </c>
      <c r="N284" s="12">
        <f t="shared" si="4"/>
        <v>3.5847516903707159</v>
      </c>
    </row>
    <row r="285" spans="1:14" hidden="1">
      <c r="A285" s="1" t="s">
        <v>237</v>
      </c>
      <c r="B285" s="1" t="s">
        <v>31</v>
      </c>
      <c r="C285" s="5">
        <v>45634</v>
      </c>
      <c r="D285" s="3" t="s">
        <v>15</v>
      </c>
      <c r="E285" s="1" t="s">
        <v>41</v>
      </c>
      <c r="F285" s="3">
        <v>1424</v>
      </c>
      <c r="G285" s="3">
        <v>396</v>
      </c>
      <c r="H285" s="3">
        <v>312</v>
      </c>
      <c r="I285" s="3">
        <v>59517</v>
      </c>
      <c r="J285" s="3">
        <v>46102</v>
      </c>
      <c r="K285" s="3">
        <v>239</v>
      </c>
      <c r="L285" s="1" t="s">
        <v>33</v>
      </c>
      <c r="M285" s="1" t="s">
        <v>22</v>
      </c>
      <c r="N285" s="12">
        <f t="shared" si="4"/>
        <v>3.5821698002251456</v>
      </c>
    </row>
    <row r="286" spans="1:14" hidden="1">
      <c r="A286" s="1" t="s">
        <v>105</v>
      </c>
      <c r="B286" s="1" t="s">
        <v>31</v>
      </c>
      <c r="C286" s="5">
        <v>45438</v>
      </c>
      <c r="D286" s="3" t="s">
        <v>15</v>
      </c>
      <c r="E286" s="1" t="s">
        <v>49</v>
      </c>
      <c r="F286" s="3">
        <v>1488</v>
      </c>
      <c r="G286" s="3">
        <v>327</v>
      </c>
      <c r="H286" s="3">
        <v>110</v>
      </c>
      <c r="I286" s="3">
        <v>53805</v>
      </c>
      <c r="J286" s="3">
        <v>30239</v>
      </c>
      <c r="K286" s="3">
        <v>109</v>
      </c>
      <c r="L286" s="1" t="s">
        <v>33</v>
      </c>
      <c r="M286" s="1" t="s">
        <v>22</v>
      </c>
      <c r="N286" s="12">
        <f t="shared" si="4"/>
        <v>3.5777344113000655</v>
      </c>
    </row>
    <row r="287" spans="1:14" hidden="1">
      <c r="A287" s="1" t="s">
        <v>204</v>
      </c>
      <c r="B287" s="1" t="s">
        <v>14</v>
      </c>
      <c r="C287" s="5">
        <v>45835</v>
      </c>
      <c r="D287" s="3" t="s">
        <v>25</v>
      </c>
      <c r="E287" s="1" t="s">
        <v>35</v>
      </c>
      <c r="F287" s="3">
        <v>1342</v>
      </c>
      <c r="G287" s="3">
        <v>332</v>
      </c>
      <c r="H287" s="3">
        <v>163</v>
      </c>
      <c r="I287" s="3">
        <v>51712</v>
      </c>
      <c r="J287" s="3">
        <v>57922</v>
      </c>
      <c r="K287" s="3">
        <v>168</v>
      </c>
      <c r="L287" s="1" t="s">
        <v>42</v>
      </c>
      <c r="M287" s="1" t="s">
        <v>55</v>
      </c>
      <c r="N287" s="12">
        <f t="shared" si="4"/>
        <v>3.5523669554455446</v>
      </c>
    </row>
    <row r="288" spans="1:14" hidden="1">
      <c r="A288" s="1" t="s">
        <v>238</v>
      </c>
      <c r="B288" s="1" t="s">
        <v>24</v>
      </c>
      <c r="C288" s="5">
        <v>45689</v>
      </c>
      <c r="D288" s="3" t="s">
        <v>25</v>
      </c>
      <c r="E288" s="1" t="s">
        <v>41</v>
      </c>
      <c r="F288" s="3">
        <v>1079</v>
      </c>
      <c r="G288" s="3">
        <v>265</v>
      </c>
      <c r="H288" s="3">
        <v>190</v>
      </c>
      <c r="I288" s="3">
        <v>43786</v>
      </c>
      <c r="J288" s="3">
        <v>72428</v>
      </c>
      <c r="K288" s="3">
        <v>222</v>
      </c>
      <c r="L288" s="1" t="s">
        <v>17</v>
      </c>
      <c r="M288" s="1" t="s">
        <v>18</v>
      </c>
      <c r="N288" s="12">
        <f t="shared" si="4"/>
        <v>3.5034029141734799</v>
      </c>
    </row>
    <row r="289" spans="1:16" hidden="1">
      <c r="A289" s="1" t="s">
        <v>157</v>
      </c>
      <c r="B289" s="1" t="s">
        <v>14</v>
      </c>
      <c r="C289" s="5">
        <v>45340</v>
      </c>
      <c r="D289" s="3" t="s">
        <v>25</v>
      </c>
      <c r="E289" s="1" t="s">
        <v>49</v>
      </c>
      <c r="F289" s="3">
        <v>1516</v>
      </c>
      <c r="G289" s="3">
        <v>215</v>
      </c>
      <c r="H289" s="3">
        <v>332</v>
      </c>
      <c r="I289" s="3">
        <v>58981</v>
      </c>
      <c r="J289" s="3">
        <v>36118</v>
      </c>
      <c r="K289" s="3">
        <v>211</v>
      </c>
      <c r="L289" s="1" t="s">
        <v>42</v>
      </c>
      <c r="M289" s="1" t="s">
        <v>55</v>
      </c>
      <c r="N289" s="12">
        <f t="shared" si="4"/>
        <v>3.4977365592309386</v>
      </c>
    </row>
    <row r="290" spans="1:16" hidden="1">
      <c r="A290" s="1" t="s">
        <v>167</v>
      </c>
      <c r="B290" s="1" t="s">
        <v>24</v>
      </c>
      <c r="C290" s="5">
        <v>45319</v>
      </c>
      <c r="D290" s="3" t="s">
        <v>15</v>
      </c>
      <c r="E290" s="1" t="s">
        <v>32</v>
      </c>
      <c r="F290" s="3">
        <v>1456</v>
      </c>
      <c r="G290" s="3">
        <v>265</v>
      </c>
      <c r="H290" s="3">
        <v>137</v>
      </c>
      <c r="I290" s="3">
        <v>53485</v>
      </c>
      <c r="J290" s="3">
        <v>59729</v>
      </c>
      <c r="K290" s="3">
        <v>145</v>
      </c>
      <c r="L290" s="1" t="s">
        <v>45</v>
      </c>
      <c r="M290" s="1" t="s">
        <v>22</v>
      </c>
      <c r="N290" s="12">
        <f t="shared" si="4"/>
        <v>3.4738711788351875</v>
      </c>
    </row>
    <row r="291" spans="1:16" hidden="1">
      <c r="A291" s="1" t="s">
        <v>325</v>
      </c>
      <c r="B291" s="1" t="s">
        <v>31</v>
      </c>
      <c r="C291" s="5">
        <v>45686</v>
      </c>
      <c r="D291" s="3" t="s">
        <v>15</v>
      </c>
      <c r="E291" s="1" t="s">
        <v>26</v>
      </c>
      <c r="F291" s="3">
        <v>1334</v>
      </c>
      <c r="G291" s="3">
        <v>357</v>
      </c>
      <c r="H291" s="3">
        <v>257</v>
      </c>
      <c r="I291" s="3">
        <v>56910</v>
      </c>
      <c r="J291" s="3">
        <v>70606</v>
      </c>
      <c r="K291" s="3">
        <v>228</v>
      </c>
      <c r="L291" s="1" t="s">
        <v>33</v>
      </c>
      <c r="M291" s="1" t="s">
        <v>22</v>
      </c>
      <c r="N291" s="12">
        <f t="shared" si="4"/>
        <v>3.4229485151994381</v>
      </c>
    </row>
    <row r="292" spans="1:16" hidden="1">
      <c r="A292" s="1" t="s">
        <v>250</v>
      </c>
      <c r="B292" s="1" t="s">
        <v>24</v>
      </c>
      <c r="C292" s="5">
        <v>45780</v>
      </c>
      <c r="D292" s="3" t="s">
        <v>25</v>
      </c>
      <c r="E292" s="1" t="s">
        <v>41</v>
      </c>
      <c r="F292" s="3">
        <v>1010</v>
      </c>
      <c r="G292" s="3">
        <v>361</v>
      </c>
      <c r="H292" s="3">
        <v>240</v>
      </c>
      <c r="I292" s="3">
        <v>47229</v>
      </c>
      <c r="J292" s="3">
        <v>72573</v>
      </c>
      <c r="K292" s="3">
        <v>275</v>
      </c>
      <c r="L292" s="1" t="s">
        <v>17</v>
      </c>
      <c r="M292" s="1" t="s">
        <v>18</v>
      </c>
      <c r="N292" s="12">
        <f t="shared" si="4"/>
        <v>3.4110398272247981</v>
      </c>
    </row>
    <row r="293" spans="1:16" hidden="1">
      <c r="A293" s="1" t="s">
        <v>298</v>
      </c>
      <c r="B293" s="1" t="s">
        <v>31</v>
      </c>
      <c r="C293" s="5">
        <v>45736</v>
      </c>
      <c r="D293" s="3" t="s">
        <v>57</v>
      </c>
      <c r="E293" s="1" t="s">
        <v>49</v>
      </c>
      <c r="F293" s="3">
        <v>1453</v>
      </c>
      <c r="G293" s="3">
        <v>156</v>
      </c>
      <c r="H293" s="3">
        <v>178</v>
      </c>
      <c r="I293" s="3">
        <v>52980</v>
      </c>
      <c r="J293" s="3">
        <v>57180</v>
      </c>
      <c r="K293" s="3">
        <v>286</v>
      </c>
      <c r="L293" s="1" t="s">
        <v>58</v>
      </c>
      <c r="M293" s="1" t="s">
        <v>59</v>
      </c>
      <c r="N293" s="12">
        <f t="shared" si="4"/>
        <v>3.3729709324273314</v>
      </c>
    </row>
    <row r="294" spans="1:16" hidden="1">
      <c r="A294" s="1" t="s">
        <v>310</v>
      </c>
      <c r="B294" s="1" t="s">
        <v>24</v>
      </c>
      <c r="C294" s="5">
        <v>45609</v>
      </c>
      <c r="D294" s="3" t="s">
        <v>25</v>
      </c>
      <c r="E294" s="1" t="s">
        <v>26</v>
      </c>
      <c r="F294" s="3">
        <v>1409</v>
      </c>
      <c r="G294" s="3">
        <v>466</v>
      </c>
      <c r="H294" s="3">
        <v>105</v>
      </c>
      <c r="I294" s="3">
        <v>58923</v>
      </c>
      <c r="J294" s="3">
        <v>38753</v>
      </c>
      <c r="K294" s="3">
        <v>265</v>
      </c>
      <c r="L294" s="1" t="s">
        <v>39</v>
      </c>
      <c r="M294" s="1" t="s">
        <v>18</v>
      </c>
      <c r="N294" s="12">
        <f t="shared" si="4"/>
        <v>3.3603177027646249</v>
      </c>
    </row>
    <row r="295" spans="1:16" hidden="1">
      <c r="A295" s="1" t="s">
        <v>334</v>
      </c>
      <c r="B295" s="1" t="s">
        <v>14</v>
      </c>
      <c r="C295" s="5">
        <v>45653</v>
      </c>
      <c r="D295" s="3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  <c r="N295" s="12">
        <f t="shared" si="4"/>
        <v>3.2211735740664751</v>
      </c>
    </row>
    <row r="296" spans="1:16" hidden="1">
      <c r="A296" s="1" t="s">
        <v>268</v>
      </c>
      <c r="B296" s="1" t="s">
        <v>31</v>
      </c>
      <c r="C296" s="5">
        <v>45442</v>
      </c>
      <c r="D296" s="3" t="s">
        <v>57</v>
      </c>
      <c r="E296" s="1" t="s">
        <v>35</v>
      </c>
      <c r="F296" s="3">
        <v>1060</v>
      </c>
      <c r="G296" s="3">
        <v>442</v>
      </c>
      <c r="H296" s="3">
        <v>319</v>
      </c>
      <c r="I296" s="3">
        <v>57194</v>
      </c>
      <c r="J296" s="3">
        <v>24258</v>
      </c>
      <c r="K296" s="3">
        <v>101</v>
      </c>
      <c r="L296" s="1" t="s">
        <v>58</v>
      </c>
      <c r="M296" s="1" t="s">
        <v>59</v>
      </c>
      <c r="N296" s="12">
        <f t="shared" si="4"/>
        <v>3.1839004091338254</v>
      </c>
    </row>
    <row r="297" spans="1:16" hidden="1">
      <c r="A297" s="1" t="s">
        <v>251</v>
      </c>
      <c r="B297" s="1" t="s">
        <v>24</v>
      </c>
      <c r="C297" s="5">
        <v>45396</v>
      </c>
      <c r="D297" s="3" t="s">
        <v>25</v>
      </c>
      <c r="E297" s="1" t="s">
        <v>16</v>
      </c>
      <c r="F297" s="3">
        <v>1295</v>
      </c>
      <c r="G297" s="3">
        <v>153</v>
      </c>
      <c r="H297" s="3">
        <v>81</v>
      </c>
      <c r="I297" s="3">
        <v>48350</v>
      </c>
      <c r="J297" s="3">
        <v>61033</v>
      </c>
      <c r="K297" s="3">
        <v>232</v>
      </c>
      <c r="L297" s="1" t="s">
        <v>39</v>
      </c>
      <c r="M297" s="1" t="s">
        <v>18</v>
      </c>
      <c r="N297" s="12">
        <f t="shared" si="4"/>
        <v>3.1623578076525334</v>
      </c>
    </row>
    <row r="298" spans="1:16" hidden="1">
      <c r="A298" s="1" t="s">
        <v>263</v>
      </c>
      <c r="B298" s="1" t="s">
        <v>24</v>
      </c>
      <c r="C298" s="5">
        <v>45462</v>
      </c>
      <c r="D298" s="3" t="s">
        <v>15</v>
      </c>
      <c r="E298" s="1" t="s">
        <v>35</v>
      </c>
      <c r="F298" s="3">
        <v>1224</v>
      </c>
      <c r="G298" s="3">
        <v>168</v>
      </c>
      <c r="H298" s="3">
        <v>199</v>
      </c>
      <c r="I298" s="3">
        <v>54232</v>
      </c>
      <c r="J298" s="3">
        <v>52844</v>
      </c>
      <c r="K298" s="3">
        <v>271</v>
      </c>
      <c r="L298" s="1" t="s">
        <v>45</v>
      </c>
      <c r="M298" s="1" t="s">
        <v>22</v>
      </c>
      <c r="N298" s="12">
        <f t="shared" si="4"/>
        <v>2.9336922849977873</v>
      </c>
    </row>
    <row r="299" spans="1:16" hidden="1">
      <c r="A299" s="1" t="s">
        <v>170</v>
      </c>
      <c r="B299" s="1" t="s">
        <v>31</v>
      </c>
      <c r="C299" s="5">
        <v>45301</v>
      </c>
      <c r="D299" s="3" t="s">
        <v>15</v>
      </c>
      <c r="E299" s="1" t="s">
        <v>20</v>
      </c>
      <c r="F299" s="3">
        <v>1261</v>
      </c>
      <c r="G299" s="3">
        <v>190</v>
      </c>
      <c r="H299" s="3">
        <v>233</v>
      </c>
      <c r="I299" s="3">
        <v>59888</v>
      </c>
      <c r="J299" s="3">
        <v>51449</v>
      </c>
      <c r="K299" s="3">
        <v>205</v>
      </c>
      <c r="L299" s="1" t="s">
        <v>33</v>
      </c>
      <c r="M299" s="1" t="s">
        <v>22</v>
      </c>
      <c r="N299" s="12">
        <f t="shared" si="4"/>
        <v>2.8119155757413838</v>
      </c>
    </row>
    <row r="300" spans="1:16" hidden="1">
      <c r="A300" s="1" t="s">
        <v>178</v>
      </c>
      <c r="B300" s="1" t="s">
        <v>24</v>
      </c>
      <c r="C300" s="5">
        <v>45624</v>
      </c>
      <c r="D300" s="3" t="s">
        <v>25</v>
      </c>
      <c r="E300" s="1" t="s">
        <v>26</v>
      </c>
      <c r="F300" s="3">
        <v>1131</v>
      </c>
      <c r="G300" s="3">
        <v>100</v>
      </c>
      <c r="H300" s="3">
        <v>116</v>
      </c>
      <c r="I300" s="3">
        <v>48437</v>
      </c>
      <c r="J300" s="3">
        <v>72704</v>
      </c>
      <c r="K300" s="3">
        <v>236</v>
      </c>
      <c r="L300" s="1" t="s">
        <v>39</v>
      </c>
      <c r="M300" s="1" t="s">
        <v>18</v>
      </c>
      <c r="N300" s="12">
        <f t="shared" si="4"/>
        <v>2.7809319322005903</v>
      </c>
    </row>
    <row r="301" spans="1:16" hidden="1">
      <c r="A301" s="1" t="s">
        <v>99</v>
      </c>
      <c r="B301" s="1" t="s">
        <v>31</v>
      </c>
      <c r="C301" s="5">
        <v>45514</v>
      </c>
      <c r="D301" s="3" t="s">
        <v>15</v>
      </c>
      <c r="E301" s="1" t="s">
        <v>49</v>
      </c>
      <c r="F301" s="3">
        <v>1105</v>
      </c>
      <c r="G301" s="3">
        <v>181</v>
      </c>
      <c r="H301" s="3">
        <v>55</v>
      </c>
      <c r="I301" s="3">
        <v>53581</v>
      </c>
      <c r="J301" s="3">
        <v>74048</v>
      </c>
      <c r="K301" s="3">
        <v>220</v>
      </c>
      <c r="L301" s="1" t="s">
        <v>33</v>
      </c>
      <c r="M301" s="1" t="s">
        <v>22</v>
      </c>
      <c r="N301" s="12">
        <f t="shared" si="4"/>
        <v>2.5027528414923199</v>
      </c>
    </row>
    <row r="302" spans="1:16">
      <c r="P302" s="65"/>
    </row>
    <row r="304" spans="1:16">
      <c r="J304"/>
    </row>
    <row r="305" spans="1:10">
      <c r="J305"/>
    </row>
    <row r="306" spans="1:10">
      <c r="H306"/>
      <c r="I306"/>
      <c r="J306"/>
    </row>
    <row r="307" spans="1:10">
      <c r="H307"/>
      <c r="I307"/>
      <c r="J307"/>
    </row>
    <row r="308" spans="1:10">
      <c r="H308"/>
      <c r="I308"/>
      <c r="J308"/>
    </row>
    <row r="309" spans="1:10">
      <c r="H309"/>
      <c r="I309"/>
      <c r="J309"/>
    </row>
    <row r="310" spans="1:10">
      <c r="A310" s="8" t="s">
        <v>374</v>
      </c>
      <c r="B310" s="4" t="s">
        <v>388</v>
      </c>
      <c r="C310" s="4" t="s">
        <v>389</v>
      </c>
      <c r="D310" s="4" t="s">
        <v>390</v>
      </c>
      <c r="H310"/>
      <c r="I310"/>
      <c r="J310"/>
    </row>
    <row r="311" spans="1:10">
      <c r="A311" s="9" t="s">
        <v>14</v>
      </c>
      <c r="B311">
        <v>251473</v>
      </c>
      <c r="C311">
        <v>29285</v>
      </c>
      <c r="D311" s="4">
        <v>20818</v>
      </c>
      <c r="H311"/>
      <c r="I311"/>
      <c r="J311"/>
    </row>
    <row r="312" spans="1:10">
      <c r="A312" s="11" t="s">
        <v>25</v>
      </c>
      <c r="B312">
        <v>61815</v>
      </c>
      <c r="C312">
        <v>7993</v>
      </c>
      <c r="D312" s="4">
        <v>5656</v>
      </c>
      <c r="H312"/>
      <c r="I312"/>
      <c r="J312"/>
    </row>
    <row r="313" spans="1:10">
      <c r="A313" s="11" t="s">
        <v>15</v>
      </c>
      <c r="B313">
        <v>189658</v>
      </c>
      <c r="C313">
        <v>21292</v>
      </c>
      <c r="D313" s="4">
        <v>15162</v>
      </c>
      <c r="H313"/>
      <c r="I313"/>
      <c r="J313"/>
    </row>
    <row r="314" spans="1:10">
      <c r="A314" s="9" t="s">
        <v>24</v>
      </c>
      <c r="B314">
        <v>450295</v>
      </c>
      <c r="C314">
        <v>45498</v>
      </c>
      <c r="D314" s="4">
        <v>31577</v>
      </c>
      <c r="H314"/>
      <c r="I314"/>
      <c r="J314"/>
    </row>
    <row r="315" spans="1:10">
      <c r="A315" s="11" t="s">
        <v>25</v>
      </c>
      <c r="B315">
        <v>272103</v>
      </c>
      <c r="C315">
        <v>26494</v>
      </c>
      <c r="D315" s="4">
        <v>18442</v>
      </c>
      <c r="H315"/>
      <c r="I315"/>
      <c r="J315"/>
    </row>
    <row r="316" spans="1:10">
      <c r="A316" s="11" t="s">
        <v>15</v>
      </c>
      <c r="B316">
        <v>178192</v>
      </c>
      <c r="C316">
        <v>19004</v>
      </c>
      <c r="D316" s="4">
        <v>13135</v>
      </c>
    </row>
    <row r="317" spans="1:10">
      <c r="A317" s="9" t="s">
        <v>31</v>
      </c>
      <c r="B317">
        <v>195407</v>
      </c>
      <c r="C317">
        <v>18618</v>
      </c>
      <c r="D317" s="4">
        <v>14671</v>
      </c>
    </row>
    <row r="318" spans="1:10">
      <c r="A318" s="11" t="s">
        <v>57</v>
      </c>
      <c r="B318">
        <v>89871</v>
      </c>
      <c r="C318">
        <v>9086</v>
      </c>
      <c r="D318" s="4">
        <v>6826</v>
      </c>
    </row>
    <row r="319" spans="1:10">
      <c r="A319" s="11" t="s">
        <v>15</v>
      </c>
      <c r="B319">
        <v>105536</v>
      </c>
      <c r="C319">
        <v>9532</v>
      </c>
      <c r="D319" s="4">
        <v>7845</v>
      </c>
    </row>
    <row r="322" spans="1:10">
      <c r="H322"/>
      <c r="I322"/>
      <c r="J322"/>
    </row>
    <row r="327" spans="1:10">
      <c r="C327"/>
    </row>
    <row r="328" spans="1:10">
      <c r="C328"/>
    </row>
    <row r="329" spans="1:10" ht="18">
      <c r="A329" s="66" t="s">
        <v>374</v>
      </c>
      <c r="B329" s="52" t="s">
        <v>392</v>
      </c>
      <c r="C329"/>
    </row>
    <row r="330" spans="1:10" ht="18">
      <c r="A330" s="67" t="s">
        <v>380</v>
      </c>
      <c r="B330" s="68">
        <v>208.47058823529412</v>
      </c>
    </row>
    <row r="331" spans="1:10" ht="18">
      <c r="A331" s="67" t="s">
        <v>21</v>
      </c>
      <c r="B331" s="68">
        <v>197.16923076923078</v>
      </c>
    </row>
    <row r="332" spans="1:10" ht="18">
      <c r="A332" s="67" t="s">
        <v>45</v>
      </c>
      <c r="B332" s="68">
        <v>192.45871559633028</v>
      </c>
    </row>
    <row r="333" spans="1:10" ht="18">
      <c r="A333" s="67" t="s">
        <v>42</v>
      </c>
      <c r="B333" s="68">
        <v>186.72027972027973</v>
      </c>
    </row>
    <row r="334" spans="1:10" ht="18">
      <c r="A334" s="67" t="s">
        <v>379</v>
      </c>
      <c r="B334" s="68">
        <v>183.47761194029852</v>
      </c>
    </row>
    <row r="341" spans="1:3">
      <c r="A341" s="10" t="s">
        <v>374</v>
      </c>
      <c r="B341" t="s">
        <v>392</v>
      </c>
      <c r="C341" s="48" t="s">
        <v>393</v>
      </c>
    </row>
    <row r="342" spans="1:3">
      <c r="A342" s="9" t="s">
        <v>380</v>
      </c>
      <c r="B342" s="17">
        <v>208.47058823529412</v>
      </c>
      <c r="C342" s="47">
        <f>_xlfn.RANK.EQ(B342,$A$342:$B$346,0)</f>
        <v>1</v>
      </c>
    </row>
    <row r="343" spans="1:3">
      <c r="A343" s="9" t="s">
        <v>21</v>
      </c>
      <c r="B343" s="17">
        <v>197.16923076923078</v>
      </c>
      <c r="C343" s="47">
        <f>_xlfn.RANK.EQ(B343,$A$342:$B$346,0)</f>
        <v>2</v>
      </c>
    </row>
    <row r="344" spans="1:3">
      <c r="A344" s="9" t="s">
        <v>45</v>
      </c>
      <c r="B344" s="17">
        <v>192.45871559633028</v>
      </c>
      <c r="C344" s="47">
        <f>_xlfn.RANK.EQ(B344,$A$342:$B$346,0)</f>
        <v>3</v>
      </c>
    </row>
    <row r="345" spans="1:3">
      <c r="A345" s="9" t="s">
        <v>42</v>
      </c>
      <c r="B345" s="17">
        <v>186.72027972027973</v>
      </c>
      <c r="C345" s="47">
        <f>_xlfn.RANK.EQ(B345,$A$342:$B$346,0)</f>
        <v>4</v>
      </c>
    </row>
    <row r="346" spans="1:3">
      <c r="A346" s="9" t="s">
        <v>379</v>
      </c>
      <c r="B346" s="17">
        <v>183.47761194029852</v>
      </c>
      <c r="C346" s="47">
        <f>_xlfn.RANK.EQ(B346,$A$342:$B$346,0)</f>
        <v>5</v>
      </c>
    </row>
  </sheetData>
  <pageMargins left="0.7" right="0.7" top="0.75" bottom="0.75" header="0.3" footer="0.3"/>
  <pageSetup orientation="portrait" r:id="rId4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B0C4-484F-41E6-B1E1-E255A2B6B78A}">
  <dimension ref="A1:O84"/>
  <sheetViews>
    <sheetView showGridLines="0" tabSelected="1" showWhiteSpace="0" topLeftCell="A27" zoomScale="70" zoomScaleNormal="70" workbookViewId="0">
      <selection activeCell="K72" sqref="K72"/>
    </sheetView>
  </sheetViews>
  <sheetFormatPr defaultRowHeight="14.4"/>
  <cols>
    <col min="1" max="1" width="36.6640625" customWidth="1"/>
    <col min="2" max="2" width="22.33203125" customWidth="1"/>
    <col min="3" max="3" width="8.88671875" customWidth="1"/>
    <col min="4" max="4" width="16.77734375" customWidth="1"/>
    <col min="5" max="5" width="10.109375" customWidth="1"/>
    <col min="6" max="6" width="19.21875" customWidth="1"/>
    <col min="7" max="7" width="51.5546875" customWidth="1"/>
    <col min="8" max="8" width="48.77734375" customWidth="1"/>
    <col min="9" max="9" width="14.6640625" customWidth="1"/>
    <col min="10" max="10" width="18.6640625" customWidth="1"/>
    <col min="11" max="11" width="27.33203125" customWidth="1"/>
    <col min="12" max="12" width="13.44140625" customWidth="1"/>
    <col min="13" max="13" width="12" bestFit="1" customWidth="1"/>
    <col min="14" max="14" width="17.6640625" bestFit="1" customWidth="1"/>
    <col min="15" max="15" width="255.6640625" hidden="1" customWidth="1"/>
    <col min="16" max="16" width="34.88671875" customWidth="1"/>
    <col min="18" max="18" width="13.109375" customWidth="1"/>
    <col min="19" max="19" width="16.6640625" bestFit="1" customWidth="1"/>
    <col min="20" max="20" width="27.5546875" bestFit="1" customWidth="1"/>
    <col min="21" max="21" width="15.88671875" customWidth="1"/>
    <col min="22" max="22" width="26.44140625" customWidth="1"/>
    <col min="23" max="23" width="23.44140625" customWidth="1"/>
  </cols>
  <sheetData>
    <row r="1" spans="1:13">
      <c r="M1" s="13"/>
    </row>
    <row r="5" spans="1:13" ht="15.75" customHeight="1">
      <c r="A5" s="8" t="s">
        <v>374</v>
      </c>
      <c r="B5" t="s">
        <v>388</v>
      </c>
      <c r="C5" t="s">
        <v>389</v>
      </c>
      <c r="D5" t="s">
        <v>390</v>
      </c>
      <c r="E5" t="s">
        <v>382</v>
      </c>
    </row>
    <row r="6" spans="1:13">
      <c r="A6" s="9" t="s">
        <v>24</v>
      </c>
      <c r="B6">
        <v>450295</v>
      </c>
      <c r="C6">
        <v>45498</v>
      </c>
      <c r="D6">
        <v>31577</v>
      </c>
      <c r="E6" s="12">
        <v>1421.3121741986558</v>
      </c>
    </row>
    <row r="7" spans="1:13">
      <c r="A7" s="9" t="s">
        <v>14</v>
      </c>
      <c r="B7">
        <v>251473</v>
      </c>
      <c r="C7">
        <v>29285</v>
      </c>
      <c r="D7">
        <v>20818</v>
      </c>
      <c r="E7" s="12">
        <v>808.07399075835349</v>
      </c>
    </row>
    <row r="8" spans="1:13">
      <c r="A8" s="9" t="s">
        <v>31</v>
      </c>
      <c r="B8">
        <v>195407</v>
      </c>
      <c r="C8">
        <v>18618</v>
      </c>
      <c r="D8">
        <v>14671</v>
      </c>
      <c r="E8" s="12">
        <v>555.08114685009491</v>
      </c>
    </row>
    <row r="9" spans="1:13">
      <c r="A9" s="9" t="s">
        <v>375</v>
      </c>
      <c r="B9">
        <v>897175</v>
      </c>
      <c r="C9">
        <v>93401</v>
      </c>
      <c r="D9">
        <v>67066</v>
      </c>
      <c r="E9" s="12">
        <v>2784.4673118071041</v>
      </c>
    </row>
    <row r="10" spans="1:13">
      <c r="I10" s="4"/>
      <c r="J10" s="4"/>
      <c r="K10" s="4"/>
    </row>
    <row r="11" spans="1:13">
      <c r="I11" s="9"/>
    </row>
    <row r="12" spans="1:13">
      <c r="I12" s="9"/>
    </row>
    <row r="13" spans="1:13">
      <c r="I13" s="9"/>
    </row>
    <row r="15" spans="1:13">
      <c r="M15" s="13"/>
    </row>
    <row r="16" spans="1:13">
      <c r="A16" s="10" t="s">
        <v>377</v>
      </c>
      <c r="B16" s="10" t="s">
        <v>376</v>
      </c>
      <c r="C16" s="4"/>
      <c r="D16" s="4"/>
    </row>
    <row r="17" spans="1:14">
      <c r="A17" s="10" t="s">
        <v>374</v>
      </c>
      <c r="B17" s="4" t="s">
        <v>14</v>
      </c>
      <c r="C17" s="4" t="s">
        <v>24</v>
      </c>
      <c r="D17" s="4" t="s">
        <v>31</v>
      </c>
    </row>
    <row r="18" spans="1:14">
      <c r="A18" s="6">
        <v>45446</v>
      </c>
      <c r="B18" s="4">
        <v>1334</v>
      </c>
      <c r="C18" s="4">
        <v>909</v>
      </c>
      <c r="D18" s="4">
        <v>1176</v>
      </c>
    </row>
    <row r="19" spans="1:14">
      <c r="A19" s="6">
        <v>45453</v>
      </c>
      <c r="B19" s="4">
        <v>928</v>
      </c>
      <c r="C19" s="4">
        <v>1397</v>
      </c>
      <c r="D19" s="4">
        <v>452</v>
      </c>
    </row>
    <row r="20" spans="1:14">
      <c r="A20" s="6">
        <v>45460</v>
      </c>
      <c r="B20" s="4">
        <v>590</v>
      </c>
      <c r="C20" s="4">
        <v>1283</v>
      </c>
      <c r="D20" s="4">
        <v>1302</v>
      </c>
    </row>
    <row r="21" spans="1:14">
      <c r="A21" s="6">
        <v>45467</v>
      </c>
      <c r="B21" s="4">
        <v>612</v>
      </c>
      <c r="C21" s="4">
        <v>1121</v>
      </c>
      <c r="D21" s="4">
        <v>700</v>
      </c>
    </row>
    <row r="22" spans="1:14">
      <c r="A22" s="6">
        <v>45474</v>
      </c>
      <c r="B22" s="4">
        <v>714</v>
      </c>
      <c r="C22" s="4">
        <v>595</v>
      </c>
      <c r="D22" s="4">
        <v>1117</v>
      </c>
    </row>
    <row r="23" spans="1:14">
      <c r="A23" s="6">
        <v>45481</v>
      </c>
      <c r="B23" s="4">
        <v>667</v>
      </c>
      <c r="C23" s="4">
        <v>1371</v>
      </c>
      <c r="D23" s="4">
        <v>1117</v>
      </c>
    </row>
    <row r="24" spans="1:14">
      <c r="A24" s="6">
        <v>45488</v>
      </c>
      <c r="B24" s="4">
        <v>359</v>
      </c>
      <c r="C24" s="4">
        <v>1098</v>
      </c>
      <c r="D24" s="4">
        <v>912</v>
      </c>
    </row>
    <row r="25" spans="1:14">
      <c r="A25" s="6">
        <v>45495</v>
      </c>
      <c r="B25" s="4">
        <v>792</v>
      </c>
      <c r="C25" s="4">
        <v>364</v>
      </c>
      <c r="D25" s="4">
        <v>1125</v>
      </c>
    </row>
    <row r="26" spans="1:14">
      <c r="A26" s="6">
        <v>45502</v>
      </c>
      <c r="B26" s="4">
        <v>869</v>
      </c>
      <c r="C26" s="4">
        <v>414</v>
      </c>
      <c r="D26" s="4">
        <v>849</v>
      </c>
    </row>
    <row r="27" spans="1:14">
      <c r="A27" s="6">
        <v>45509</v>
      </c>
      <c r="B27" s="4">
        <v>1353</v>
      </c>
      <c r="C27" s="4">
        <v>582</v>
      </c>
      <c r="D27" s="4">
        <v>758</v>
      </c>
    </row>
    <row r="28" spans="1:14">
      <c r="A28" s="6">
        <v>45516</v>
      </c>
      <c r="B28" s="4">
        <v>977</v>
      </c>
      <c r="C28" s="4">
        <v>1191</v>
      </c>
      <c r="D28" s="4">
        <v>904</v>
      </c>
    </row>
    <row r="29" spans="1:14">
      <c r="A29" s="6">
        <v>45523</v>
      </c>
      <c r="B29" s="4">
        <v>909</v>
      </c>
      <c r="C29" s="4">
        <v>382</v>
      </c>
      <c r="D29" s="4">
        <v>1009</v>
      </c>
    </row>
    <row r="30" spans="1:14">
      <c r="A30" s="6">
        <v>45530</v>
      </c>
      <c r="B30" s="4">
        <v>1022</v>
      </c>
      <c r="C30" s="4">
        <v>262</v>
      </c>
      <c r="D30" s="4">
        <v>1166</v>
      </c>
      <c r="N30" s="14"/>
    </row>
    <row r="31" spans="1:14">
      <c r="A31" s="6">
        <v>45537</v>
      </c>
      <c r="B31" s="4">
        <v>515</v>
      </c>
      <c r="C31" s="4">
        <v>956</v>
      </c>
      <c r="D31" s="4">
        <v>1031</v>
      </c>
    </row>
    <row r="32" spans="1:14">
      <c r="A32" s="6">
        <v>45544</v>
      </c>
      <c r="B32" s="4">
        <v>637</v>
      </c>
      <c r="C32" s="4">
        <v>1268</v>
      </c>
      <c r="D32" s="4">
        <v>725</v>
      </c>
    </row>
    <row r="33" spans="1:4">
      <c r="A33" s="6">
        <v>45551</v>
      </c>
      <c r="B33" s="4">
        <v>471</v>
      </c>
      <c r="C33" s="4">
        <v>1291</v>
      </c>
      <c r="D33" s="4">
        <v>400</v>
      </c>
    </row>
    <row r="34" spans="1:4">
      <c r="A34" s="6">
        <v>45558</v>
      </c>
      <c r="B34" s="4">
        <v>1113</v>
      </c>
      <c r="C34" s="4">
        <v>1198</v>
      </c>
      <c r="D34" s="4">
        <v>474</v>
      </c>
    </row>
    <row r="35" spans="1:4">
      <c r="A35" s="6">
        <v>45565</v>
      </c>
      <c r="B35" s="4">
        <v>1132</v>
      </c>
      <c r="C35" s="4">
        <v>844</v>
      </c>
      <c r="D35" s="4">
        <v>1175</v>
      </c>
    </row>
    <row r="36" spans="1:4">
      <c r="A36" s="6">
        <v>45572</v>
      </c>
      <c r="B36" s="4">
        <v>559</v>
      </c>
      <c r="C36" s="4">
        <v>554</v>
      </c>
      <c r="D36" s="4">
        <v>1225</v>
      </c>
    </row>
    <row r="37" spans="1:4">
      <c r="A37" s="6">
        <v>45579</v>
      </c>
      <c r="B37" s="4">
        <v>892</v>
      </c>
      <c r="C37" s="4">
        <v>536</v>
      </c>
      <c r="D37" s="4">
        <v>1242</v>
      </c>
    </row>
    <row r="38" spans="1:4">
      <c r="A38" s="6">
        <v>45586</v>
      </c>
      <c r="B38" s="4">
        <v>948</v>
      </c>
      <c r="C38" s="4">
        <v>762</v>
      </c>
      <c r="D38" s="4">
        <v>1082</v>
      </c>
    </row>
    <row r="39" spans="1:4">
      <c r="A39" s="6">
        <v>45593</v>
      </c>
      <c r="B39" s="4">
        <v>1174</v>
      </c>
      <c r="C39" s="4">
        <v>464</v>
      </c>
      <c r="D39" s="4">
        <v>543</v>
      </c>
    </row>
    <row r="40" spans="1:4">
      <c r="A40" s="6">
        <v>45600</v>
      </c>
      <c r="B40" s="4">
        <v>1202</v>
      </c>
      <c r="C40" s="4">
        <v>1390</v>
      </c>
      <c r="D40" s="4">
        <v>984</v>
      </c>
    </row>
    <row r="41" spans="1:4">
      <c r="A41" s="6">
        <v>45607</v>
      </c>
      <c r="B41" s="4">
        <v>1204</v>
      </c>
      <c r="C41" s="4">
        <v>532</v>
      </c>
      <c r="D41" s="4">
        <v>1058</v>
      </c>
    </row>
    <row r="42" spans="1:4">
      <c r="A42" s="6">
        <v>45614</v>
      </c>
      <c r="B42" s="4">
        <v>676</v>
      </c>
      <c r="C42" s="4">
        <v>577</v>
      </c>
      <c r="D42" s="4">
        <v>682</v>
      </c>
    </row>
    <row r="43" spans="1:4">
      <c r="A43" s="6">
        <v>45621</v>
      </c>
      <c r="B43" s="4">
        <v>450</v>
      </c>
      <c r="C43" s="4">
        <v>683</v>
      </c>
      <c r="D43" s="4">
        <v>1154</v>
      </c>
    </row>
    <row r="44" spans="1:4">
      <c r="A44" s="6">
        <v>45628</v>
      </c>
      <c r="B44" s="4">
        <v>808</v>
      </c>
      <c r="C44" s="4">
        <v>871</v>
      </c>
      <c r="D44" s="4">
        <v>704</v>
      </c>
    </row>
    <row r="45" spans="1:4">
      <c r="A45" s="6">
        <v>45635</v>
      </c>
      <c r="B45" s="4">
        <v>611</v>
      </c>
      <c r="C45" s="4">
        <v>405</v>
      </c>
      <c r="D45" s="4">
        <v>382</v>
      </c>
    </row>
    <row r="46" spans="1:4">
      <c r="A46" s="6">
        <v>45642</v>
      </c>
      <c r="B46" s="4">
        <v>1117</v>
      </c>
      <c r="C46" s="4">
        <v>477</v>
      </c>
      <c r="D46" s="4">
        <v>1099</v>
      </c>
    </row>
    <row r="47" spans="1:4">
      <c r="A47" s="6">
        <v>45649</v>
      </c>
      <c r="B47" s="4">
        <v>567</v>
      </c>
      <c r="C47" s="4">
        <v>1133</v>
      </c>
      <c r="D47" s="4">
        <v>850</v>
      </c>
    </row>
    <row r="48" spans="1:4">
      <c r="A48" s="6">
        <v>45656</v>
      </c>
      <c r="B48" s="4">
        <v>413</v>
      </c>
      <c r="C48" s="4">
        <v>1387</v>
      </c>
      <c r="D48" s="4">
        <v>537</v>
      </c>
    </row>
    <row r="49" spans="1:8">
      <c r="A49" s="6">
        <v>45663</v>
      </c>
      <c r="B49" s="4">
        <v>443</v>
      </c>
      <c r="C49" s="4">
        <v>1283</v>
      </c>
      <c r="D49" s="4">
        <v>725</v>
      </c>
    </row>
    <row r="50" spans="1:8">
      <c r="A50" s="6">
        <v>45670</v>
      </c>
      <c r="B50" s="4">
        <v>467</v>
      </c>
      <c r="C50" s="4">
        <v>1354</v>
      </c>
      <c r="D50" s="4">
        <v>520</v>
      </c>
    </row>
    <row r="51" spans="1:8">
      <c r="A51" s="6">
        <v>45677</v>
      </c>
      <c r="B51" s="4">
        <v>442</v>
      </c>
      <c r="C51" s="4">
        <v>546</v>
      </c>
      <c r="D51" s="4">
        <v>844</v>
      </c>
    </row>
    <row r="52" spans="1:8">
      <c r="A52" s="6">
        <v>45684</v>
      </c>
      <c r="B52" s="4">
        <v>341</v>
      </c>
      <c r="C52" s="4">
        <v>869</v>
      </c>
      <c r="D52" s="4">
        <v>718</v>
      </c>
    </row>
    <row r="53" spans="1:8">
      <c r="A53" s="6">
        <v>45691</v>
      </c>
      <c r="B53" s="4">
        <v>735</v>
      </c>
      <c r="C53" s="4">
        <v>523</v>
      </c>
      <c r="D53" s="4">
        <v>422</v>
      </c>
    </row>
    <row r="54" spans="1:8">
      <c r="A54" s="6">
        <v>45698</v>
      </c>
      <c r="B54" s="4">
        <v>915</v>
      </c>
      <c r="C54" s="4">
        <v>1108</v>
      </c>
      <c r="D54" s="4">
        <v>338</v>
      </c>
    </row>
    <row r="55" spans="1:8" ht="21">
      <c r="A55" s="6">
        <v>45705</v>
      </c>
      <c r="B55" s="4">
        <v>724</v>
      </c>
      <c r="C55" s="4">
        <v>463</v>
      </c>
      <c r="D55" s="4">
        <v>356</v>
      </c>
      <c r="F55" s="69" t="s">
        <v>374</v>
      </c>
      <c r="G55" s="70" t="s">
        <v>387</v>
      </c>
      <c r="H55" s="71" t="s">
        <v>383</v>
      </c>
    </row>
    <row r="56" spans="1:8" ht="21">
      <c r="A56" s="6">
        <v>45712</v>
      </c>
      <c r="B56" s="4">
        <v>378</v>
      </c>
      <c r="C56" s="4">
        <v>636</v>
      </c>
      <c r="D56" s="4">
        <v>699</v>
      </c>
      <c r="F56" s="70" t="s">
        <v>14</v>
      </c>
      <c r="G56" s="70">
        <v>1035942</v>
      </c>
      <c r="H56" s="70">
        <v>6.4582089552238831</v>
      </c>
    </row>
    <row r="57" spans="1:8" ht="21">
      <c r="A57" s="6">
        <v>45719</v>
      </c>
      <c r="B57" s="4">
        <v>1279</v>
      </c>
      <c r="C57" s="4">
        <v>1006</v>
      </c>
      <c r="D57" s="4">
        <v>478</v>
      </c>
      <c r="F57" s="70" t="s">
        <v>24</v>
      </c>
      <c r="G57" s="70">
        <v>1114204</v>
      </c>
      <c r="H57" s="70">
        <v>6.8856716417910446</v>
      </c>
    </row>
    <row r="58" spans="1:8" ht="21">
      <c r="A58" s="6">
        <v>45726</v>
      </c>
      <c r="B58" s="4">
        <v>545</v>
      </c>
      <c r="C58" s="4">
        <v>1005</v>
      </c>
      <c r="D58" s="4">
        <v>765</v>
      </c>
      <c r="F58" s="70" t="s">
        <v>31</v>
      </c>
      <c r="G58" s="70">
        <v>1065782</v>
      </c>
      <c r="H58" s="70">
        <v>6.7189393939393929</v>
      </c>
    </row>
    <row r="59" spans="1:8" ht="21">
      <c r="A59" s="6">
        <v>45733</v>
      </c>
      <c r="B59" s="4">
        <v>564</v>
      </c>
      <c r="C59" s="4">
        <v>496</v>
      </c>
      <c r="D59" s="4">
        <v>1128</v>
      </c>
      <c r="F59" s="70" t="s">
        <v>375</v>
      </c>
      <c r="G59" s="70">
        <v>3215928</v>
      </c>
      <c r="H59" s="70">
        <v>6.6874499999999975</v>
      </c>
    </row>
    <row r="60" spans="1:8">
      <c r="A60" s="6">
        <v>45740</v>
      </c>
      <c r="B60" s="4">
        <v>565</v>
      </c>
      <c r="C60" s="4">
        <v>813</v>
      </c>
      <c r="D60" s="4">
        <v>1301</v>
      </c>
    </row>
    <row r="61" spans="1:8">
      <c r="A61" s="6">
        <v>45747</v>
      </c>
      <c r="B61" s="4">
        <v>436</v>
      </c>
      <c r="C61" s="4">
        <v>978</v>
      </c>
      <c r="D61" s="4">
        <v>1367</v>
      </c>
    </row>
    <row r="62" spans="1:8">
      <c r="A62" s="6">
        <v>45754</v>
      </c>
      <c r="B62" s="4">
        <v>1337</v>
      </c>
      <c r="C62" s="4">
        <v>1014</v>
      </c>
      <c r="D62" s="4">
        <v>940</v>
      </c>
    </row>
    <row r="63" spans="1:8">
      <c r="A63" s="6">
        <v>45761</v>
      </c>
      <c r="B63" s="4">
        <v>690</v>
      </c>
      <c r="C63" s="4">
        <v>1335</v>
      </c>
      <c r="D63" s="4">
        <v>1191</v>
      </c>
    </row>
    <row r="64" spans="1:8">
      <c r="A64" s="6">
        <v>45768</v>
      </c>
      <c r="B64" s="4">
        <v>353</v>
      </c>
      <c r="C64" s="4">
        <v>486</v>
      </c>
      <c r="D64" s="4">
        <v>889</v>
      </c>
    </row>
    <row r="65" spans="1:8">
      <c r="A65" s="6">
        <v>45775</v>
      </c>
      <c r="B65" s="4">
        <v>983</v>
      </c>
      <c r="C65" s="4">
        <v>581</v>
      </c>
      <c r="D65" s="4">
        <v>814</v>
      </c>
    </row>
    <row r="66" spans="1:8">
      <c r="A66" s="6">
        <v>45782</v>
      </c>
      <c r="B66" s="4">
        <v>919</v>
      </c>
      <c r="C66" s="4">
        <v>676</v>
      </c>
      <c r="D66" s="4">
        <v>459</v>
      </c>
    </row>
    <row r="67" spans="1:8">
      <c r="A67" s="6">
        <v>45789</v>
      </c>
      <c r="B67" s="4">
        <v>576</v>
      </c>
      <c r="C67" s="4">
        <v>447</v>
      </c>
      <c r="D67" s="4">
        <v>377</v>
      </c>
    </row>
    <row r="68" spans="1:8">
      <c r="A68" s="6">
        <v>45796</v>
      </c>
      <c r="B68" s="4">
        <v>932</v>
      </c>
      <c r="C68" s="4">
        <v>1356</v>
      </c>
      <c r="D68" s="4">
        <v>1281</v>
      </c>
    </row>
    <row r="69" spans="1:8" ht="23.4">
      <c r="A69" s="6">
        <v>45803</v>
      </c>
      <c r="B69" s="4">
        <v>1041</v>
      </c>
      <c r="C69" s="4">
        <v>1184</v>
      </c>
      <c r="D69" s="4">
        <v>684</v>
      </c>
      <c r="F69" s="77" t="s">
        <v>374</v>
      </c>
      <c r="G69" s="78" t="s">
        <v>382</v>
      </c>
      <c r="H69" s="79" t="s">
        <v>386</v>
      </c>
    </row>
    <row r="70" spans="1:8" ht="23.4">
      <c r="A70" s="6">
        <v>45810</v>
      </c>
      <c r="B70" s="4">
        <v>354</v>
      </c>
      <c r="C70" s="4">
        <v>1126</v>
      </c>
      <c r="D70" s="4">
        <v>569</v>
      </c>
      <c r="F70" s="78" t="s">
        <v>14</v>
      </c>
      <c r="G70" s="75">
        <v>808.07399075835349</v>
      </c>
      <c r="H70" s="80">
        <f>GETPIVOTDATA("Engagement_Rate",$F$69,"Platform","Instagram")/GETPIVOTDATA("Engagement_Rate",$F$69)</f>
        <v>0.2902077490124737</v>
      </c>
    </row>
    <row r="71" spans="1:8" ht="23.4">
      <c r="A71" s="6">
        <v>45817</v>
      </c>
      <c r="B71" s="4">
        <v>730</v>
      </c>
      <c r="C71" s="4">
        <v>578</v>
      </c>
      <c r="D71" s="4">
        <v>935</v>
      </c>
      <c r="F71" s="78" t="s">
        <v>24</v>
      </c>
      <c r="G71" s="75">
        <v>1421.3121741986558</v>
      </c>
      <c r="H71" s="80">
        <f>GETPIVOTDATA("Engagement_Rate",$F$69,"Platform","Twitter")/GETPIVOTDATA("Engagement_Rate",$F$69)</f>
        <v>0.5104431171347571</v>
      </c>
    </row>
    <row r="72" spans="1:8" ht="23.4">
      <c r="A72" s="6">
        <v>45824</v>
      </c>
      <c r="B72" s="4">
        <v>698</v>
      </c>
      <c r="C72" s="4">
        <v>325</v>
      </c>
      <c r="D72" s="4">
        <v>994</v>
      </c>
      <c r="F72" s="78" t="s">
        <v>31</v>
      </c>
      <c r="G72" s="75">
        <v>555.08114685009491</v>
      </c>
      <c r="H72" s="80">
        <f>GETPIVOTDATA("Engagement_Rate",$F$69,"Platform","YouTube")/GETPIVOTDATA("Engagement_Rate",$F$69)</f>
        <v>0.19934913385276923</v>
      </c>
    </row>
    <row r="73" spans="1:8" ht="23.4">
      <c r="A73" s="6">
        <v>45831</v>
      </c>
      <c r="B73" s="4">
        <v>320</v>
      </c>
      <c r="C73" s="4">
        <v>544</v>
      </c>
      <c r="D73" s="4">
        <v>520</v>
      </c>
      <c r="F73" s="78" t="s">
        <v>375</v>
      </c>
      <c r="G73" s="75">
        <v>2784.4673118071041</v>
      </c>
      <c r="H73" s="76">
        <f>GETPIVOTDATA("Engagement_Rate",$F$69)/GETPIVOTDATA("Engagement_Rate",$F$69)</f>
        <v>1</v>
      </c>
    </row>
    <row r="74" spans="1:8">
      <c r="A74" s="6">
        <v>45838</v>
      </c>
      <c r="B74" s="4">
        <v>485</v>
      </c>
      <c r="C74" s="4">
        <v>1234</v>
      </c>
      <c r="D74" s="4">
        <v>596</v>
      </c>
    </row>
    <row r="75" spans="1:8">
      <c r="A75" s="6">
        <v>45845</v>
      </c>
      <c r="B75" s="4">
        <v>831</v>
      </c>
      <c r="C75" s="4">
        <v>1033</v>
      </c>
      <c r="D75" s="4">
        <v>805</v>
      </c>
      <c r="H75" s="65"/>
    </row>
    <row r="76" spans="1:8">
      <c r="A76" s="6">
        <v>45852</v>
      </c>
      <c r="B76" s="4">
        <v>1274</v>
      </c>
      <c r="C76" s="4">
        <v>428</v>
      </c>
      <c r="D76" s="4">
        <v>952</v>
      </c>
    </row>
    <row r="77" spans="1:8">
      <c r="A77" s="6">
        <v>45859</v>
      </c>
      <c r="B77" s="4">
        <v>951</v>
      </c>
      <c r="C77" s="4">
        <v>604</v>
      </c>
      <c r="D77" s="4">
        <v>1139</v>
      </c>
    </row>
    <row r="78" spans="1:8">
      <c r="A78" s="6">
        <v>45866</v>
      </c>
      <c r="B78" s="4">
        <v>567</v>
      </c>
      <c r="C78" s="4">
        <v>1282</v>
      </c>
      <c r="D78" s="4">
        <v>1387</v>
      </c>
    </row>
    <row r="79" spans="1:8">
      <c r="A79" s="6">
        <v>45873</v>
      </c>
      <c r="B79" s="4">
        <v>667</v>
      </c>
      <c r="C79" s="4">
        <v>499</v>
      </c>
      <c r="D79" s="4">
        <v>523</v>
      </c>
    </row>
    <row r="80" spans="1:8">
      <c r="A80" s="6">
        <v>45880</v>
      </c>
      <c r="B80" s="4">
        <v>896</v>
      </c>
      <c r="C80" s="4">
        <v>702</v>
      </c>
      <c r="D80" s="4">
        <v>749</v>
      </c>
    </row>
    <row r="81" spans="1:4">
      <c r="A81" s="6">
        <v>45887</v>
      </c>
      <c r="B81" s="4">
        <v>333</v>
      </c>
      <c r="C81" s="4">
        <v>647</v>
      </c>
      <c r="D81" s="4">
        <v>839</v>
      </c>
    </row>
    <row r="82" spans="1:4">
      <c r="A82" s="6">
        <v>45894</v>
      </c>
      <c r="B82" s="4">
        <v>960</v>
      </c>
      <c r="C82" s="4">
        <v>1168</v>
      </c>
      <c r="D82" s="4">
        <v>518</v>
      </c>
    </row>
    <row r="83" spans="1:4">
      <c r="A83" s="6">
        <v>45901</v>
      </c>
      <c r="B83" s="4">
        <v>872</v>
      </c>
      <c r="C83" s="4">
        <v>302</v>
      </c>
      <c r="D83" s="4">
        <v>250</v>
      </c>
    </row>
    <row r="84" spans="1:4">
      <c r="A84" s="6">
        <v>45908</v>
      </c>
      <c r="B84" s="4">
        <v>820</v>
      </c>
      <c r="C84" s="4">
        <v>616</v>
      </c>
      <c r="D84" s="4"/>
    </row>
  </sheetData>
  <pageMargins left="0.7" right="0.7" top="0.75" bottom="0.75" header="0.3" footer="0.3"/>
  <pageSetup orientation="portrait" horizontalDpi="200" verticalDpi="200" copies="0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0EEE-4684-4480-89C1-CAED2F686157}">
  <dimension ref="A1:F35"/>
  <sheetViews>
    <sheetView showGridLines="0" zoomScale="84" workbookViewId="0">
      <selection activeCell="H16" sqref="H16"/>
    </sheetView>
  </sheetViews>
  <sheetFormatPr defaultRowHeight="14.4"/>
  <cols>
    <col min="1" max="1" width="38" customWidth="1"/>
    <col min="2" max="2" width="49" customWidth="1"/>
    <col min="3" max="3" width="46.21875" customWidth="1"/>
    <col min="7" max="7" width="13.109375" bestFit="1" customWidth="1"/>
    <col min="8" max="8" width="16.88671875" bestFit="1" customWidth="1"/>
    <col min="9" max="9" width="25.5546875" bestFit="1" customWidth="1"/>
    <col min="13" max="13" width="19.5546875" customWidth="1"/>
  </cols>
  <sheetData>
    <row r="1" spans="1:6" ht="15.6">
      <c r="A1" s="15"/>
      <c r="B1" s="7"/>
      <c r="C1" s="7"/>
    </row>
    <row r="2" spans="1:6" ht="15.6">
      <c r="A2" s="15"/>
      <c r="B2" s="7"/>
      <c r="C2" s="7"/>
    </row>
    <row r="4" spans="1:6" ht="25.8">
      <c r="A4" s="83" t="s">
        <v>374</v>
      </c>
      <c r="B4" s="84" t="s">
        <v>383</v>
      </c>
      <c r="C4" s="84" t="s">
        <v>384</v>
      </c>
    </row>
    <row r="5" spans="1:6" ht="25.8">
      <c r="A5" s="85" t="s">
        <v>21</v>
      </c>
      <c r="B5" s="86">
        <v>8.7606633451228788</v>
      </c>
      <c r="C5" s="87">
        <v>130</v>
      </c>
    </row>
    <row r="6" spans="1:6" ht="25.8">
      <c r="A6" s="85" t="s">
        <v>379</v>
      </c>
      <c r="B6" s="86">
        <v>9.4160897902485861</v>
      </c>
      <c r="C6" s="87">
        <v>33</v>
      </c>
      <c r="F6" s="82"/>
    </row>
    <row r="7" spans="1:6" ht="25.8">
      <c r="A7" s="85" t="s">
        <v>42</v>
      </c>
      <c r="B7" s="86">
        <v>9.9415713745613274</v>
      </c>
      <c r="C7" s="87">
        <v>57</v>
      </c>
    </row>
    <row r="8" spans="1:6" ht="25.8">
      <c r="A8" s="85" t="s">
        <v>45</v>
      </c>
      <c r="B8" s="86">
        <v>9.6022568189116306</v>
      </c>
      <c r="C8" s="87">
        <v>80</v>
      </c>
    </row>
    <row r="9" spans="1:6" ht="25.8">
      <c r="A9" s="85" t="s">
        <v>375</v>
      </c>
      <c r="B9" s="86">
        <v>9.281557706023678</v>
      </c>
      <c r="C9" s="87">
        <v>300</v>
      </c>
    </row>
    <row r="10" spans="1:6">
      <c r="D10" s="81"/>
    </row>
    <row r="16" spans="1:6" ht="23.4">
      <c r="A16" s="72" t="s">
        <v>374</v>
      </c>
      <c r="B16" s="73" t="s">
        <v>378</v>
      </c>
    </row>
    <row r="17" spans="1:2" ht="23.4">
      <c r="A17" s="74" t="s">
        <v>31</v>
      </c>
      <c r="B17" s="73">
        <v>8353</v>
      </c>
    </row>
    <row r="18" spans="1:2" ht="23.4">
      <c r="A18" s="88" t="s">
        <v>57</v>
      </c>
      <c r="B18" s="73">
        <v>4197</v>
      </c>
    </row>
    <row r="19" spans="1:2" ht="23.4">
      <c r="A19" s="88" t="s">
        <v>15</v>
      </c>
      <c r="B19" s="73">
        <v>4156</v>
      </c>
    </row>
    <row r="20" spans="1:2" ht="23.4">
      <c r="A20" s="74" t="s">
        <v>24</v>
      </c>
      <c r="B20" s="73">
        <v>20581</v>
      </c>
    </row>
    <row r="21" spans="1:2" ht="23.4">
      <c r="A21" s="88" t="s">
        <v>25</v>
      </c>
      <c r="B21" s="73">
        <v>11505</v>
      </c>
    </row>
    <row r="22" spans="1:2" ht="23.4">
      <c r="A22" s="88" t="s">
        <v>15</v>
      </c>
      <c r="B22" s="73">
        <v>9076</v>
      </c>
    </row>
    <row r="23" spans="1:2" ht="23.4">
      <c r="A23" s="74" t="s">
        <v>14</v>
      </c>
      <c r="B23" s="73">
        <v>14137</v>
      </c>
    </row>
    <row r="24" spans="1:2" ht="23.4">
      <c r="A24" s="88" t="s">
        <v>25</v>
      </c>
      <c r="B24" s="73">
        <v>4092</v>
      </c>
    </row>
    <row r="25" spans="1:2" ht="23.4">
      <c r="A25" s="88" t="s">
        <v>15</v>
      </c>
      <c r="B25" s="73">
        <v>10045</v>
      </c>
    </row>
    <row r="26" spans="1:2" ht="23.4">
      <c r="A26" s="74" t="s">
        <v>375</v>
      </c>
      <c r="B26" s="73">
        <v>43071</v>
      </c>
    </row>
    <row r="31" spans="1:2" ht="25.8">
      <c r="A31" s="83" t="s">
        <v>374</v>
      </c>
      <c r="B31" s="84" t="s">
        <v>385</v>
      </c>
    </row>
    <row r="32" spans="1:2" ht="25.8">
      <c r="A32" s="85" t="s">
        <v>24</v>
      </c>
      <c r="B32" s="84">
        <v>148</v>
      </c>
    </row>
    <row r="33" spans="1:2" ht="25.8">
      <c r="A33" s="85" t="s">
        <v>14</v>
      </c>
      <c r="B33" s="84">
        <v>89</v>
      </c>
    </row>
    <row r="34" spans="1:2" ht="25.8">
      <c r="A34" s="85" t="s">
        <v>31</v>
      </c>
      <c r="B34" s="84">
        <v>63</v>
      </c>
    </row>
    <row r="35" spans="1:2" ht="25.8">
      <c r="A35" s="85" t="s">
        <v>375</v>
      </c>
      <c r="B35" s="84">
        <v>300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9995-E605-4B74-B462-3F436D775C72}">
  <dimension ref="A4:D63"/>
  <sheetViews>
    <sheetView showGridLines="0" topLeftCell="A46" zoomScale="63" zoomScaleNormal="135" workbookViewId="0">
      <selection activeCell="E11" sqref="E11"/>
    </sheetView>
  </sheetViews>
  <sheetFormatPr defaultRowHeight="23.4"/>
  <cols>
    <col min="1" max="1" width="23.21875" style="73" customWidth="1"/>
    <col min="2" max="2" width="41.5546875" style="73" customWidth="1"/>
    <col min="3" max="3" width="38.5546875" style="73" customWidth="1"/>
    <col min="4" max="4" width="51.44140625" style="73" customWidth="1"/>
    <col min="5" max="6" width="13.88671875" style="73" customWidth="1"/>
    <col min="7" max="7" width="13.44140625" style="73" bestFit="1" customWidth="1"/>
    <col min="8" max="8" width="26.44140625" style="73" customWidth="1"/>
    <col min="9" max="9" width="16.33203125" style="73" customWidth="1"/>
    <col min="10" max="10" width="10" style="73" customWidth="1"/>
    <col min="11" max="11" width="15.44140625" style="73" customWidth="1"/>
    <col min="12" max="12" width="18" style="73" customWidth="1"/>
    <col min="13" max="13" width="15.5546875" style="73" customWidth="1"/>
    <col min="14" max="14" width="14.88671875" style="73" customWidth="1"/>
    <col min="15" max="16384" width="8.88671875" style="73"/>
  </cols>
  <sheetData>
    <row r="4" spans="1:4" ht="24" thickBot="1"/>
    <row r="5" spans="1:4" ht="24" thickBot="1">
      <c r="A5" s="114" t="s">
        <v>394</v>
      </c>
      <c r="B5" s="115"/>
      <c r="C5" s="115"/>
      <c r="D5" s="116"/>
    </row>
    <row r="6" spans="1:4" ht="24" thickBot="1">
      <c r="A6" s="89" t="s">
        <v>374</v>
      </c>
      <c r="B6" s="90" t="s">
        <v>392</v>
      </c>
      <c r="C6" s="91" t="s">
        <v>395</v>
      </c>
      <c r="D6" s="92" t="s">
        <v>396</v>
      </c>
    </row>
    <row r="7" spans="1:4">
      <c r="A7" s="93" t="s">
        <v>18</v>
      </c>
      <c r="B7" s="94">
        <v>186.41558441558442</v>
      </c>
      <c r="C7" s="94">
        <v>41116.025974025972</v>
      </c>
      <c r="D7" s="95">
        <v>3058.6623376623374</v>
      </c>
    </row>
    <row r="8" spans="1:4">
      <c r="A8" s="93" t="s">
        <v>22</v>
      </c>
      <c r="B8" s="94">
        <v>199.11702127659575</v>
      </c>
      <c r="C8" s="94">
        <v>42971.329787234041</v>
      </c>
      <c r="D8" s="95">
        <v>2919.7340425531916</v>
      </c>
    </row>
    <row r="9" spans="1:4">
      <c r="A9" s="93" t="s">
        <v>59</v>
      </c>
      <c r="B9" s="94">
        <v>191.62068965517241</v>
      </c>
      <c r="C9" s="94">
        <v>42546.65517241379</v>
      </c>
      <c r="D9" s="95">
        <v>3099</v>
      </c>
    </row>
    <row r="10" spans="1:4" ht="24" thickBot="1">
      <c r="A10" s="96" t="s">
        <v>55</v>
      </c>
      <c r="B10" s="97">
        <v>200.60869565217391</v>
      </c>
      <c r="C10" s="97">
        <v>37626.34782608696</v>
      </c>
      <c r="D10" s="98">
        <v>2687.608695652174</v>
      </c>
    </row>
    <row r="11" spans="1:4" ht="24" thickBot="1">
      <c r="A11" s="99" t="s">
        <v>375</v>
      </c>
      <c r="B11" s="100">
        <v>191.98666666666668</v>
      </c>
      <c r="C11" s="100">
        <v>41568.106666666667</v>
      </c>
      <c r="D11" s="101">
        <v>2990.5833333333335</v>
      </c>
    </row>
    <row r="12" spans="1:4" ht="24" thickBot="1"/>
    <row r="13" spans="1:4" ht="24" thickBot="1">
      <c r="A13" s="114" t="s">
        <v>398</v>
      </c>
      <c r="B13" s="115"/>
      <c r="C13" s="115"/>
      <c r="D13" s="116"/>
    </row>
    <row r="14" spans="1:4" ht="24" thickBot="1">
      <c r="A14" s="102" t="s">
        <v>374</v>
      </c>
      <c r="B14" s="103" t="s">
        <v>397</v>
      </c>
      <c r="C14" s="91" t="s">
        <v>391</v>
      </c>
      <c r="D14" s="92" t="s">
        <v>388</v>
      </c>
    </row>
    <row r="15" spans="1:4">
      <c r="A15" s="104" t="s">
        <v>18</v>
      </c>
      <c r="B15" s="78">
        <v>6331868</v>
      </c>
      <c r="C15" s="78">
        <v>28708</v>
      </c>
      <c r="D15" s="105">
        <v>471034</v>
      </c>
    </row>
    <row r="16" spans="1:4">
      <c r="A16" s="104" t="s">
        <v>22</v>
      </c>
      <c r="B16" s="78">
        <v>4039305</v>
      </c>
      <c r="C16" s="78">
        <v>18717</v>
      </c>
      <c r="D16" s="105">
        <v>274455</v>
      </c>
    </row>
    <row r="17" spans="1:4">
      <c r="A17" s="104" t="s">
        <v>59</v>
      </c>
      <c r="B17" s="78">
        <v>1233853</v>
      </c>
      <c r="C17" s="78">
        <v>5557</v>
      </c>
      <c r="D17" s="105">
        <v>89871</v>
      </c>
    </row>
    <row r="18" spans="1:4" ht="24" thickBot="1">
      <c r="A18" s="106" t="s">
        <v>55</v>
      </c>
      <c r="B18" s="107">
        <v>865406</v>
      </c>
      <c r="C18" s="107">
        <v>4614</v>
      </c>
      <c r="D18" s="108">
        <v>61815</v>
      </c>
    </row>
    <row r="19" spans="1:4" ht="24" thickBot="1">
      <c r="A19" s="109" t="s">
        <v>375</v>
      </c>
      <c r="B19" s="91">
        <v>12470432</v>
      </c>
      <c r="C19" s="91">
        <v>57596</v>
      </c>
      <c r="D19" s="92">
        <v>897175</v>
      </c>
    </row>
    <row r="25" spans="1:4">
      <c r="A25" s="72" t="s">
        <v>374</v>
      </c>
      <c r="B25" s="73" t="s">
        <v>406</v>
      </c>
      <c r="C25" s="73" t="s">
        <v>407</v>
      </c>
      <c r="D25" s="73" t="s">
        <v>404</v>
      </c>
    </row>
    <row r="26" spans="1:4">
      <c r="A26" s="74" t="s">
        <v>18</v>
      </c>
      <c r="B26" s="75">
        <v>1370.2200140411014</v>
      </c>
      <c r="C26" s="75">
        <v>1398.1394352457751</v>
      </c>
      <c r="D26" s="110">
        <v>1.0505093111266757</v>
      </c>
    </row>
    <row r="27" spans="1:4">
      <c r="A27" s="74" t="s">
        <v>22</v>
      </c>
      <c r="B27" s="75">
        <v>835.37102059030985</v>
      </c>
      <c r="C27" s="75">
        <v>832.62262680659387</v>
      </c>
      <c r="D27" s="110">
        <v>5.938479539793709E-2</v>
      </c>
    </row>
    <row r="28" spans="1:4">
      <c r="A28" s="74" t="s">
        <v>59</v>
      </c>
      <c r="B28" s="75">
        <v>256.78481446662846</v>
      </c>
      <c r="C28" s="75">
        <v>255.86183527702565</v>
      </c>
      <c r="D28" s="110">
        <v>-2.4268816540401132E-2</v>
      </c>
    </row>
    <row r="29" spans="1:4">
      <c r="A29" s="74" t="s">
        <v>55</v>
      </c>
      <c r="B29" s="75">
        <v>206.23341223762785</v>
      </c>
      <c r="C29" s="75">
        <v>203.14018428750492</v>
      </c>
      <c r="D29" s="110">
        <v>-8.5625289984211608E-2</v>
      </c>
    </row>
    <row r="30" spans="1:4">
      <c r="A30" s="74" t="s">
        <v>375</v>
      </c>
      <c r="B30" s="111">
        <v>2668.6092613356677</v>
      </c>
      <c r="C30" s="111">
        <v>2689.7640816168996</v>
      </c>
      <c r="D30" s="112">
        <v>1</v>
      </c>
    </row>
    <row r="58" spans="1:2">
      <c r="A58" s="72" t="s">
        <v>374</v>
      </c>
      <c r="B58" s="73" t="s">
        <v>405</v>
      </c>
    </row>
    <row r="59" spans="1:2">
      <c r="A59" s="74" t="s">
        <v>18</v>
      </c>
      <c r="B59" s="113">
        <v>2.8103602976190478</v>
      </c>
    </row>
    <row r="60" spans="1:2">
      <c r="A60" s="74" t="s">
        <v>22</v>
      </c>
      <c r="B60" s="113">
        <v>1.9340845833333331</v>
      </c>
    </row>
    <row r="61" spans="1:2">
      <c r="A61" s="74" t="s">
        <v>59</v>
      </c>
      <c r="B61" s="113">
        <v>0.53677005952380952</v>
      </c>
    </row>
    <row r="62" spans="1:2">
      <c r="A62" s="74" t="s">
        <v>55</v>
      </c>
      <c r="B62" s="113">
        <v>0.44613740079365072</v>
      </c>
    </row>
    <row r="63" spans="1:2">
      <c r="A63" s="74" t="s">
        <v>375</v>
      </c>
      <c r="B63" s="113">
        <v>5.7273523412698415</v>
      </c>
    </row>
  </sheetData>
  <mergeCells count="2">
    <mergeCell ref="A5:D5"/>
    <mergeCell ref="A13:D13"/>
  </mergeCells>
  <pageMargins left="0.7" right="0.7" top="0.75" bottom="0.75" header="0.3" footer="0.3"/>
  <pageSetup orientation="portrait" horizontalDpi="200" verticalDpi="200" copies="0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1A64-31A7-4099-B0AB-AB2098E7C5E4}">
  <dimension ref="A4:H72"/>
  <sheetViews>
    <sheetView showGridLines="0" topLeftCell="A7" zoomScale="72" zoomScaleNormal="72" workbookViewId="0">
      <selection activeCell="J32" sqref="J32"/>
    </sheetView>
  </sheetViews>
  <sheetFormatPr defaultRowHeight="14.4"/>
  <cols>
    <col min="1" max="1" width="13.109375" bestFit="1" customWidth="1"/>
    <col min="2" max="2" width="20.33203125" bestFit="1" customWidth="1"/>
    <col min="6" max="6" width="25.21875" customWidth="1"/>
    <col min="7" max="7" width="43.88671875" customWidth="1"/>
    <col min="8" max="8" width="36.44140625" customWidth="1"/>
    <col min="12" max="12" width="13.33203125" bestFit="1" customWidth="1"/>
    <col min="13" max="13" width="16.88671875" bestFit="1" customWidth="1"/>
    <col min="14" max="14" width="22.109375" bestFit="1" customWidth="1"/>
  </cols>
  <sheetData>
    <row r="4" spans="1:2">
      <c r="A4" s="8" t="s">
        <v>374</v>
      </c>
      <c r="B4" t="s">
        <v>377</v>
      </c>
    </row>
    <row r="5" spans="1:2">
      <c r="A5" s="9" t="s">
        <v>468</v>
      </c>
      <c r="B5" s="117">
        <v>3576</v>
      </c>
    </row>
    <row r="6" spans="1:2">
      <c r="A6" s="9" t="s">
        <v>429</v>
      </c>
      <c r="B6" s="117">
        <v>3569</v>
      </c>
    </row>
    <row r="7" spans="1:2">
      <c r="A7" s="9" t="s">
        <v>432</v>
      </c>
      <c r="B7" s="117">
        <v>3419</v>
      </c>
    </row>
    <row r="8" spans="1:2">
      <c r="A8" s="9" t="s">
        <v>423</v>
      </c>
      <c r="B8" s="117">
        <v>3291</v>
      </c>
    </row>
    <row r="9" spans="1:2">
      <c r="A9" s="9" t="s">
        <v>447</v>
      </c>
      <c r="B9" s="117">
        <v>3236</v>
      </c>
    </row>
    <row r="10" spans="1:2">
      <c r="A10" s="9" t="s">
        <v>424</v>
      </c>
      <c r="B10" s="117">
        <v>3216</v>
      </c>
    </row>
    <row r="11" spans="1:2">
      <c r="A11" s="9" t="s">
        <v>436</v>
      </c>
      <c r="B11" s="117">
        <v>3175</v>
      </c>
    </row>
    <row r="12" spans="1:2">
      <c r="A12" s="9" t="s">
        <v>442</v>
      </c>
      <c r="B12" s="117">
        <v>3155</v>
      </c>
    </row>
    <row r="13" spans="1:2">
      <c r="A13" s="9" t="s">
        <v>463</v>
      </c>
      <c r="B13" s="117">
        <v>3151</v>
      </c>
    </row>
    <row r="14" spans="1:2">
      <c r="A14" s="9" t="s">
        <v>452</v>
      </c>
      <c r="B14" s="117">
        <v>3072</v>
      </c>
    </row>
    <row r="15" spans="1:2">
      <c r="A15" s="9" t="s">
        <v>430</v>
      </c>
      <c r="B15" s="117">
        <v>2909</v>
      </c>
    </row>
    <row r="16" spans="1:2">
      <c r="A16" s="9" t="s">
        <v>469</v>
      </c>
      <c r="B16" s="117">
        <v>2794</v>
      </c>
    </row>
    <row r="17" spans="1:2">
      <c r="A17" s="9" t="s">
        <v>466</v>
      </c>
      <c r="B17" s="117">
        <v>2792</v>
      </c>
    </row>
    <row r="18" spans="1:2">
      <c r="A18" s="9" t="s">
        <v>462</v>
      </c>
      <c r="B18" s="117">
        <v>2785</v>
      </c>
    </row>
    <row r="19" spans="1:2">
      <c r="A19" s="9" t="s">
        <v>422</v>
      </c>
      <c r="B19" s="117">
        <v>2781</v>
      </c>
    </row>
    <row r="20" spans="1:2">
      <c r="A20" s="9" t="s">
        <v>434</v>
      </c>
      <c r="B20" s="117">
        <v>2777</v>
      </c>
    </row>
    <row r="21" spans="1:2">
      <c r="A21" s="9" t="s">
        <v>418</v>
      </c>
      <c r="B21" s="117">
        <v>2763</v>
      </c>
    </row>
    <row r="22" spans="1:2">
      <c r="A22" s="9" t="s">
        <v>445</v>
      </c>
      <c r="B22" s="117">
        <v>2694</v>
      </c>
    </row>
    <row r="23" spans="1:2">
      <c r="A23" s="9" t="s">
        <v>450</v>
      </c>
      <c r="B23" s="117">
        <v>2693</v>
      </c>
    </row>
    <row r="24" spans="1:2">
      <c r="A24" s="9" t="s">
        <v>474</v>
      </c>
      <c r="B24" s="117">
        <v>2693</v>
      </c>
    </row>
    <row r="25" spans="1:2">
      <c r="A25" s="9" t="s">
        <v>421</v>
      </c>
      <c r="B25" s="117">
        <v>2679</v>
      </c>
    </row>
    <row r="26" spans="1:2">
      <c r="A26" s="9" t="s">
        <v>465</v>
      </c>
      <c r="B26" s="117">
        <v>2670</v>
      </c>
    </row>
    <row r="27" spans="1:2">
      <c r="A27" s="9" t="s">
        <v>441</v>
      </c>
      <c r="B27" s="117">
        <v>2669</v>
      </c>
    </row>
    <row r="28" spans="1:2">
      <c r="A28" s="9" t="s">
        <v>443</v>
      </c>
      <c r="B28" s="117">
        <v>2654</v>
      </c>
    </row>
    <row r="29" spans="1:2">
      <c r="A29" s="9" t="s">
        <v>455</v>
      </c>
      <c r="B29" s="117">
        <v>2646</v>
      </c>
    </row>
    <row r="30" spans="1:2">
      <c r="A30" s="9" t="s">
        <v>460</v>
      </c>
      <c r="B30" s="117">
        <v>2630</v>
      </c>
    </row>
    <row r="31" spans="1:2">
      <c r="A31" s="9" t="s">
        <v>475</v>
      </c>
      <c r="B31" s="117">
        <v>2550</v>
      </c>
    </row>
    <row r="32" spans="1:2">
      <c r="A32" s="9" t="s">
        <v>458</v>
      </c>
      <c r="B32" s="117">
        <v>2502</v>
      </c>
    </row>
    <row r="33" spans="1:8">
      <c r="A33" s="9" t="s">
        <v>410</v>
      </c>
      <c r="B33" s="117">
        <v>2451</v>
      </c>
    </row>
    <row r="34" spans="1:8">
      <c r="A34" s="9" t="s">
        <v>456</v>
      </c>
      <c r="B34" s="117">
        <v>2450</v>
      </c>
    </row>
    <row r="35" spans="1:8">
      <c r="A35" s="9" t="s">
        <v>438</v>
      </c>
      <c r="B35" s="117">
        <v>2433</v>
      </c>
    </row>
    <row r="36" spans="1:8">
      <c r="A36" s="9" t="s">
        <v>440</v>
      </c>
      <c r="B36" s="117">
        <v>2426</v>
      </c>
    </row>
    <row r="37" spans="1:8" ht="23.4">
      <c r="A37" s="9" t="s">
        <v>472</v>
      </c>
      <c r="B37" s="117">
        <v>2383</v>
      </c>
      <c r="F37" s="77" t="s">
        <v>374</v>
      </c>
      <c r="G37" s="78" t="s">
        <v>387</v>
      </c>
      <c r="H37" s="78" t="s">
        <v>477</v>
      </c>
    </row>
    <row r="38" spans="1:8" ht="23.4">
      <c r="A38" s="9" t="s">
        <v>426</v>
      </c>
      <c r="B38" s="117">
        <v>2378</v>
      </c>
      <c r="F38" s="78">
        <v>-1.6915989818837348E-2</v>
      </c>
      <c r="G38" s="78">
        <v>3215928</v>
      </c>
      <c r="H38" s="78">
        <v>46501807</v>
      </c>
    </row>
    <row r="39" spans="1:8" ht="23.4">
      <c r="A39" s="9" t="s">
        <v>444</v>
      </c>
      <c r="B39" s="117">
        <v>2369</v>
      </c>
      <c r="F39" s="78" t="s">
        <v>375</v>
      </c>
      <c r="G39" s="78">
        <v>3215928</v>
      </c>
      <c r="H39" s="78">
        <v>46501807</v>
      </c>
    </row>
    <row r="40" spans="1:8">
      <c r="A40" s="9" t="s">
        <v>415</v>
      </c>
      <c r="B40" s="117">
        <v>2361</v>
      </c>
    </row>
    <row r="41" spans="1:8">
      <c r="A41" s="9" t="s">
        <v>451</v>
      </c>
      <c r="B41" s="117">
        <v>2347</v>
      </c>
    </row>
    <row r="42" spans="1:8">
      <c r="A42" s="9" t="s">
        <v>411</v>
      </c>
      <c r="B42" s="117">
        <v>2341</v>
      </c>
    </row>
    <row r="43" spans="1:8">
      <c r="A43" s="9" t="s">
        <v>464</v>
      </c>
      <c r="B43" s="117">
        <v>2338</v>
      </c>
    </row>
    <row r="44" spans="1:8">
      <c r="A44" s="9" t="s">
        <v>476</v>
      </c>
      <c r="B44" s="117">
        <v>2337</v>
      </c>
    </row>
    <row r="45" spans="1:8">
      <c r="A45" s="9" t="s">
        <v>439</v>
      </c>
      <c r="B45" s="117">
        <v>2315</v>
      </c>
    </row>
    <row r="46" spans="1:8">
      <c r="A46" s="9" t="s">
        <v>419</v>
      </c>
      <c r="B46" s="117">
        <v>2315</v>
      </c>
    </row>
    <row r="47" spans="1:8">
      <c r="A47" s="9" t="s">
        <v>454</v>
      </c>
      <c r="B47" s="117">
        <v>2300</v>
      </c>
    </row>
    <row r="48" spans="1:8">
      <c r="A48" s="9" t="s">
        <v>471</v>
      </c>
      <c r="B48" s="117">
        <v>2287</v>
      </c>
    </row>
    <row r="49" spans="1:2">
      <c r="A49" s="9" t="s">
        <v>446</v>
      </c>
      <c r="B49" s="117">
        <v>2281</v>
      </c>
    </row>
    <row r="50" spans="1:2">
      <c r="A50" s="9" t="s">
        <v>433</v>
      </c>
      <c r="B50" s="117">
        <v>2243</v>
      </c>
    </row>
    <row r="51" spans="1:2">
      <c r="A51" s="9" t="s">
        <v>420</v>
      </c>
      <c r="B51" s="117">
        <v>2188</v>
      </c>
    </row>
    <row r="52" spans="1:2">
      <c r="A52" s="9" t="s">
        <v>467</v>
      </c>
      <c r="B52" s="117">
        <v>2181</v>
      </c>
    </row>
    <row r="53" spans="1:2">
      <c r="A53" s="9" t="s">
        <v>461</v>
      </c>
      <c r="B53" s="117">
        <v>2162</v>
      </c>
    </row>
    <row r="54" spans="1:2">
      <c r="A54" s="9" t="s">
        <v>448</v>
      </c>
      <c r="B54" s="117">
        <v>2132</v>
      </c>
    </row>
    <row r="55" spans="1:2">
      <c r="A55" s="9" t="s">
        <v>427</v>
      </c>
      <c r="B55" s="117">
        <v>2054</v>
      </c>
    </row>
    <row r="56" spans="1:2">
      <c r="A56" s="9" t="s">
        <v>431</v>
      </c>
      <c r="B56" s="117">
        <v>2049</v>
      </c>
    </row>
    <row r="57" spans="1:2">
      <c r="A57" s="9" t="s">
        <v>435</v>
      </c>
      <c r="B57" s="117">
        <v>2017</v>
      </c>
    </row>
    <row r="58" spans="1:2">
      <c r="A58" s="9" t="s">
        <v>470</v>
      </c>
      <c r="B58" s="117">
        <v>1935</v>
      </c>
    </row>
    <row r="59" spans="1:2">
      <c r="A59" s="9" t="s">
        <v>413</v>
      </c>
      <c r="B59" s="117">
        <v>1928</v>
      </c>
    </row>
    <row r="60" spans="1:2">
      <c r="A60" s="9" t="s">
        <v>412</v>
      </c>
      <c r="B60" s="117">
        <v>1832</v>
      </c>
    </row>
    <row r="61" spans="1:2">
      <c r="A61" s="9" t="s">
        <v>453</v>
      </c>
      <c r="B61" s="117">
        <v>1819</v>
      </c>
    </row>
    <row r="62" spans="1:2">
      <c r="A62" s="9" t="s">
        <v>425</v>
      </c>
      <c r="B62" s="117">
        <v>1728</v>
      </c>
    </row>
    <row r="63" spans="1:2">
      <c r="A63" s="9" t="s">
        <v>417</v>
      </c>
      <c r="B63" s="117">
        <v>1713</v>
      </c>
    </row>
    <row r="64" spans="1:2">
      <c r="A64" s="9" t="s">
        <v>449</v>
      </c>
      <c r="B64" s="117">
        <v>1689</v>
      </c>
    </row>
    <row r="65" spans="1:2">
      <c r="A65" s="9" t="s">
        <v>414</v>
      </c>
      <c r="B65" s="117">
        <v>1680</v>
      </c>
    </row>
    <row r="66" spans="1:2">
      <c r="A66" s="9" t="s">
        <v>416</v>
      </c>
      <c r="B66" s="117">
        <v>1543</v>
      </c>
    </row>
    <row r="67" spans="1:2">
      <c r="A67" s="9" t="s">
        <v>459</v>
      </c>
      <c r="B67" s="117">
        <v>1436</v>
      </c>
    </row>
    <row r="68" spans="1:2">
      <c r="A68" s="9" t="s">
        <v>457</v>
      </c>
      <c r="B68" s="117">
        <v>1424</v>
      </c>
    </row>
    <row r="69" spans="1:2">
      <c r="A69" s="9" t="s">
        <v>428</v>
      </c>
      <c r="B69" s="117">
        <v>1400</v>
      </c>
    </row>
    <row r="70" spans="1:2">
      <c r="A70" s="9" t="s">
        <v>473</v>
      </c>
      <c r="B70" s="117">
        <v>1398</v>
      </c>
    </row>
    <row r="71" spans="1:2">
      <c r="A71" s="9" t="s">
        <v>437</v>
      </c>
      <c r="B71" s="117">
        <v>1384</v>
      </c>
    </row>
    <row r="72" spans="1:2">
      <c r="A72" s="9" t="s">
        <v>375</v>
      </c>
      <c r="B72" s="117">
        <v>161588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1E1C-7655-4E16-9684-1491F4FE6F24}">
  <dimension ref="A1:I203"/>
  <sheetViews>
    <sheetView showGridLines="0" topLeftCell="A27" workbookViewId="0">
      <selection activeCell="F1" sqref="F1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15.109375" bestFit="1" customWidth="1"/>
    <col min="9" max="9" width="11.88671875" bestFit="1" customWidth="1"/>
  </cols>
  <sheetData>
    <row r="1" spans="1:9" ht="23.4">
      <c r="A1" s="119" t="s">
        <v>485</v>
      </c>
    </row>
    <row r="3" spans="1:9">
      <c r="A3" t="s">
        <v>341</v>
      </c>
      <c r="B3" t="s">
        <v>1</v>
      </c>
      <c r="C3" t="s">
        <v>342</v>
      </c>
      <c r="D3" t="s">
        <v>343</v>
      </c>
      <c r="E3" t="s">
        <v>344</v>
      </c>
      <c r="F3" t="s">
        <v>345</v>
      </c>
      <c r="G3" t="s">
        <v>346</v>
      </c>
      <c r="H3" t="s">
        <v>373</v>
      </c>
      <c r="I3" t="s">
        <v>409</v>
      </c>
    </row>
    <row r="4" spans="1:9">
      <c r="A4" s="118">
        <v>45810</v>
      </c>
      <c r="B4" t="s">
        <v>31</v>
      </c>
      <c r="C4">
        <v>637</v>
      </c>
      <c r="D4">
        <v>68</v>
      </c>
      <c r="E4">
        <v>115694</v>
      </c>
      <c r="F4">
        <v>9.99</v>
      </c>
      <c r="G4">
        <v>12562</v>
      </c>
      <c r="H4">
        <v>569</v>
      </c>
      <c r="I4">
        <v>-1.6915989818837348E-2</v>
      </c>
    </row>
    <row r="5" spans="1:9">
      <c r="A5" s="118">
        <v>45845</v>
      </c>
      <c r="B5" t="s">
        <v>14</v>
      </c>
      <c r="C5">
        <v>974</v>
      </c>
      <c r="D5">
        <v>143</v>
      </c>
      <c r="E5">
        <v>247965</v>
      </c>
      <c r="F5">
        <v>9.98</v>
      </c>
      <c r="G5">
        <v>12767</v>
      </c>
      <c r="H5">
        <v>831</v>
      </c>
      <c r="I5">
        <v>-1.6915989818837348E-2</v>
      </c>
    </row>
    <row r="6" spans="1:9">
      <c r="A6" s="118">
        <v>45453</v>
      </c>
      <c r="B6" t="s">
        <v>31</v>
      </c>
      <c r="C6">
        <v>545</v>
      </c>
      <c r="D6">
        <v>93</v>
      </c>
      <c r="E6">
        <v>391621</v>
      </c>
      <c r="F6">
        <v>9.9600000000000009</v>
      </c>
      <c r="G6">
        <v>22029</v>
      </c>
      <c r="H6">
        <v>452</v>
      </c>
      <c r="I6">
        <v>-1.6915989818837348E-2</v>
      </c>
    </row>
    <row r="7" spans="1:9">
      <c r="A7" s="118">
        <v>45845</v>
      </c>
      <c r="B7" t="s">
        <v>24</v>
      </c>
      <c r="C7">
        <v>1155</v>
      </c>
      <c r="D7">
        <v>122</v>
      </c>
      <c r="E7">
        <v>387352</v>
      </c>
      <c r="F7">
        <v>9.93</v>
      </c>
      <c r="G7">
        <v>12170</v>
      </c>
      <c r="H7">
        <v>1033</v>
      </c>
      <c r="I7">
        <v>-1.6915989818837348E-2</v>
      </c>
    </row>
    <row r="8" spans="1:9">
      <c r="A8" s="118">
        <v>45446</v>
      </c>
      <c r="B8" t="s">
        <v>14</v>
      </c>
      <c r="C8">
        <v>1402</v>
      </c>
      <c r="D8">
        <v>68</v>
      </c>
      <c r="E8">
        <v>124562</v>
      </c>
      <c r="F8">
        <v>9.92</v>
      </c>
      <c r="G8">
        <v>23125</v>
      </c>
      <c r="H8">
        <v>1334</v>
      </c>
      <c r="I8">
        <v>-1.6915989818837348E-2</v>
      </c>
    </row>
    <row r="9" spans="1:9">
      <c r="A9" s="118">
        <v>45509</v>
      </c>
      <c r="B9" t="s">
        <v>14</v>
      </c>
      <c r="C9">
        <v>1449</v>
      </c>
      <c r="D9">
        <v>96</v>
      </c>
      <c r="E9">
        <v>200636</v>
      </c>
      <c r="F9">
        <v>9.92</v>
      </c>
      <c r="G9">
        <v>15613</v>
      </c>
      <c r="H9">
        <v>1353</v>
      </c>
      <c r="I9">
        <v>-1.6915989818837348E-2</v>
      </c>
    </row>
    <row r="10" spans="1:9">
      <c r="A10" s="118">
        <v>45600</v>
      </c>
      <c r="B10" t="s">
        <v>24</v>
      </c>
      <c r="C10">
        <v>1463</v>
      </c>
      <c r="D10">
        <v>73</v>
      </c>
      <c r="E10">
        <v>348877</v>
      </c>
      <c r="F10">
        <v>9.91</v>
      </c>
      <c r="G10">
        <v>26273</v>
      </c>
      <c r="H10">
        <v>1390</v>
      </c>
      <c r="I10">
        <v>-1.6915989818837348E-2</v>
      </c>
    </row>
    <row r="11" spans="1:9">
      <c r="A11" s="118">
        <v>45684</v>
      </c>
      <c r="B11" t="s">
        <v>14</v>
      </c>
      <c r="C11">
        <v>566</v>
      </c>
      <c r="D11">
        <v>225</v>
      </c>
      <c r="E11">
        <v>368984</v>
      </c>
      <c r="F11">
        <v>9.82</v>
      </c>
      <c r="G11">
        <v>9592</v>
      </c>
      <c r="H11">
        <v>341</v>
      </c>
      <c r="I11">
        <v>-1.6915989818837348E-2</v>
      </c>
    </row>
    <row r="12" spans="1:9">
      <c r="A12" s="118">
        <v>45747</v>
      </c>
      <c r="B12" t="s">
        <v>24</v>
      </c>
      <c r="C12">
        <v>1232</v>
      </c>
      <c r="D12">
        <v>254</v>
      </c>
      <c r="E12">
        <v>107718</v>
      </c>
      <c r="F12">
        <v>9.7100000000000009</v>
      </c>
      <c r="G12">
        <v>13740</v>
      </c>
      <c r="H12">
        <v>978</v>
      </c>
      <c r="I12">
        <v>-1.6915989818837348E-2</v>
      </c>
    </row>
    <row r="13" spans="1:9">
      <c r="A13" s="118">
        <v>45621</v>
      </c>
      <c r="B13" t="s">
        <v>31</v>
      </c>
      <c r="C13">
        <v>1313</v>
      </c>
      <c r="D13">
        <v>159</v>
      </c>
      <c r="E13">
        <v>197183</v>
      </c>
      <c r="F13">
        <v>9.7100000000000009</v>
      </c>
      <c r="G13">
        <v>6625</v>
      </c>
      <c r="H13">
        <v>1154</v>
      </c>
      <c r="I13">
        <v>-1.6915989818837348E-2</v>
      </c>
    </row>
    <row r="14" spans="1:9">
      <c r="A14" s="118">
        <v>45467</v>
      </c>
      <c r="B14" t="s">
        <v>31</v>
      </c>
      <c r="C14">
        <v>844</v>
      </c>
      <c r="D14">
        <v>144</v>
      </c>
      <c r="E14">
        <v>126015</v>
      </c>
      <c r="F14">
        <v>9.65</v>
      </c>
      <c r="G14">
        <v>22456</v>
      </c>
      <c r="H14">
        <v>700</v>
      </c>
      <c r="I14">
        <v>-1.6915989818837348E-2</v>
      </c>
    </row>
    <row r="15" spans="1:9">
      <c r="A15" s="118">
        <v>45852</v>
      </c>
      <c r="B15" t="s">
        <v>24</v>
      </c>
      <c r="C15">
        <v>670</v>
      </c>
      <c r="D15">
        <v>242</v>
      </c>
      <c r="E15">
        <v>281913</v>
      </c>
      <c r="F15">
        <v>9.6199999999999992</v>
      </c>
      <c r="G15">
        <v>16377</v>
      </c>
      <c r="H15">
        <v>428</v>
      </c>
      <c r="I15">
        <v>-1.6915989818837348E-2</v>
      </c>
    </row>
    <row r="16" spans="1:9">
      <c r="A16" s="118">
        <v>45740</v>
      </c>
      <c r="B16" t="s">
        <v>24</v>
      </c>
      <c r="C16">
        <v>975</v>
      </c>
      <c r="D16">
        <v>162</v>
      </c>
      <c r="E16">
        <v>124497</v>
      </c>
      <c r="F16">
        <v>9.58</v>
      </c>
      <c r="G16">
        <v>26618</v>
      </c>
      <c r="H16">
        <v>813</v>
      </c>
      <c r="I16">
        <v>-1.6915989818837348E-2</v>
      </c>
    </row>
    <row r="17" spans="1:9">
      <c r="A17" s="118">
        <v>45579</v>
      </c>
      <c r="B17" t="s">
        <v>31</v>
      </c>
      <c r="C17">
        <v>1457</v>
      </c>
      <c r="D17">
        <v>215</v>
      </c>
      <c r="E17">
        <v>325325</v>
      </c>
      <c r="F17">
        <v>9.58</v>
      </c>
      <c r="G17">
        <v>14178</v>
      </c>
      <c r="H17">
        <v>1242</v>
      </c>
      <c r="I17">
        <v>-1.6915989818837348E-2</v>
      </c>
    </row>
    <row r="18" spans="1:9">
      <c r="A18" s="118">
        <v>45565</v>
      </c>
      <c r="B18" t="s">
        <v>24</v>
      </c>
      <c r="C18">
        <v>998</v>
      </c>
      <c r="D18">
        <v>154</v>
      </c>
      <c r="E18">
        <v>179781</v>
      </c>
      <c r="F18">
        <v>9.58</v>
      </c>
      <c r="G18">
        <v>12115</v>
      </c>
      <c r="H18">
        <v>844</v>
      </c>
      <c r="I18">
        <v>-1.6915989818837348E-2</v>
      </c>
    </row>
    <row r="19" spans="1:9">
      <c r="A19" s="118">
        <v>45733</v>
      </c>
      <c r="B19" t="s">
        <v>31</v>
      </c>
      <c r="C19">
        <v>1274</v>
      </c>
      <c r="D19">
        <v>146</v>
      </c>
      <c r="E19">
        <v>263488</v>
      </c>
      <c r="F19">
        <v>9.58</v>
      </c>
      <c r="G19">
        <v>8698</v>
      </c>
      <c r="H19">
        <v>1128</v>
      </c>
      <c r="I19">
        <v>-1.6915989818837348E-2</v>
      </c>
    </row>
    <row r="20" spans="1:9">
      <c r="A20" s="118">
        <v>45551</v>
      </c>
      <c r="B20" t="s">
        <v>24</v>
      </c>
      <c r="C20">
        <v>1373</v>
      </c>
      <c r="D20">
        <v>82</v>
      </c>
      <c r="E20">
        <v>371015</v>
      </c>
      <c r="F20">
        <v>9.52</v>
      </c>
      <c r="G20">
        <v>20306</v>
      </c>
      <c r="H20">
        <v>1291</v>
      </c>
      <c r="I20">
        <v>-1.6915989818837348E-2</v>
      </c>
    </row>
    <row r="21" spans="1:9">
      <c r="A21" s="118">
        <v>45467</v>
      </c>
      <c r="B21" t="s">
        <v>14</v>
      </c>
      <c r="C21">
        <v>809</v>
      </c>
      <c r="D21">
        <v>197</v>
      </c>
      <c r="E21">
        <v>87186</v>
      </c>
      <c r="F21">
        <v>9.48</v>
      </c>
      <c r="G21">
        <v>22619</v>
      </c>
      <c r="H21">
        <v>612</v>
      </c>
      <c r="I21">
        <v>-1.6915989818837348E-2</v>
      </c>
    </row>
    <row r="22" spans="1:9">
      <c r="A22" s="118">
        <v>45453</v>
      </c>
      <c r="B22" t="s">
        <v>14</v>
      </c>
      <c r="C22">
        <v>1018</v>
      </c>
      <c r="D22">
        <v>90</v>
      </c>
      <c r="E22">
        <v>92474</v>
      </c>
      <c r="F22">
        <v>9.4</v>
      </c>
      <c r="G22">
        <v>11966</v>
      </c>
      <c r="H22">
        <v>928</v>
      </c>
      <c r="I22">
        <v>-1.6915989818837348E-2</v>
      </c>
    </row>
    <row r="23" spans="1:9">
      <c r="A23" s="118">
        <v>45516</v>
      </c>
      <c r="B23" t="s">
        <v>31</v>
      </c>
      <c r="C23">
        <v>1109</v>
      </c>
      <c r="D23">
        <v>205</v>
      </c>
      <c r="E23">
        <v>276722</v>
      </c>
      <c r="F23">
        <v>9.3800000000000008</v>
      </c>
      <c r="G23">
        <v>8274</v>
      </c>
      <c r="H23">
        <v>904</v>
      </c>
      <c r="I23">
        <v>-1.6915989818837348E-2</v>
      </c>
    </row>
    <row r="24" spans="1:9">
      <c r="A24" s="118">
        <v>45887</v>
      </c>
      <c r="B24" t="s">
        <v>31</v>
      </c>
      <c r="C24">
        <v>936</v>
      </c>
      <c r="D24">
        <v>97</v>
      </c>
      <c r="E24">
        <v>151799</v>
      </c>
      <c r="F24">
        <v>9.3699999999999992</v>
      </c>
      <c r="G24">
        <v>15461</v>
      </c>
      <c r="H24">
        <v>839</v>
      </c>
      <c r="I24">
        <v>-1.6915989818837348E-2</v>
      </c>
    </row>
    <row r="25" spans="1:9">
      <c r="A25" s="118">
        <v>45495</v>
      </c>
      <c r="B25" t="s">
        <v>14</v>
      </c>
      <c r="C25">
        <v>866</v>
      </c>
      <c r="D25">
        <v>74</v>
      </c>
      <c r="E25">
        <v>204121</v>
      </c>
      <c r="F25">
        <v>9.34</v>
      </c>
      <c r="G25">
        <v>7797</v>
      </c>
      <c r="H25">
        <v>792</v>
      </c>
      <c r="I25">
        <v>-1.6915989818837348E-2</v>
      </c>
    </row>
    <row r="26" spans="1:9">
      <c r="A26" s="118">
        <v>45558</v>
      </c>
      <c r="B26" t="s">
        <v>14</v>
      </c>
      <c r="C26">
        <v>1290</v>
      </c>
      <c r="D26">
        <v>177</v>
      </c>
      <c r="E26">
        <v>80745</v>
      </c>
      <c r="F26">
        <v>9.2200000000000006</v>
      </c>
      <c r="G26">
        <v>26872</v>
      </c>
      <c r="H26">
        <v>1113</v>
      </c>
      <c r="I26">
        <v>-1.6915989818837348E-2</v>
      </c>
    </row>
    <row r="27" spans="1:9">
      <c r="A27" s="118">
        <v>45635</v>
      </c>
      <c r="B27" t="s">
        <v>14</v>
      </c>
      <c r="C27">
        <v>875</v>
      </c>
      <c r="D27">
        <v>264</v>
      </c>
      <c r="E27">
        <v>345631</v>
      </c>
      <c r="F27">
        <v>9.18</v>
      </c>
      <c r="G27">
        <v>25703</v>
      </c>
      <c r="H27">
        <v>611</v>
      </c>
      <c r="I27">
        <v>-1.6915989818837348E-2</v>
      </c>
    </row>
    <row r="28" spans="1:9">
      <c r="A28" s="118">
        <v>45782</v>
      </c>
      <c r="B28" t="s">
        <v>31</v>
      </c>
      <c r="C28">
        <v>622</v>
      </c>
      <c r="D28">
        <v>163</v>
      </c>
      <c r="E28">
        <v>231925</v>
      </c>
      <c r="F28">
        <v>9.18</v>
      </c>
      <c r="G28">
        <v>13763</v>
      </c>
      <c r="H28">
        <v>459</v>
      </c>
      <c r="I28">
        <v>-1.6915989818837348E-2</v>
      </c>
    </row>
    <row r="29" spans="1:9">
      <c r="A29" s="118">
        <v>45642</v>
      </c>
      <c r="B29" t="s">
        <v>24</v>
      </c>
      <c r="C29">
        <v>632</v>
      </c>
      <c r="D29">
        <v>155</v>
      </c>
      <c r="E29">
        <v>170432</v>
      </c>
      <c r="F29">
        <v>9.17</v>
      </c>
      <c r="G29">
        <v>12840</v>
      </c>
      <c r="H29">
        <v>477</v>
      </c>
      <c r="I29">
        <v>-1.6915989818837348E-2</v>
      </c>
    </row>
    <row r="30" spans="1:9">
      <c r="A30" s="118">
        <v>45677</v>
      </c>
      <c r="B30" t="s">
        <v>24</v>
      </c>
      <c r="C30">
        <v>841</v>
      </c>
      <c r="D30">
        <v>295</v>
      </c>
      <c r="E30">
        <v>271638</v>
      </c>
      <c r="F30">
        <v>9.15</v>
      </c>
      <c r="G30">
        <v>5900</v>
      </c>
      <c r="H30">
        <v>546</v>
      </c>
      <c r="I30">
        <v>-1.6915989818837348E-2</v>
      </c>
    </row>
    <row r="31" spans="1:9">
      <c r="A31" s="118">
        <v>45845</v>
      </c>
      <c r="B31" t="s">
        <v>31</v>
      </c>
      <c r="C31">
        <v>1051</v>
      </c>
      <c r="D31">
        <v>246</v>
      </c>
      <c r="E31">
        <v>253985</v>
      </c>
      <c r="F31">
        <v>9.08</v>
      </c>
      <c r="G31">
        <v>7245</v>
      </c>
      <c r="H31">
        <v>805</v>
      </c>
      <c r="I31">
        <v>-1.6915989818837348E-2</v>
      </c>
    </row>
    <row r="32" spans="1:9">
      <c r="A32" s="118">
        <v>45663</v>
      </c>
      <c r="B32" t="s">
        <v>31</v>
      </c>
      <c r="C32">
        <v>953</v>
      </c>
      <c r="D32">
        <v>228</v>
      </c>
      <c r="E32">
        <v>258398</v>
      </c>
      <c r="F32">
        <v>9.0500000000000007</v>
      </c>
      <c r="G32">
        <v>13314</v>
      </c>
      <c r="H32">
        <v>725</v>
      </c>
      <c r="I32">
        <v>-1.6915989818837348E-2</v>
      </c>
    </row>
    <row r="33" spans="1:9">
      <c r="A33" s="118">
        <v>45453</v>
      </c>
      <c r="B33" t="s">
        <v>24</v>
      </c>
      <c r="C33">
        <v>1461</v>
      </c>
      <c r="D33">
        <v>64</v>
      </c>
      <c r="E33">
        <v>328902</v>
      </c>
      <c r="F33">
        <v>9.02</v>
      </c>
      <c r="G33">
        <v>26298</v>
      </c>
      <c r="H33">
        <v>1397</v>
      </c>
      <c r="I33">
        <v>-1.6915989818837348E-2</v>
      </c>
    </row>
    <row r="34" spans="1:9">
      <c r="A34" s="118">
        <v>45621</v>
      </c>
      <c r="B34" t="s">
        <v>14</v>
      </c>
      <c r="C34">
        <v>663</v>
      </c>
      <c r="D34">
        <v>213</v>
      </c>
      <c r="E34">
        <v>352677</v>
      </c>
      <c r="F34">
        <v>9</v>
      </c>
      <c r="G34">
        <v>20438</v>
      </c>
      <c r="H34">
        <v>450</v>
      </c>
      <c r="I34">
        <v>-1.6915989818837348E-2</v>
      </c>
    </row>
    <row r="35" spans="1:9">
      <c r="A35" s="118">
        <v>45649</v>
      </c>
      <c r="B35" t="s">
        <v>31</v>
      </c>
      <c r="C35">
        <v>935</v>
      </c>
      <c r="D35">
        <v>85</v>
      </c>
      <c r="E35">
        <v>326821</v>
      </c>
      <c r="F35">
        <v>8.89</v>
      </c>
      <c r="G35">
        <v>13301</v>
      </c>
      <c r="H35">
        <v>850</v>
      </c>
      <c r="I35">
        <v>-1.6915989818837348E-2</v>
      </c>
    </row>
    <row r="36" spans="1:9">
      <c r="A36" s="118">
        <v>45565</v>
      </c>
      <c r="B36" t="s">
        <v>31</v>
      </c>
      <c r="C36">
        <v>1421</v>
      </c>
      <c r="D36">
        <v>246</v>
      </c>
      <c r="E36">
        <v>358581</v>
      </c>
      <c r="F36">
        <v>8.8800000000000008</v>
      </c>
      <c r="G36">
        <v>24358</v>
      </c>
      <c r="H36">
        <v>1175</v>
      </c>
      <c r="I36">
        <v>-1.6915989818837348E-2</v>
      </c>
    </row>
    <row r="37" spans="1:9">
      <c r="A37" s="118">
        <v>45621</v>
      </c>
      <c r="B37" t="s">
        <v>24</v>
      </c>
      <c r="C37">
        <v>954</v>
      </c>
      <c r="D37">
        <v>271</v>
      </c>
      <c r="E37">
        <v>160936</v>
      </c>
      <c r="F37">
        <v>8.83</v>
      </c>
      <c r="G37">
        <v>8760</v>
      </c>
      <c r="H37">
        <v>683</v>
      </c>
      <c r="I37">
        <v>-1.6915989818837348E-2</v>
      </c>
    </row>
    <row r="38" spans="1:9">
      <c r="A38" s="118">
        <v>45551</v>
      </c>
      <c r="B38" t="s">
        <v>14</v>
      </c>
      <c r="C38">
        <v>681</v>
      </c>
      <c r="D38">
        <v>210</v>
      </c>
      <c r="E38">
        <v>248581</v>
      </c>
      <c r="F38">
        <v>8.76</v>
      </c>
      <c r="G38">
        <v>9567</v>
      </c>
      <c r="H38">
        <v>471</v>
      </c>
      <c r="I38">
        <v>-1.6915989818837348E-2</v>
      </c>
    </row>
    <row r="39" spans="1:9">
      <c r="A39" s="118">
        <v>45670</v>
      </c>
      <c r="B39" t="s">
        <v>24</v>
      </c>
      <c r="C39">
        <v>1414</v>
      </c>
      <c r="D39">
        <v>60</v>
      </c>
      <c r="E39">
        <v>341856</v>
      </c>
      <c r="F39">
        <v>8.76</v>
      </c>
      <c r="G39">
        <v>6868</v>
      </c>
      <c r="H39">
        <v>1354</v>
      </c>
      <c r="I39">
        <v>-1.6915989818837348E-2</v>
      </c>
    </row>
    <row r="40" spans="1:9">
      <c r="A40" s="118">
        <v>45880</v>
      </c>
      <c r="B40" t="s">
        <v>24</v>
      </c>
      <c r="C40">
        <v>938</v>
      </c>
      <c r="D40">
        <v>236</v>
      </c>
      <c r="E40">
        <v>116472</v>
      </c>
      <c r="F40">
        <v>8.7200000000000006</v>
      </c>
      <c r="G40">
        <v>17460</v>
      </c>
      <c r="H40">
        <v>702</v>
      </c>
      <c r="I40">
        <v>-1.6915989818837348E-2</v>
      </c>
    </row>
    <row r="41" spans="1:9">
      <c r="A41" s="118">
        <v>45600</v>
      </c>
      <c r="B41" t="s">
        <v>31</v>
      </c>
      <c r="C41">
        <v>1208</v>
      </c>
      <c r="D41">
        <v>224</v>
      </c>
      <c r="E41">
        <v>122730</v>
      </c>
      <c r="F41">
        <v>8.7200000000000006</v>
      </c>
      <c r="G41">
        <v>10858</v>
      </c>
      <c r="H41">
        <v>984</v>
      </c>
      <c r="I41">
        <v>-1.6915989818837348E-2</v>
      </c>
    </row>
    <row r="42" spans="1:9">
      <c r="A42" s="118">
        <v>45852</v>
      </c>
      <c r="B42" t="s">
        <v>31</v>
      </c>
      <c r="C42">
        <v>1111</v>
      </c>
      <c r="D42">
        <v>159</v>
      </c>
      <c r="E42">
        <v>360770</v>
      </c>
      <c r="F42">
        <v>8.7100000000000009</v>
      </c>
      <c r="G42">
        <v>11453</v>
      </c>
      <c r="H42">
        <v>952</v>
      </c>
      <c r="I42">
        <v>-1.6915989818837348E-2</v>
      </c>
    </row>
    <row r="43" spans="1:9">
      <c r="A43" s="118">
        <v>45789</v>
      </c>
      <c r="B43" t="s">
        <v>24</v>
      </c>
      <c r="C43">
        <v>544</v>
      </c>
      <c r="D43">
        <v>97</v>
      </c>
      <c r="E43">
        <v>168375</v>
      </c>
      <c r="F43">
        <v>8.66</v>
      </c>
      <c r="G43">
        <v>12774</v>
      </c>
      <c r="H43">
        <v>447</v>
      </c>
      <c r="I43">
        <v>-1.6915989818837348E-2</v>
      </c>
    </row>
    <row r="44" spans="1:9">
      <c r="A44" s="118">
        <v>45698</v>
      </c>
      <c r="B44" t="s">
        <v>14</v>
      </c>
      <c r="C44">
        <v>1066</v>
      </c>
      <c r="D44">
        <v>151</v>
      </c>
      <c r="E44">
        <v>297090</v>
      </c>
      <c r="F44">
        <v>8.6300000000000008</v>
      </c>
      <c r="G44">
        <v>11235</v>
      </c>
      <c r="H44">
        <v>915</v>
      </c>
      <c r="I44">
        <v>-1.6915989818837348E-2</v>
      </c>
    </row>
    <row r="45" spans="1:9">
      <c r="A45" s="118">
        <v>45873</v>
      </c>
      <c r="B45" t="s">
        <v>24</v>
      </c>
      <c r="C45">
        <v>640</v>
      </c>
      <c r="D45">
        <v>141</v>
      </c>
      <c r="E45">
        <v>267546</v>
      </c>
      <c r="F45">
        <v>8.58</v>
      </c>
      <c r="G45">
        <v>25058</v>
      </c>
      <c r="H45">
        <v>499</v>
      </c>
      <c r="I45">
        <v>-1.6915989818837348E-2</v>
      </c>
    </row>
    <row r="46" spans="1:9">
      <c r="A46" s="118">
        <v>45481</v>
      </c>
      <c r="B46" t="s">
        <v>24</v>
      </c>
      <c r="C46">
        <v>1471</v>
      </c>
      <c r="D46">
        <v>100</v>
      </c>
      <c r="E46">
        <v>76866</v>
      </c>
      <c r="F46">
        <v>8.5500000000000007</v>
      </c>
      <c r="G46">
        <v>14412</v>
      </c>
      <c r="H46">
        <v>1371</v>
      </c>
      <c r="I46">
        <v>-1.6915989818837348E-2</v>
      </c>
    </row>
    <row r="47" spans="1:9">
      <c r="A47" s="118">
        <v>45488</v>
      </c>
      <c r="B47" t="s">
        <v>24</v>
      </c>
      <c r="C47">
        <v>1308</v>
      </c>
      <c r="D47">
        <v>210</v>
      </c>
      <c r="E47">
        <v>263729</v>
      </c>
      <c r="F47">
        <v>8.5299999999999994</v>
      </c>
      <c r="G47">
        <v>25742</v>
      </c>
      <c r="H47">
        <v>1098</v>
      </c>
      <c r="I47">
        <v>-1.6915989818837348E-2</v>
      </c>
    </row>
    <row r="48" spans="1:9">
      <c r="A48" s="118">
        <v>45481</v>
      </c>
      <c r="B48" t="s">
        <v>14</v>
      </c>
      <c r="C48">
        <v>797</v>
      </c>
      <c r="D48">
        <v>130</v>
      </c>
      <c r="E48">
        <v>340121</v>
      </c>
      <c r="F48">
        <v>8.52</v>
      </c>
      <c r="G48">
        <v>11684</v>
      </c>
      <c r="H48">
        <v>667</v>
      </c>
      <c r="I48">
        <v>-1.6915989818837348E-2</v>
      </c>
    </row>
    <row r="49" spans="1:9">
      <c r="A49" s="118">
        <v>45873</v>
      </c>
      <c r="B49" t="s">
        <v>31</v>
      </c>
      <c r="C49">
        <v>616</v>
      </c>
      <c r="D49">
        <v>93</v>
      </c>
      <c r="E49">
        <v>133082</v>
      </c>
      <c r="F49">
        <v>8.51</v>
      </c>
      <c r="G49">
        <v>18303</v>
      </c>
      <c r="H49">
        <v>523</v>
      </c>
      <c r="I49">
        <v>-1.6915989818837348E-2</v>
      </c>
    </row>
    <row r="50" spans="1:9">
      <c r="A50" s="118">
        <v>45572</v>
      </c>
      <c r="B50" t="s">
        <v>24</v>
      </c>
      <c r="C50">
        <v>678</v>
      </c>
      <c r="D50">
        <v>124</v>
      </c>
      <c r="E50">
        <v>192022</v>
      </c>
      <c r="F50">
        <v>8.4499999999999993</v>
      </c>
      <c r="G50">
        <v>17729</v>
      </c>
      <c r="H50">
        <v>554</v>
      </c>
      <c r="I50">
        <v>-1.6915989818837348E-2</v>
      </c>
    </row>
    <row r="51" spans="1:9">
      <c r="A51" s="118">
        <v>45831</v>
      </c>
      <c r="B51" t="s">
        <v>14</v>
      </c>
      <c r="C51">
        <v>564</v>
      </c>
      <c r="D51">
        <v>244</v>
      </c>
      <c r="E51">
        <v>279405</v>
      </c>
      <c r="F51">
        <v>8.43</v>
      </c>
      <c r="G51">
        <v>26024</v>
      </c>
      <c r="H51">
        <v>320</v>
      </c>
      <c r="I51">
        <v>-1.6915989818837348E-2</v>
      </c>
    </row>
    <row r="52" spans="1:9">
      <c r="A52" s="118">
        <v>45488</v>
      </c>
      <c r="B52" t="s">
        <v>31</v>
      </c>
      <c r="C52">
        <v>981</v>
      </c>
      <c r="D52">
        <v>69</v>
      </c>
      <c r="E52">
        <v>206921</v>
      </c>
      <c r="F52">
        <v>8.42</v>
      </c>
      <c r="G52">
        <v>10495</v>
      </c>
      <c r="H52">
        <v>912</v>
      </c>
      <c r="I52">
        <v>-1.6915989818837348E-2</v>
      </c>
    </row>
    <row r="53" spans="1:9">
      <c r="A53" s="118">
        <v>45572</v>
      </c>
      <c r="B53" t="s">
        <v>31</v>
      </c>
      <c r="C53">
        <v>1328</v>
      </c>
      <c r="D53">
        <v>103</v>
      </c>
      <c r="E53">
        <v>151462</v>
      </c>
      <c r="F53">
        <v>8.4</v>
      </c>
      <c r="G53">
        <v>10881</v>
      </c>
      <c r="H53">
        <v>1225</v>
      </c>
      <c r="I53">
        <v>-1.6915989818837348E-2</v>
      </c>
    </row>
    <row r="54" spans="1:9">
      <c r="A54" s="118">
        <v>45607</v>
      </c>
      <c r="B54" t="s">
        <v>14</v>
      </c>
      <c r="C54">
        <v>1391</v>
      </c>
      <c r="D54">
        <v>187</v>
      </c>
      <c r="E54">
        <v>306508</v>
      </c>
      <c r="F54">
        <v>8.3800000000000008</v>
      </c>
      <c r="G54">
        <v>25038</v>
      </c>
      <c r="H54">
        <v>1204</v>
      </c>
      <c r="I54">
        <v>-1.6915989818837348E-2</v>
      </c>
    </row>
    <row r="55" spans="1:9">
      <c r="A55" s="118">
        <v>45887</v>
      </c>
      <c r="B55" t="s">
        <v>14</v>
      </c>
      <c r="C55">
        <v>541</v>
      </c>
      <c r="D55">
        <v>208</v>
      </c>
      <c r="E55">
        <v>157547</v>
      </c>
      <c r="F55">
        <v>8.35</v>
      </c>
      <c r="G55">
        <v>20162</v>
      </c>
      <c r="H55">
        <v>333</v>
      </c>
      <c r="I55">
        <v>-1.6915989818837348E-2</v>
      </c>
    </row>
    <row r="56" spans="1:9">
      <c r="A56" s="118">
        <v>45460</v>
      </c>
      <c r="B56" t="s">
        <v>24</v>
      </c>
      <c r="C56">
        <v>1414</v>
      </c>
      <c r="D56">
        <v>131</v>
      </c>
      <c r="E56">
        <v>245947</v>
      </c>
      <c r="F56">
        <v>8.3000000000000007</v>
      </c>
      <c r="G56">
        <v>14477</v>
      </c>
      <c r="H56">
        <v>1283</v>
      </c>
      <c r="I56">
        <v>-1.6915989818837348E-2</v>
      </c>
    </row>
    <row r="57" spans="1:9">
      <c r="A57" s="118">
        <v>45719</v>
      </c>
      <c r="B57" t="s">
        <v>14</v>
      </c>
      <c r="C57">
        <v>1444</v>
      </c>
      <c r="D57">
        <v>165</v>
      </c>
      <c r="E57">
        <v>116436</v>
      </c>
      <c r="F57">
        <v>8.2200000000000006</v>
      </c>
      <c r="G57">
        <v>25234</v>
      </c>
      <c r="H57">
        <v>1279</v>
      </c>
      <c r="I57">
        <v>-1.6915989818837348E-2</v>
      </c>
    </row>
    <row r="58" spans="1:9">
      <c r="A58" s="118">
        <v>45586</v>
      </c>
      <c r="B58" t="s">
        <v>24</v>
      </c>
      <c r="C58">
        <v>886</v>
      </c>
      <c r="D58">
        <v>124</v>
      </c>
      <c r="E58">
        <v>141161</v>
      </c>
      <c r="F58">
        <v>8.19</v>
      </c>
      <c r="G58">
        <v>14215</v>
      </c>
      <c r="H58">
        <v>762</v>
      </c>
      <c r="I58">
        <v>-1.6915989818837348E-2</v>
      </c>
    </row>
    <row r="59" spans="1:9">
      <c r="A59" s="118">
        <v>45509</v>
      </c>
      <c r="B59" t="s">
        <v>24</v>
      </c>
      <c r="C59">
        <v>752</v>
      </c>
      <c r="D59">
        <v>170</v>
      </c>
      <c r="E59">
        <v>132756</v>
      </c>
      <c r="F59">
        <v>8.17</v>
      </c>
      <c r="G59">
        <v>23900</v>
      </c>
      <c r="H59">
        <v>582</v>
      </c>
      <c r="I59">
        <v>-1.6915989818837348E-2</v>
      </c>
    </row>
    <row r="60" spans="1:9">
      <c r="A60" s="118">
        <v>45579</v>
      </c>
      <c r="B60" t="s">
        <v>24</v>
      </c>
      <c r="C60">
        <v>588</v>
      </c>
      <c r="D60">
        <v>52</v>
      </c>
      <c r="E60">
        <v>292040</v>
      </c>
      <c r="F60">
        <v>8.14</v>
      </c>
      <c r="G60">
        <v>9383</v>
      </c>
      <c r="H60">
        <v>536</v>
      </c>
      <c r="I60">
        <v>-1.6915989818837348E-2</v>
      </c>
    </row>
    <row r="61" spans="1:9">
      <c r="A61" s="118">
        <v>45558</v>
      </c>
      <c r="B61" t="s">
        <v>31</v>
      </c>
      <c r="C61">
        <v>769</v>
      </c>
      <c r="D61">
        <v>295</v>
      </c>
      <c r="E61">
        <v>344771</v>
      </c>
      <c r="F61">
        <v>8.06</v>
      </c>
      <c r="G61">
        <v>23963</v>
      </c>
      <c r="H61">
        <v>474</v>
      </c>
      <c r="I61">
        <v>-1.6915989818837348E-2</v>
      </c>
    </row>
    <row r="62" spans="1:9">
      <c r="A62" s="118">
        <v>45586</v>
      </c>
      <c r="B62" t="s">
        <v>14</v>
      </c>
      <c r="C62">
        <v>1190</v>
      </c>
      <c r="D62">
        <v>242</v>
      </c>
      <c r="E62">
        <v>86849</v>
      </c>
      <c r="F62">
        <v>8.06</v>
      </c>
      <c r="G62">
        <v>21254</v>
      </c>
      <c r="H62">
        <v>948</v>
      </c>
      <c r="I62">
        <v>-1.6915989818837348E-2</v>
      </c>
    </row>
    <row r="63" spans="1:9">
      <c r="A63" s="118">
        <v>45446</v>
      </c>
      <c r="B63" t="s">
        <v>24</v>
      </c>
      <c r="C63">
        <v>995</v>
      </c>
      <c r="D63">
        <v>86</v>
      </c>
      <c r="E63">
        <v>227958</v>
      </c>
      <c r="F63">
        <v>8.0500000000000007</v>
      </c>
      <c r="G63">
        <v>22788</v>
      </c>
      <c r="H63">
        <v>909</v>
      </c>
      <c r="I63">
        <v>-1.6915989818837348E-2</v>
      </c>
    </row>
    <row r="64" spans="1:9">
      <c r="A64" s="118">
        <v>45698</v>
      </c>
      <c r="B64" t="s">
        <v>24</v>
      </c>
      <c r="C64">
        <v>1270</v>
      </c>
      <c r="D64">
        <v>162</v>
      </c>
      <c r="E64">
        <v>92040</v>
      </c>
      <c r="F64">
        <v>8.0299999999999994</v>
      </c>
      <c r="G64">
        <v>6120</v>
      </c>
      <c r="H64">
        <v>1108</v>
      </c>
      <c r="I64">
        <v>-1.6915989818837348E-2</v>
      </c>
    </row>
    <row r="65" spans="1:9">
      <c r="A65" s="118">
        <v>45481</v>
      </c>
      <c r="B65" t="s">
        <v>31</v>
      </c>
      <c r="C65">
        <v>1253</v>
      </c>
      <c r="D65">
        <v>136</v>
      </c>
      <c r="E65">
        <v>193131</v>
      </c>
      <c r="F65">
        <v>7.99</v>
      </c>
      <c r="G65">
        <v>15924</v>
      </c>
      <c r="H65">
        <v>1117</v>
      </c>
      <c r="I65">
        <v>-1.6915989818837348E-2</v>
      </c>
    </row>
    <row r="66" spans="1:9">
      <c r="A66" s="118">
        <v>45852</v>
      </c>
      <c r="B66" t="s">
        <v>14</v>
      </c>
      <c r="C66">
        <v>1457</v>
      </c>
      <c r="D66">
        <v>183</v>
      </c>
      <c r="E66">
        <v>129640</v>
      </c>
      <c r="F66">
        <v>7.98</v>
      </c>
      <c r="G66">
        <v>12985</v>
      </c>
      <c r="H66">
        <v>1274</v>
      </c>
      <c r="I66">
        <v>-1.6915989818837348E-2</v>
      </c>
    </row>
    <row r="67" spans="1:9">
      <c r="A67" s="118">
        <v>45628</v>
      </c>
      <c r="B67" t="s">
        <v>31</v>
      </c>
      <c r="C67">
        <v>990</v>
      </c>
      <c r="D67">
        <v>286</v>
      </c>
      <c r="E67">
        <v>351493</v>
      </c>
      <c r="F67">
        <v>7.97</v>
      </c>
      <c r="G67">
        <v>14496</v>
      </c>
      <c r="H67">
        <v>704</v>
      </c>
      <c r="I67">
        <v>-1.6915989818837348E-2</v>
      </c>
    </row>
    <row r="68" spans="1:9">
      <c r="A68" s="118">
        <v>45796</v>
      </c>
      <c r="B68" t="s">
        <v>14</v>
      </c>
      <c r="C68">
        <v>1073</v>
      </c>
      <c r="D68">
        <v>141</v>
      </c>
      <c r="E68">
        <v>118393</v>
      </c>
      <c r="F68">
        <v>7.95</v>
      </c>
      <c r="G68">
        <v>14051</v>
      </c>
      <c r="H68">
        <v>932</v>
      </c>
      <c r="I68">
        <v>-1.6915989818837348E-2</v>
      </c>
    </row>
    <row r="69" spans="1:9">
      <c r="A69" s="118">
        <v>45726</v>
      </c>
      <c r="B69" t="s">
        <v>14</v>
      </c>
      <c r="C69">
        <v>631</v>
      </c>
      <c r="D69">
        <v>86</v>
      </c>
      <c r="E69">
        <v>295090</v>
      </c>
      <c r="F69">
        <v>7.89</v>
      </c>
      <c r="G69">
        <v>11911</v>
      </c>
      <c r="H69">
        <v>545</v>
      </c>
      <c r="I69">
        <v>-1.6915989818837348E-2</v>
      </c>
    </row>
    <row r="70" spans="1:9">
      <c r="A70" s="118">
        <v>45698</v>
      </c>
      <c r="B70" t="s">
        <v>31</v>
      </c>
      <c r="C70">
        <v>536</v>
      </c>
      <c r="D70">
        <v>198</v>
      </c>
      <c r="E70">
        <v>174610</v>
      </c>
      <c r="F70">
        <v>7.85</v>
      </c>
      <c r="G70">
        <v>20572</v>
      </c>
      <c r="H70">
        <v>338</v>
      </c>
      <c r="I70">
        <v>-1.6915989818837348E-2</v>
      </c>
    </row>
    <row r="71" spans="1:9">
      <c r="A71" s="118">
        <v>45747</v>
      </c>
      <c r="B71" t="s">
        <v>14</v>
      </c>
      <c r="C71">
        <v>591</v>
      </c>
      <c r="D71">
        <v>155</v>
      </c>
      <c r="E71">
        <v>138521</v>
      </c>
      <c r="F71">
        <v>7.85</v>
      </c>
      <c r="G71">
        <v>19054</v>
      </c>
      <c r="H71">
        <v>436</v>
      </c>
      <c r="I71">
        <v>-1.6915989818837348E-2</v>
      </c>
    </row>
    <row r="72" spans="1:9">
      <c r="A72" s="118">
        <v>45544</v>
      </c>
      <c r="B72" t="s">
        <v>31</v>
      </c>
      <c r="C72">
        <v>854</v>
      </c>
      <c r="D72">
        <v>129</v>
      </c>
      <c r="E72">
        <v>310903</v>
      </c>
      <c r="F72">
        <v>7.83</v>
      </c>
      <c r="G72">
        <v>16875</v>
      </c>
      <c r="H72">
        <v>725</v>
      </c>
      <c r="I72">
        <v>-1.6915989818837348E-2</v>
      </c>
    </row>
    <row r="73" spans="1:9">
      <c r="A73" s="118">
        <v>45663</v>
      </c>
      <c r="B73" t="s">
        <v>24</v>
      </c>
      <c r="C73">
        <v>1340</v>
      </c>
      <c r="D73">
        <v>57</v>
      </c>
      <c r="E73">
        <v>155927</v>
      </c>
      <c r="F73">
        <v>7.79</v>
      </c>
      <c r="G73">
        <v>11972</v>
      </c>
      <c r="H73">
        <v>1283</v>
      </c>
      <c r="I73">
        <v>-1.6915989818837348E-2</v>
      </c>
    </row>
    <row r="74" spans="1:9">
      <c r="A74" s="118">
        <v>45866</v>
      </c>
      <c r="B74" t="s">
        <v>31</v>
      </c>
      <c r="C74">
        <v>1490</v>
      </c>
      <c r="D74">
        <v>103</v>
      </c>
      <c r="E74">
        <v>81184</v>
      </c>
      <c r="F74">
        <v>7.79</v>
      </c>
      <c r="G74">
        <v>10681</v>
      </c>
      <c r="H74">
        <v>1387</v>
      </c>
      <c r="I74">
        <v>-1.6915989818837348E-2</v>
      </c>
    </row>
    <row r="75" spans="1:9">
      <c r="A75" s="118">
        <v>45768</v>
      </c>
      <c r="B75" t="s">
        <v>24</v>
      </c>
      <c r="C75">
        <v>747</v>
      </c>
      <c r="D75">
        <v>261</v>
      </c>
      <c r="E75">
        <v>338650</v>
      </c>
      <c r="F75">
        <v>7.73</v>
      </c>
      <c r="G75">
        <v>25259</v>
      </c>
      <c r="H75">
        <v>486</v>
      </c>
      <c r="I75">
        <v>-1.6915989818837348E-2</v>
      </c>
    </row>
    <row r="76" spans="1:9">
      <c r="A76" s="118">
        <v>45446</v>
      </c>
      <c r="B76" t="s">
        <v>31</v>
      </c>
      <c r="C76">
        <v>1472</v>
      </c>
      <c r="D76">
        <v>296</v>
      </c>
      <c r="E76">
        <v>370242</v>
      </c>
      <c r="F76">
        <v>7.72</v>
      </c>
      <c r="G76">
        <v>7810</v>
      </c>
      <c r="H76">
        <v>1176</v>
      </c>
      <c r="I76">
        <v>-1.6915989818837348E-2</v>
      </c>
    </row>
    <row r="77" spans="1:9">
      <c r="A77" s="118">
        <v>45880</v>
      </c>
      <c r="B77" t="s">
        <v>31</v>
      </c>
      <c r="C77">
        <v>1007</v>
      </c>
      <c r="D77">
        <v>258</v>
      </c>
      <c r="E77">
        <v>113412</v>
      </c>
      <c r="F77">
        <v>7.71</v>
      </c>
      <c r="G77">
        <v>14475</v>
      </c>
      <c r="H77">
        <v>749</v>
      </c>
      <c r="I77">
        <v>-1.6915989818837348E-2</v>
      </c>
    </row>
    <row r="78" spans="1:9">
      <c r="A78" s="118">
        <v>45719</v>
      </c>
      <c r="B78" t="s">
        <v>24</v>
      </c>
      <c r="C78">
        <v>1234</v>
      </c>
      <c r="D78">
        <v>228</v>
      </c>
      <c r="E78">
        <v>127502</v>
      </c>
      <c r="F78">
        <v>7.71</v>
      </c>
      <c r="G78">
        <v>6772</v>
      </c>
      <c r="H78">
        <v>1006</v>
      </c>
      <c r="I78">
        <v>-1.6915989818837348E-2</v>
      </c>
    </row>
    <row r="79" spans="1:9">
      <c r="A79" s="118">
        <v>45537</v>
      </c>
      <c r="B79" t="s">
        <v>31</v>
      </c>
      <c r="C79">
        <v>1096</v>
      </c>
      <c r="D79">
        <v>65</v>
      </c>
      <c r="E79">
        <v>358295</v>
      </c>
      <c r="F79">
        <v>7.66</v>
      </c>
      <c r="G79">
        <v>24548</v>
      </c>
      <c r="H79">
        <v>1031</v>
      </c>
      <c r="I79">
        <v>-1.6915989818837348E-2</v>
      </c>
    </row>
    <row r="80" spans="1:9">
      <c r="A80" s="118">
        <v>45803</v>
      </c>
      <c r="B80" t="s">
        <v>24</v>
      </c>
      <c r="C80">
        <v>1389</v>
      </c>
      <c r="D80">
        <v>205</v>
      </c>
      <c r="E80">
        <v>315981</v>
      </c>
      <c r="F80">
        <v>7.62</v>
      </c>
      <c r="G80">
        <v>20595</v>
      </c>
      <c r="H80">
        <v>1184</v>
      </c>
      <c r="I80">
        <v>-1.6915989818837348E-2</v>
      </c>
    </row>
    <row r="81" spans="1:9">
      <c r="A81" s="118">
        <v>45607</v>
      </c>
      <c r="B81" t="s">
        <v>24</v>
      </c>
      <c r="C81">
        <v>655</v>
      </c>
      <c r="D81">
        <v>123</v>
      </c>
      <c r="E81">
        <v>202472</v>
      </c>
      <c r="F81">
        <v>7.56</v>
      </c>
      <c r="G81">
        <v>9092</v>
      </c>
      <c r="H81">
        <v>532</v>
      </c>
      <c r="I81">
        <v>-1.6915989818837348E-2</v>
      </c>
    </row>
    <row r="82" spans="1:9">
      <c r="A82" s="118">
        <v>45831</v>
      </c>
      <c r="B82" t="s">
        <v>24</v>
      </c>
      <c r="C82">
        <v>668</v>
      </c>
      <c r="D82">
        <v>124</v>
      </c>
      <c r="E82">
        <v>257485</v>
      </c>
      <c r="F82">
        <v>7.55</v>
      </c>
      <c r="G82">
        <v>26730</v>
      </c>
      <c r="H82">
        <v>544</v>
      </c>
      <c r="I82">
        <v>-1.6915989818837348E-2</v>
      </c>
    </row>
    <row r="83" spans="1:9">
      <c r="A83" s="118">
        <v>45530</v>
      </c>
      <c r="B83" t="s">
        <v>14</v>
      </c>
      <c r="C83">
        <v>1154</v>
      </c>
      <c r="D83">
        <v>132</v>
      </c>
      <c r="E83">
        <v>194595</v>
      </c>
      <c r="F83">
        <v>7.54</v>
      </c>
      <c r="G83">
        <v>26624</v>
      </c>
      <c r="H83">
        <v>1022</v>
      </c>
      <c r="I83">
        <v>-1.6915989818837348E-2</v>
      </c>
    </row>
    <row r="84" spans="1:9">
      <c r="A84" s="118">
        <v>45537</v>
      </c>
      <c r="B84" t="s">
        <v>24</v>
      </c>
      <c r="C84">
        <v>1098</v>
      </c>
      <c r="D84">
        <v>142</v>
      </c>
      <c r="E84">
        <v>359150</v>
      </c>
      <c r="F84">
        <v>7.51</v>
      </c>
      <c r="G84">
        <v>16385</v>
      </c>
      <c r="H84">
        <v>956</v>
      </c>
      <c r="I84">
        <v>-1.6915989818837348E-2</v>
      </c>
    </row>
    <row r="85" spans="1:9">
      <c r="A85" s="118">
        <v>45516</v>
      </c>
      <c r="B85" t="s">
        <v>24</v>
      </c>
      <c r="C85">
        <v>1456</v>
      </c>
      <c r="D85">
        <v>265</v>
      </c>
      <c r="E85">
        <v>115505</v>
      </c>
      <c r="F85">
        <v>7.49</v>
      </c>
      <c r="G85">
        <v>10311</v>
      </c>
      <c r="H85">
        <v>1191</v>
      </c>
      <c r="I85">
        <v>-1.6915989818837348E-2</v>
      </c>
    </row>
    <row r="86" spans="1:9">
      <c r="A86" s="118">
        <v>45803</v>
      </c>
      <c r="B86" t="s">
        <v>31</v>
      </c>
      <c r="C86">
        <v>826</v>
      </c>
      <c r="D86">
        <v>142</v>
      </c>
      <c r="E86">
        <v>341016</v>
      </c>
      <c r="F86">
        <v>7.44</v>
      </c>
      <c r="G86">
        <v>12031</v>
      </c>
      <c r="H86">
        <v>684</v>
      </c>
      <c r="I86">
        <v>-1.6915989818837348E-2</v>
      </c>
    </row>
    <row r="87" spans="1:9">
      <c r="A87" s="118">
        <v>45768</v>
      </c>
      <c r="B87" t="s">
        <v>14</v>
      </c>
      <c r="C87">
        <v>585</v>
      </c>
      <c r="D87">
        <v>232</v>
      </c>
      <c r="E87">
        <v>321258</v>
      </c>
      <c r="F87">
        <v>7.42</v>
      </c>
      <c r="G87">
        <v>10343</v>
      </c>
      <c r="H87">
        <v>353</v>
      </c>
      <c r="I87">
        <v>-1.6915989818837348E-2</v>
      </c>
    </row>
    <row r="88" spans="1:9">
      <c r="A88" s="118">
        <v>45719</v>
      </c>
      <c r="B88" t="s">
        <v>31</v>
      </c>
      <c r="C88">
        <v>665</v>
      </c>
      <c r="D88">
        <v>187</v>
      </c>
      <c r="E88">
        <v>274567</v>
      </c>
      <c r="F88">
        <v>7.39</v>
      </c>
      <c r="G88">
        <v>22428</v>
      </c>
      <c r="H88">
        <v>478</v>
      </c>
      <c r="I88">
        <v>-1.6915989818837348E-2</v>
      </c>
    </row>
    <row r="89" spans="1:9">
      <c r="A89" s="118">
        <v>45754</v>
      </c>
      <c r="B89" t="s">
        <v>24</v>
      </c>
      <c r="C89">
        <v>1222</v>
      </c>
      <c r="D89">
        <v>208</v>
      </c>
      <c r="E89">
        <v>340098</v>
      </c>
      <c r="F89">
        <v>7.34</v>
      </c>
      <c r="G89">
        <v>21771</v>
      </c>
      <c r="H89">
        <v>1014</v>
      </c>
      <c r="I89">
        <v>-1.6915989818837348E-2</v>
      </c>
    </row>
    <row r="90" spans="1:9">
      <c r="A90" s="118">
        <v>45579</v>
      </c>
      <c r="B90" t="s">
        <v>14</v>
      </c>
      <c r="C90">
        <v>1161</v>
      </c>
      <c r="D90">
        <v>269</v>
      </c>
      <c r="E90">
        <v>188193</v>
      </c>
      <c r="F90">
        <v>7.34</v>
      </c>
      <c r="G90">
        <v>18576</v>
      </c>
      <c r="H90">
        <v>892</v>
      </c>
      <c r="I90">
        <v>-1.6915989818837348E-2</v>
      </c>
    </row>
    <row r="91" spans="1:9">
      <c r="A91" s="118">
        <v>45691</v>
      </c>
      <c r="B91" t="s">
        <v>14</v>
      </c>
      <c r="C91">
        <v>795</v>
      </c>
      <c r="D91">
        <v>60</v>
      </c>
      <c r="E91">
        <v>314982</v>
      </c>
      <c r="F91">
        <v>7.31</v>
      </c>
      <c r="G91">
        <v>6824</v>
      </c>
      <c r="H91">
        <v>735</v>
      </c>
      <c r="I91">
        <v>-1.6915989818837348E-2</v>
      </c>
    </row>
    <row r="92" spans="1:9">
      <c r="A92" s="118">
        <v>45607</v>
      </c>
      <c r="B92" t="s">
        <v>31</v>
      </c>
      <c r="C92">
        <v>1148</v>
      </c>
      <c r="D92">
        <v>90</v>
      </c>
      <c r="E92">
        <v>227249</v>
      </c>
      <c r="F92">
        <v>7.24</v>
      </c>
      <c r="G92">
        <v>17662</v>
      </c>
      <c r="H92">
        <v>1058</v>
      </c>
      <c r="I92">
        <v>-1.6915989818837348E-2</v>
      </c>
    </row>
    <row r="93" spans="1:9">
      <c r="A93" s="118">
        <v>45761</v>
      </c>
      <c r="B93" t="s">
        <v>31</v>
      </c>
      <c r="C93">
        <v>1472</v>
      </c>
      <c r="D93">
        <v>281</v>
      </c>
      <c r="E93">
        <v>258115</v>
      </c>
      <c r="F93">
        <v>7.23</v>
      </c>
      <c r="G93">
        <v>27393</v>
      </c>
      <c r="H93">
        <v>1191</v>
      </c>
      <c r="I93">
        <v>-1.6915989818837348E-2</v>
      </c>
    </row>
    <row r="94" spans="1:9">
      <c r="A94" s="118">
        <v>45530</v>
      </c>
      <c r="B94" t="s">
        <v>31</v>
      </c>
      <c r="C94">
        <v>1456</v>
      </c>
      <c r="D94">
        <v>290</v>
      </c>
      <c r="E94">
        <v>271044</v>
      </c>
      <c r="F94">
        <v>7.17</v>
      </c>
      <c r="G94">
        <v>13051</v>
      </c>
      <c r="H94">
        <v>1166</v>
      </c>
      <c r="I94">
        <v>-1.6915989818837348E-2</v>
      </c>
    </row>
    <row r="95" spans="1:9">
      <c r="A95" s="118">
        <v>45705</v>
      </c>
      <c r="B95" t="s">
        <v>24</v>
      </c>
      <c r="C95">
        <v>681</v>
      </c>
      <c r="D95">
        <v>218</v>
      </c>
      <c r="E95">
        <v>198882</v>
      </c>
      <c r="F95">
        <v>7.16</v>
      </c>
      <c r="G95">
        <v>22234</v>
      </c>
      <c r="H95">
        <v>463</v>
      </c>
      <c r="I95">
        <v>-1.6915989818837348E-2</v>
      </c>
    </row>
    <row r="96" spans="1:9">
      <c r="A96" s="118">
        <v>45467</v>
      </c>
      <c r="B96" t="s">
        <v>24</v>
      </c>
      <c r="C96">
        <v>1371</v>
      </c>
      <c r="D96">
        <v>250</v>
      </c>
      <c r="E96">
        <v>128620</v>
      </c>
      <c r="F96">
        <v>7.11</v>
      </c>
      <c r="G96">
        <v>12399</v>
      </c>
      <c r="H96">
        <v>1121</v>
      </c>
      <c r="I96">
        <v>-1.6915989818837348E-2</v>
      </c>
    </row>
    <row r="97" spans="1:9">
      <c r="A97" s="118">
        <v>45705</v>
      </c>
      <c r="B97" t="s">
        <v>31</v>
      </c>
      <c r="C97">
        <v>646</v>
      </c>
      <c r="D97">
        <v>290</v>
      </c>
      <c r="E97">
        <v>336383</v>
      </c>
      <c r="F97">
        <v>7.04</v>
      </c>
      <c r="G97">
        <v>6532</v>
      </c>
      <c r="H97">
        <v>356</v>
      </c>
      <c r="I97">
        <v>-1.6915989818837348E-2</v>
      </c>
    </row>
    <row r="98" spans="1:9">
      <c r="A98" s="118">
        <v>45761</v>
      </c>
      <c r="B98" t="s">
        <v>24</v>
      </c>
      <c r="C98">
        <v>1472</v>
      </c>
      <c r="D98">
        <v>137</v>
      </c>
      <c r="E98">
        <v>213950</v>
      </c>
      <c r="F98">
        <v>6.96</v>
      </c>
      <c r="G98">
        <v>23736</v>
      </c>
      <c r="H98">
        <v>1335</v>
      </c>
      <c r="I98">
        <v>-1.6915989818837348E-2</v>
      </c>
    </row>
    <row r="99" spans="1:9">
      <c r="A99" s="118">
        <v>45810</v>
      </c>
      <c r="B99" t="s">
        <v>24</v>
      </c>
      <c r="C99">
        <v>1419</v>
      </c>
      <c r="D99">
        <v>293</v>
      </c>
      <c r="E99">
        <v>116632</v>
      </c>
      <c r="F99">
        <v>6.93</v>
      </c>
      <c r="G99">
        <v>11826</v>
      </c>
      <c r="H99">
        <v>1126</v>
      </c>
      <c r="I99">
        <v>-1.6915989818837348E-2</v>
      </c>
    </row>
    <row r="100" spans="1:9">
      <c r="A100" s="118">
        <v>45754</v>
      </c>
      <c r="B100" t="s">
        <v>31</v>
      </c>
      <c r="C100">
        <v>1071</v>
      </c>
      <c r="D100">
        <v>131</v>
      </c>
      <c r="E100">
        <v>254727</v>
      </c>
      <c r="F100">
        <v>6.87</v>
      </c>
      <c r="G100">
        <v>22191</v>
      </c>
      <c r="H100">
        <v>940</v>
      </c>
      <c r="I100">
        <v>-1.6915989818837348E-2</v>
      </c>
    </row>
    <row r="101" spans="1:9">
      <c r="A101" s="118">
        <v>45712</v>
      </c>
      <c r="B101" t="s">
        <v>31</v>
      </c>
      <c r="C101">
        <v>978</v>
      </c>
      <c r="D101">
        <v>279</v>
      </c>
      <c r="E101">
        <v>368872</v>
      </c>
      <c r="F101">
        <v>6.82</v>
      </c>
      <c r="G101">
        <v>18654</v>
      </c>
      <c r="H101">
        <v>699</v>
      </c>
      <c r="I101">
        <v>-1.6915989818837348E-2</v>
      </c>
    </row>
    <row r="102" spans="1:9">
      <c r="A102" s="118">
        <v>45726</v>
      </c>
      <c r="B102" t="s">
        <v>31</v>
      </c>
      <c r="C102">
        <v>950</v>
      </c>
      <c r="D102">
        <v>185</v>
      </c>
      <c r="E102">
        <v>340750</v>
      </c>
      <c r="F102">
        <v>6.77</v>
      </c>
      <c r="G102">
        <v>25542</v>
      </c>
      <c r="H102">
        <v>765</v>
      </c>
      <c r="I102">
        <v>-1.6915989818837348E-2</v>
      </c>
    </row>
    <row r="103" spans="1:9">
      <c r="A103" s="118">
        <v>45859</v>
      </c>
      <c r="B103" t="s">
        <v>14</v>
      </c>
      <c r="C103">
        <v>1197</v>
      </c>
      <c r="D103">
        <v>246</v>
      </c>
      <c r="E103">
        <v>127273</v>
      </c>
      <c r="F103">
        <v>6.69</v>
      </c>
      <c r="G103">
        <v>12323</v>
      </c>
      <c r="H103">
        <v>951</v>
      </c>
      <c r="I103">
        <v>-1.6915989818837348E-2</v>
      </c>
    </row>
    <row r="104" spans="1:9">
      <c r="A104" s="118">
        <v>45628</v>
      </c>
      <c r="B104" t="s">
        <v>14</v>
      </c>
      <c r="C104">
        <v>895</v>
      </c>
      <c r="D104">
        <v>87</v>
      </c>
      <c r="E104">
        <v>171271</v>
      </c>
      <c r="F104">
        <v>6.68</v>
      </c>
      <c r="G104">
        <v>23329</v>
      </c>
      <c r="H104">
        <v>808</v>
      </c>
      <c r="I104">
        <v>-1.6915989818837348E-2</v>
      </c>
    </row>
    <row r="105" spans="1:9">
      <c r="A105" s="118">
        <v>45747</v>
      </c>
      <c r="B105" t="s">
        <v>31</v>
      </c>
      <c r="C105">
        <v>1425</v>
      </c>
      <c r="D105">
        <v>58</v>
      </c>
      <c r="E105">
        <v>202234</v>
      </c>
      <c r="F105">
        <v>6.67</v>
      </c>
      <c r="G105">
        <v>18442</v>
      </c>
      <c r="H105">
        <v>1367</v>
      </c>
      <c r="I105">
        <v>-1.6915989818837348E-2</v>
      </c>
    </row>
    <row r="106" spans="1:9">
      <c r="A106" s="118">
        <v>45796</v>
      </c>
      <c r="B106" t="s">
        <v>24</v>
      </c>
      <c r="C106">
        <v>1430</v>
      </c>
      <c r="D106">
        <v>74</v>
      </c>
      <c r="E106">
        <v>327012</v>
      </c>
      <c r="F106">
        <v>6.66</v>
      </c>
      <c r="G106">
        <v>27782</v>
      </c>
      <c r="H106">
        <v>1356</v>
      </c>
      <c r="I106">
        <v>-1.6915989818837348E-2</v>
      </c>
    </row>
    <row r="107" spans="1:9">
      <c r="A107" s="118">
        <v>45614</v>
      </c>
      <c r="B107" t="s">
        <v>24</v>
      </c>
      <c r="C107">
        <v>791</v>
      </c>
      <c r="D107">
        <v>214</v>
      </c>
      <c r="E107">
        <v>114738</v>
      </c>
      <c r="F107">
        <v>6.62</v>
      </c>
      <c r="G107">
        <v>25347</v>
      </c>
      <c r="H107">
        <v>577</v>
      </c>
      <c r="I107">
        <v>-1.6915989818837348E-2</v>
      </c>
    </row>
    <row r="108" spans="1:9">
      <c r="A108" s="118">
        <v>45789</v>
      </c>
      <c r="B108" t="s">
        <v>14</v>
      </c>
      <c r="C108">
        <v>837</v>
      </c>
      <c r="D108">
        <v>261</v>
      </c>
      <c r="E108">
        <v>366149</v>
      </c>
      <c r="F108">
        <v>6.54</v>
      </c>
      <c r="G108">
        <v>26073</v>
      </c>
      <c r="H108">
        <v>576</v>
      </c>
      <c r="I108">
        <v>-1.6915989818837348E-2</v>
      </c>
    </row>
    <row r="109" spans="1:9">
      <c r="A109" s="118">
        <v>45894</v>
      </c>
      <c r="B109" t="s">
        <v>24</v>
      </c>
      <c r="C109">
        <v>1413</v>
      </c>
      <c r="D109">
        <v>245</v>
      </c>
      <c r="E109">
        <v>296450</v>
      </c>
      <c r="F109">
        <v>6.52</v>
      </c>
      <c r="G109">
        <v>11625</v>
      </c>
      <c r="H109">
        <v>1168</v>
      </c>
      <c r="I109">
        <v>-1.6915989818837348E-2</v>
      </c>
    </row>
    <row r="110" spans="1:9">
      <c r="A110" s="118">
        <v>45635</v>
      </c>
      <c r="B110" t="s">
        <v>24</v>
      </c>
      <c r="C110">
        <v>599</v>
      </c>
      <c r="D110">
        <v>194</v>
      </c>
      <c r="E110">
        <v>105622</v>
      </c>
      <c r="F110">
        <v>6.44</v>
      </c>
      <c r="G110">
        <v>15108</v>
      </c>
      <c r="H110">
        <v>405</v>
      </c>
      <c r="I110">
        <v>-1.6915989818837348E-2</v>
      </c>
    </row>
    <row r="111" spans="1:9">
      <c r="A111" s="118">
        <v>45782</v>
      </c>
      <c r="B111" t="s">
        <v>14</v>
      </c>
      <c r="C111">
        <v>1146</v>
      </c>
      <c r="D111">
        <v>227</v>
      </c>
      <c r="E111">
        <v>353781</v>
      </c>
      <c r="F111">
        <v>6.41</v>
      </c>
      <c r="G111">
        <v>5495</v>
      </c>
      <c r="H111">
        <v>919</v>
      </c>
      <c r="I111">
        <v>-1.6915989818837348E-2</v>
      </c>
    </row>
    <row r="112" spans="1:9">
      <c r="A112" s="118">
        <v>45726</v>
      </c>
      <c r="B112" t="s">
        <v>24</v>
      </c>
      <c r="C112">
        <v>1159</v>
      </c>
      <c r="D112">
        <v>154</v>
      </c>
      <c r="E112">
        <v>194994</v>
      </c>
      <c r="F112">
        <v>6.39</v>
      </c>
      <c r="G112">
        <v>21900</v>
      </c>
      <c r="H112">
        <v>1005</v>
      </c>
      <c r="I112">
        <v>-1.6915989818837348E-2</v>
      </c>
    </row>
    <row r="113" spans="1:9">
      <c r="A113" s="118">
        <v>45614</v>
      </c>
      <c r="B113" t="s">
        <v>31</v>
      </c>
      <c r="C113">
        <v>793</v>
      </c>
      <c r="D113">
        <v>111</v>
      </c>
      <c r="E113">
        <v>333500</v>
      </c>
      <c r="F113">
        <v>6.36</v>
      </c>
      <c r="G113">
        <v>8910</v>
      </c>
      <c r="H113">
        <v>682</v>
      </c>
      <c r="I113">
        <v>-1.6915989818837348E-2</v>
      </c>
    </row>
    <row r="114" spans="1:9">
      <c r="A114" s="118">
        <v>45488</v>
      </c>
      <c r="B114" t="s">
        <v>14</v>
      </c>
      <c r="C114">
        <v>616</v>
      </c>
      <c r="D114">
        <v>257</v>
      </c>
      <c r="E114">
        <v>169665</v>
      </c>
      <c r="F114">
        <v>6.31</v>
      </c>
      <c r="G114">
        <v>12390</v>
      </c>
      <c r="H114">
        <v>359</v>
      </c>
      <c r="I114">
        <v>-1.6915989818837348E-2</v>
      </c>
    </row>
    <row r="115" spans="1:9">
      <c r="A115" s="118">
        <v>45670</v>
      </c>
      <c r="B115" t="s">
        <v>31</v>
      </c>
      <c r="C115">
        <v>685</v>
      </c>
      <c r="D115">
        <v>165</v>
      </c>
      <c r="E115">
        <v>175860</v>
      </c>
      <c r="F115">
        <v>6.26</v>
      </c>
      <c r="G115">
        <v>6027</v>
      </c>
      <c r="H115">
        <v>520</v>
      </c>
      <c r="I115">
        <v>-1.6915989818837348E-2</v>
      </c>
    </row>
    <row r="116" spans="1:9">
      <c r="A116" s="118">
        <v>45572</v>
      </c>
      <c r="B116" t="s">
        <v>14</v>
      </c>
      <c r="C116">
        <v>764</v>
      </c>
      <c r="D116">
        <v>205</v>
      </c>
      <c r="E116">
        <v>319294</v>
      </c>
      <c r="F116">
        <v>6.23</v>
      </c>
      <c r="G116">
        <v>12181</v>
      </c>
      <c r="H116">
        <v>559</v>
      </c>
      <c r="I116">
        <v>-1.6915989818837348E-2</v>
      </c>
    </row>
    <row r="117" spans="1:9">
      <c r="A117" s="118">
        <v>45824</v>
      </c>
      <c r="B117" t="s">
        <v>14</v>
      </c>
      <c r="C117">
        <v>765</v>
      </c>
      <c r="D117">
        <v>67</v>
      </c>
      <c r="E117">
        <v>283537</v>
      </c>
      <c r="F117">
        <v>6.18</v>
      </c>
      <c r="G117">
        <v>8182</v>
      </c>
      <c r="H117">
        <v>698</v>
      </c>
      <c r="I117">
        <v>-1.6915989818837348E-2</v>
      </c>
    </row>
    <row r="118" spans="1:9">
      <c r="A118" s="118">
        <v>45754</v>
      </c>
      <c r="B118" t="s">
        <v>14</v>
      </c>
      <c r="C118">
        <v>1417</v>
      </c>
      <c r="D118">
        <v>80</v>
      </c>
      <c r="E118">
        <v>340987</v>
      </c>
      <c r="F118">
        <v>6.13</v>
      </c>
      <c r="G118">
        <v>10104</v>
      </c>
      <c r="H118">
        <v>1337</v>
      </c>
      <c r="I118">
        <v>-1.6915989818837348E-2</v>
      </c>
    </row>
    <row r="119" spans="1:9">
      <c r="A119" s="118">
        <v>45705</v>
      </c>
      <c r="B119" t="s">
        <v>14</v>
      </c>
      <c r="C119">
        <v>819</v>
      </c>
      <c r="D119">
        <v>95</v>
      </c>
      <c r="E119">
        <v>177376</v>
      </c>
      <c r="F119">
        <v>6.12</v>
      </c>
      <c r="G119">
        <v>14975</v>
      </c>
      <c r="H119">
        <v>724</v>
      </c>
      <c r="I119">
        <v>-1.6915989818837348E-2</v>
      </c>
    </row>
    <row r="120" spans="1:9">
      <c r="A120" s="118">
        <v>45894</v>
      </c>
      <c r="B120" t="s">
        <v>14</v>
      </c>
      <c r="C120">
        <v>1183</v>
      </c>
      <c r="D120">
        <v>223</v>
      </c>
      <c r="E120">
        <v>143811</v>
      </c>
      <c r="F120">
        <v>6.07</v>
      </c>
      <c r="G120">
        <v>22103</v>
      </c>
      <c r="H120">
        <v>960</v>
      </c>
      <c r="I120">
        <v>-1.6915989818837348E-2</v>
      </c>
    </row>
    <row r="121" spans="1:9">
      <c r="A121" s="118">
        <v>45663</v>
      </c>
      <c r="B121" t="s">
        <v>14</v>
      </c>
      <c r="C121">
        <v>613</v>
      </c>
      <c r="D121">
        <v>170</v>
      </c>
      <c r="E121">
        <v>139266</v>
      </c>
      <c r="F121">
        <v>6.06</v>
      </c>
      <c r="G121">
        <v>9247</v>
      </c>
      <c r="H121">
        <v>443</v>
      </c>
      <c r="I121">
        <v>-1.6915989818837348E-2</v>
      </c>
    </row>
    <row r="122" spans="1:9">
      <c r="A122" s="118">
        <v>45523</v>
      </c>
      <c r="B122" t="s">
        <v>31</v>
      </c>
      <c r="C122">
        <v>1240</v>
      </c>
      <c r="D122">
        <v>231</v>
      </c>
      <c r="E122">
        <v>165035</v>
      </c>
      <c r="F122">
        <v>6.05</v>
      </c>
      <c r="G122">
        <v>18267</v>
      </c>
      <c r="H122">
        <v>1009</v>
      </c>
      <c r="I122">
        <v>-1.6915989818837348E-2</v>
      </c>
    </row>
    <row r="123" spans="1:9">
      <c r="A123" s="118">
        <v>45537</v>
      </c>
      <c r="B123" t="s">
        <v>14</v>
      </c>
      <c r="C123">
        <v>721</v>
      </c>
      <c r="D123">
        <v>206</v>
      </c>
      <c r="E123">
        <v>334887</v>
      </c>
      <c r="F123">
        <v>6.05</v>
      </c>
      <c r="G123">
        <v>14217</v>
      </c>
      <c r="H123">
        <v>515</v>
      </c>
      <c r="I123">
        <v>-1.6915989818837348E-2</v>
      </c>
    </row>
    <row r="124" spans="1:9">
      <c r="A124" s="118">
        <v>45782</v>
      </c>
      <c r="B124" t="s">
        <v>24</v>
      </c>
      <c r="C124">
        <v>883</v>
      </c>
      <c r="D124">
        <v>207</v>
      </c>
      <c r="E124">
        <v>265019</v>
      </c>
      <c r="F124">
        <v>6.04</v>
      </c>
      <c r="G124">
        <v>15655</v>
      </c>
      <c r="H124">
        <v>676</v>
      </c>
      <c r="I124">
        <v>-1.6915989818837348E-2</v>
      </c>
    </row>
    <row r="125" spans="1:9">
      <c r="A125" s="118">
        <v>45677</v>
      </c>
      <c r="B125" t="s">
        <v>31</v>
      </c>
      <c r="C125">
        <v>1105</v>
      </c>
      <c r="D125">
        <v>261</v>
      </c>
      <c r="E125">
        <v>333851</v>
      </c>
      <c r="F125">
        <v>6.03</v>
      </c>
      <c r="G125">
        <v>11181</v>
      </c>
      <c r="H125">
        <v>844</v>
      </c>
      <c r="I125">
        <v>-1.6915989818837348E-2</v>
      </c>
    </row>
    <row r="126" spans="1:9">
      <c r="A126" s="118">
        <v>45544</v>
      </c>
      <c r="B126" t="s">
        <v>14</v>
      </c>
      <c r="C126">
        <v>912</v>
      </c>
      <c r="D126">
        <v>275</v>
      </c>
      <c r="E126">
        <v>368454</v>
      </c>
      <c r="F126">
        <v>6.03</v>
      </c>
      <c r="G126">
        <v>9195</v>
      </c>
      <c r="H126">
        <v>637</v>
      </c>
      <c r="I126">
        <v>-1.6915989818837348E-2</v>
      </c>
    </row>
    <row r="127" spans="1:9">
      <c r="A127" s="118">
        <v>45649</v>
      </c>
      <c r="B127" t="s">
        <v>24</v>
      </c>
      <c r="C127">
        <v>1360</v>
      </c>
      <c r="D127">
        <v>227</v>
      </c>
      <c r="E127">
        <v>176902</v>
      </c>
      <c r="F127">
        <v>6.03</v>
      </c>
      <c r="G127">
        <v>5960</v>
      </c>
      <c r="H127">
        <v>1133</v>
      </c>
      <c r="I127">
        <v>-1.6915989818837348E-2</v>
      </c>
    </row>
    <row r="128" spans="1:9">
      <c r="A128" s="118">
        <v>45824</v>
      </c>
      <c r="B128" t="s">
        <v>31</v>
      </c>
      <c r="C128">
        <v>1145</v>
      </c>
      <c r="D128">
        <v>151</v>
      </c>
      <c r="E128">
        <v>182759</v>
      </c>
      <c r="F128">
        <v>5.99</v>
      </c>
      <c r="G128">
        <v>20109</v>
      </c>
      <c r="H128">
        <v>994</v>
      </c>
      <c r="I128">
        <v>-1.6915989818837348E-2</v>
      </c>
    </row>
    <row r="129" spans="1:9">
      <c r="A129" s="118">
        <v>45516</v>
      </c>
      <c r="B129" t="s">
        <v>14</v>
      </c>
      <c r="C129">
        <v>1060</v>
      </c>
      <c r="D129">
        <v>83</v>
      </c>
      <c r="E129">
        <v>68724</v>
      </c>
      <c r="F129">
        <v>5.98</v>
      </c>
      <c r="G129">
        <v>5624</v>
      </c>
      <c r="H129">
        <v>977</v>
      </c>
      <c r="I129">
        <v>-1.6915989818837348E-2</v>
      </c>
    </row>
    <row r="130" spans="1:9">
      <c r="A130" s="118">
        <v>45838</v>
      </c>
      <c r="B130" t="s">
        <v>31</v>
      </c>
      <c r="C130">
        <v>693</v>
      </c>
      <c r="D130">
        <v>97</v>
      </c>
      <c r="E130">
        <v>92025</v>
      </c>
      <c r="F130">
        <v>5.95</v>
      </c>
      <c r="G130">
        <v>15915</v>
      </c>
      <c r="H130">
        <v>596</v>
      </c>
      <c r="I130">
        <v>-1.6915989818837348E-2</v>
      </c>
    </row>
    <row r="131" spans="1:9">
      <c r="A131" s="118">
        <v>45530</v>
      </c>
      <c r="B131" t="s">
        <v>24</v>
      </c>
      <c r="C131">
        <v>537</v>
      </c>
      <c r="D131">
        <v>275</v>
      </c>
      <c r="E131">
        <v>236238</v>
      </c>
      <c r="F131">
        <v>5.87</v>
      </c>
      <c r="G131">
        <v>26644</v>
      </c>
      <c r="H131">
        <v>262</v>
      </c>
      <c r="I131">
        <v>-1.6915989818837348E-2</v>
      </c>
    </row>
    <row r="132" spans="1:9">
      <c r="A132" s="118">
        <v>45523</v>
      </c>
      <c r="B132" t="s">
        <v>14</v>
      </c>
      <c r="C132">
        <v>1002</v>
      </c>
      <c r="D132">
        <v>93</v>
      </c>
      <c r="E132">
        <v>353538</v>
      </c>
      <c r="F132">
        <v>5.84</v>
      </c>
      <c r="G132">
        <v>6031</v>
      </c>
      <c r="H132">
        <v>909</v>
      </c>
      <c r="I132">
        <v>-1.6915989818837348E-2</v>
      </c>
    </row>
    <row r="133" spans="1:9">
      <c r="A133" s="118">
        <v>45502</v>
      </c>
      <c r="B133" t="s">
        <v>24</v>
      </c>
      <c r="C133">
        <v>611</v>
      </c>
      <c r="D133">
        <v>197</v>
      </c>
      <c r="E133">
        <v>79423</v>
      </c>
      <c r="F133">
        <v>5.82</v>
      </c>
      <c r="G133">
        <v>13644</v>
      </c>
      <c r="H133">
        <v>414</v>
      </c>
      <c r="I133">
        <v>-1.6915989818837348E-2</v>
      </c>
    </row>
    <row r="134" spans="1:9">
      <c r="A134" s="118">
        <v>45495</v>
      </c>
      <c r="B134" t="s">
        <v>24</v>
      </c>
      <c r="C134">
        <v>547</v>
      </c>
      <c r="D134">
        <v>183</v>
      </c>
      <c r="E134">
        <v>266350</v>
      </c>
      <c r="F134">
        <v>5.65</v>
      </c>
      <c r="G134">
        <v>15595</v>
      </c>
      <c r="H134">
        <v>364</v>
      </c>
      <c r="I134">
        <v>-1.6915989818837348E-2</v>
      </c>
    </row>
    <row r="135" spans="1:9">
      <c r="A135" s="118">
        <v>45831</v>
      </c>
      <c r="B135" t="s">
        <v>31</v>
      </c>
      <c r="C135">
        <v>761</v>
      </c>
      <c r="D135">
        <v>241</v>
      </c>
      <c r="E135">
        <v>154977</v>
      </c>
      <c r="F135">
        <v>5.63</v>
      </c>
      <c r="G135">
        <v>10563</v>
      </c>
      <c r="H135">
        <v>520</v>
      </c>
      <c r="I135">
        <v>-1.6915989818837348E-2</v>
      </c>
    </row>
    <row r="136" spans="1:9">
      <c r="A136" s="118">
        <v>45558</v>
      </c>
      <c r="B136" t="s">
        <v>24</v>
      </c>
      <c r="C136">
        <v>1437</v>
      </c>
      <c r="D136">
        <v>239</v>
      </c>
      <c r="E136">
        <v>362441</v>
      </c>
      <c r="F136">
        <v>5.57</v>
      </c>
      <c r="G136">
        <v>10253</v>
      </c>
      <c r="H136">
        <v>1198</v>
      </c>
      <c r="I136">
        <v>-1.6915989818837348E-2</v>
      </c>
    </row>
    <row r="137" spans="1:9">
      <c r="A137" s="118">
        <v>45628</v>
      </c>
      <c r="B137" t="s">
        <v>24</v>
      </c>
      <c r="C137">
        <v>1027</v>
      </c>
      <c r="D137">
        <v>156</v>
      </c>
      <c r="E137">
        <v>111293</v>
      </c>
      <c r="F137">
        <v>5.51</v>
      </c>
      <c r="G137">
        <v>7299</v>
      </c>
      <c r="H137">
        <v>871</v>
      </c>
      <c r="I137">
        <v>-1.6915989818837348E-2</v>
      </c>
    </row>
    <row r="138" spans="1:9">
      <c r="A138" s="118">
        <v>45474</v>
      </c>
      <c r="B138" t="s">
        <v>14</v>
      </c>
      <c r="C138">
        <v>786</v>
      </c>
      <c r="D138">
        <v>72</v>
      </c>
      <c r="E138">
        <v>178615</v>
      </c>
      <c r="F138">
        <v>5.43</v>
      </c>
      <c r="G138">
        <v>19328</v>
      </c>
      <c r="H138">
        <v>714</v>
      </c>
      <c r="I138">
        <v>-1.6915989818837348E-2</v>
      </c>
    </row>
    <row r="139" spans="1:9">
      <c r="A139" s="118">
        <v>45593</v>
      </c>
      <c r="B139" t="s">
        <v>24</v>
      </c>
      <c r="C139">
        <v>746</v>
      </c>
      <c r="D139">
        <v>282</v>
      </c>
      <c r="E139">
        <v>293894</v>
      </c>
      <c r="F139">
        <v>5.42</v>
      </c>
      <c r="G139">
        <v>25537</v>
      </c>
      <c r="H139">
        <v>464</v>
      </c>
      <c r="I139">
        <v>-1.6915989818837348E-2</v>
      </c>
    </row>
    <row r="140" spans="1:9">
      <c r="A140" s="118">
        <v>45523</v>
      </c>
      <c r="B140" t="s">
        <v>24</v>
      </c>
      <c r="C140">
        <v>571</v>
      </c>
      <c r="D140">
        <v>189</v>
      </c>
      <c r="E140">
        <v>61445</v>
      </c>
      <c r="F140">
        <v>5.41</v>
      </c>
      <c r="G140">
        <v>27829</v>
      </c>
      <c r="H140">
        <v>382</v>
      </c>
      <c r="I140">
        <v>-1.6915989818837348E-2</v>
      </c>
    </row>
    <row r="141" spans="1:9">
      <c r="A141" s="118">
        <v>45880</v>
      </c>
      <c r="B141" t="s">
        <v>14</v>
      </c>
      <c r="C141">
        <v>1080</v>
      </c>
      <c r="D141">
        <v>184</v>
      </c>
      <c r="E141">
        <v>340557</v>
      </c>
      <c r="F141">
        <v>5.41</v>
      </c>
      <c r="G141">
        <v>5526</v>
      </c>
      <c r="H141">
        <v>896</v>
      </c>
      <c r="I141">
        <v>-1.6915989818837348E-2</v>
      </c>
    </row>
    <row r="142" spans="1:9">
      <c r="A142" s="118">
        <v>45901</v>
      </c>
      <c r="B142" t="s">
        <v>14</v>
      </c>
      <c r="C142">
        <v>1052</v>
      </c>
      <c r="D142">
        <v>180</v>
      </c>
      <c r="E142">
        <v>272534</v>
      </c>
      <c r="F142">
        <v>5.34</v>
      </c>
      <c r="G142">
        <v>13424</v>
      </c>
      <c r="H142">
        <v>872</v>
      </c>
      <c r="I142">
        <v>-1.6915989818837348E-2</v>
      </c>
    </row>
    <row r="143" spans="1:9">
      <c r="A143" s="118">
        <v>45649</v>
      </c>
      <c r="B143" t="s">
        <v>14</v>
      </c>
      <c r="C143">
        <v>661</v>
      </c>
      <c r="D143">
        <v>94</v>
      </c>
      <c r="E143">
        <v>116538</v>
      </c>
      <c r="F143">
        <v>5.31</v>
      </c>
      <c r="G143">
        <v>23486</v>
      </c>
      <c r="H143">
        <v>567</v>
      </c>
      <c r="I143">
        <v>-1.6915989818837348E-2</v>
      </c>
    </row>
    <row r="144" spans="1:9">
      <c r="A144" s="118">
        <v>45824</v>
      </c>
      <c r="B144" t="s">
        <v>24</v>
      </c>
      <c r="C144">
        <v>540</v>
      </c>
      <c r="D144">
        <v>215</v>
      </c>
      <c r="E144">
        <v>62837</v>
      </c>
      <c r="F144">
        <v>5.3</v>
      </c>
      <c r="G144">
        <v>10615</v>
      </c>
      <c r="H144">
        <v>325</v>
      </c>
      <c r="I144">
        <v>-1.6915989818837348E-2</v>
      </c>
    </row>
    <row r="145" spans="1:9">
      <c r="A145" s="118">
        <v>45509</v>
      </c>
      <c r="B145" t="s">
        <v>31</v>
      </c>
      <c r="C145">
        <v>937</v>
      </c>
      <c r="D145">
        <v>179</v>
      </c>
      <c r="E145">
        <v>318098</v>
      </c>
      <c r="F145">
        <v>5.3</v>
      </c>
      <c r="G145">
        <v>5836</v>
      </c>
      <c r="H145">
        <v>758</v>
      </c>
      <c r="I145">
        <v>-1.6915989818837348E-2</v>
      </c>
    </row>
    <row r="146" spans="1:9">
      <c r="A146" s="118">
        <v>45460</v>
      </c>
      <c r="B146" t="s">
        <v>14</v>
      </c>
      <c r="C146">
        <v>881</v>
      </c>
      <c r="D146">
        <v>291</v>
      </c>
      <c r="E146">
        <v>95885</v>
      </c>
      <c r="F146">
        <v>5.29</v>
      </c>
      <c r="G146">
        <v>12391</v>
      </c>
      <c r="H146">
        <v>590</v>
      </c>
      <c r="I146">
        <v>-1.6915989818837348E-2</v>
      </c>
    </row>
    <row r="147" spans="1:9">
      <c r="A147" s="118">
        <v>45838</v>
      </c>
      <c r="B147" t="s">
        <v>24</v>
      </c>
      <c r="C147">
        <v>1349</v>
      </c>
      <c r="D147">
        <v>115</v>
      </c>
      <c r="E147">
        <v>102102</v>
      </c>
      <c r="F147">
        <v>5.28</v>
      </c>
      <c r="G147">
        <v>14479</v>
      </c>
      <c r="H147">
        <v>1234</v>
      </c>
      <c r="I147">
        <v>-1.6915989818837348E-2</v>
      </c>
    </row>
    <row r="148" spans="1:9">
      <c r="A148" s="118">
        <v>45796</v>
      </c>
      <c r="B148" t="s">
        <v>31</v>
      </c>
      <c r="C148">
        <v>1358</v>
      </c>
      <c r="D148">
        <v>77</v>
      </c>
      <c r="E148">
        <v>169688</v>
      </c>
      <c r="F148">
        <v>5.25</v>
      </c>
      <c r="G148">
        <v>7859</v>
      </c>
      <c r="H148">
        <v>1281</v>
      </c>
      <c r="I148">
        <v>-1.6915989818837348E-2</v>
      </c>
    </row>
    <row r="149" spans="1:9">
      <c r="A149" s="118">
        <v>45817</v>
      </c>
      <c r="B149" t="s">
        <v>14</v>
      </c>
      <c r="C149">
        <v>917</v>
      </c>
      <c r="D149">
        <v>187</v>
      </c>
      <c r="E149">
        <v>64444</v>
      </c>
      <c r="F149">
        <v>5.22</v>
      </c>
      <c r="G149">
        <v>13013</v>
      </c>
      <c r="H149">
        <v>730</v>
      </c>
      <c r="I149">
        <v>-1.6915989818837348E-2</v>
      </c>
    </row>
    <row r="150" spans="1:9">
      <c r="A150" s="118">
        <v>45817</v>
      </c>
      <c r="B150" t="s">
        <v>31</v>
      </c>
      <c r="C150">
        <v>1183</v>
      </c>
      <c r="D150">
        <v>248</v>
      </c>
      <c r="E150">
        <v>226881</v>
      </c>
      <c r="F150">
        <v>5.17</v>
      </c>
      <c r="G150">
        <v>14534</v>
      </c>
      <c r="H150">
        <v>935</v>
      </c>
      <c r="I150">
        <v>-1.6915989818837348E-2</v>
      </c>
    </row>
    <row r="151" spans="1:9">
      <c r="A151" s="118">
        <v>45817</v>
      </c>
      <c r="B151" t="s">
        <v>24</v>
      </c>
      <c r="C151">
        <v>810</v>
      </c>
      <c r="D151">
        <v>232</v>
      </c>
      <c r="E151">
        <v>362559</v>
      </c>
      <c r="F151">
        <v>5.17</v>
      </c>
      <c r="G151">
        <v>12937</v>
      </c>
      <c r="H151">
        <v>578</v>
      </c>
      <c r="I151">
        <v>-1.6915989818837348E-2</v>
      </c>
    </row>
    <row r="152" spans="1:9">
      <c r="A152" s="118">
        <v>45768</v>
      </c>
      <c r="B152" t="s">
        <v>31</v>
      </c>
      <c r="C152">
        <v>1113</v>
      </c>
      <c r="D152">
        <v>224</v>
      </c>
      <c r="E152">
        <v>272989</v>
      </c>
      <c r="F152">
        <v>5.13</v>
      </c>
      <c r="G152">
        <v>24827</v>
      </c>
      <c r="H152">
        <v>889</v>
      </c>
      <c r="I152">
        <v>-1.6915989818837348E-2</v>
      </c>
    </row>
    <row r="153" spans="1:9">
      <c r="A153" s="118">
        <v>45908</v>
      </c>
      <c r="B153" t="s">
        <v>24</v>
      </c>
      <c r="C153">
        <v>860</v>
      </c>
      <c r="D153">
        <v>244</v>
      </c>
      <c r="E153">
        <v>348686</v>
      </c>
      <c r="F153">
        <v>5.12</v>
      </c>
      <c r="G153">
        <v>11418</v>
      </c>
      <c r="H153">
        <v>616</v>
      </c>
      <c r="I153">
        <v>-1.6915989818837348E-2</v>
      </c>
    </row>
    <row r="154" spans="1:9">
      <c r="A154" s="118">
        <v>45740</v>
      </c>
      <c r="B154" t="s">
        <v>31</v>
      </c>
      <c r="C154">
        <v>1398</v>
      </c>
      <c r="D154">
        <v>97</v>
      </c>
      <c r="E154">
        <v>397607</v>
      </c>
      <c r="F154">
        <v>5.09</v>
      </c>
      <c r="G154">
        <v>7975</v>
      </c>
      <c r="H154">
        <v>1301</v>
      </c>
      <c r="I154">
        <v>-1.6915989818837348E-2</v>
      </c>
    </row>
    <row r="155" spans="1:9">
      <c r="A155" s="118">
        <v>45803</v>
      </c>
      <c r="B155" t="s">
        <v>14</v>
      </c>
      <c r="C155">
        <v>1242</v>
      </c>
      <c r="D155">
        <v>201</v>
      </c>
      <c r="E155">
        <v>271935</v>
      </c>
      <c r="F155">
        <v>5.07</v>
      </c>
      <c r="G155">
        <v>15773</v>
      </c>
      <c r="H155">
        <v>1041</v>
      </c>
      <c r="I155">
        <v>-1.6915989818837348E-2</v>
      </c>
    </row>
    <row r="156" spans="1:9">
      <c r="A156" s="118">
        <v>45635</v>
      </c>
      <c r="B156" t="s">
        <v>31</v>
      </c>
      <c r="C156">
        <v>630</v>
      </c>
      <c r="D156">
        <v>248</v>
      </c>
      <c r="E156">
        <v>119054</v>
      </c>
      <c r="F156">
        <v>5.0199999999999996</v>
      </c>
      <c r="G156">
        <v>18867</v>
      </c>
      <c r="H156">
        <v>382</v>
      </c>
      <c r="I156">
        <v>-1.6915989818837348E-2</v>
      </c>
    </row>
    <row r="157" spans="1:9">
      <c r="A157" s="118">
        <v>45859</v>
      </c>
      <c r="B157" t="s">
        <v>31</v>
      </c>
      <c r="C157">
        <v>1246</v>
      </c>
      <c r="D157">
        <v>107</v>
      </c>
      <c r="E157">
        <v>350949</v>
      </c>
      <c r="F157">
        <v>4.9800000000000004</v>
      </c>
      <c r="G157">
        <v>27809</v>
      </c>
      <c r="H157">
        <v>1139</v>
      </c>
      <c r="I157">
        <v>-1.6915989818837348E-2</v>
      </c>
    </row>
    <row r="158" spans="1:9">
      <c r="A158" s="118">
        <v>45866</v>
      </c>
      <c r="B158" t="s">
        <v>14</v>
      </c>
      <c r="C158">
        <v>780</v>
      </c>
      <c r="D158">
        <v>213</v>
      </c>
      <c r="E158">
        <v>121431</v>
      </c>
      <c r="F158">
        <v>4.97</v>
      </c>
      <c r="G158">
        <v>21464</v>
      </c>
      <c r="H158">
        <v>567</v>
      </c>
      <c r="I158">
        <v>-1.6915989818837348E-2</v>
      </c>
    </row>
    <row r="159" spans="1:9">
      <c r="A159" s="118">
        <v>45873</v>
      </c>
      <c r="B159" t="s">
        <v>14</v>
      </c>
      <c r="C159">
        <v>949</v>
      </c>
      <c r="D159">
        <v>282</v>
      </c>
      <c r="E159">
        <v>87126</v>
      </c>
      <c r="F159">
        <v>4.96</v>
      </c>
      <c r="G159">
        <v>5413</v>
      </c>
      <c r="H159">
        <v>667</v>
      </c>
      <c r="I159">
        <v>-1.6915989818837348E-2</v>
      </c>
    </row>
    <row r="160" spans="1:9">
      <c r="A160" s="118">
        <v>45691</v>
      </c>
      <c r="B160" t="s">
        <v>31</v>
      </c>
      <c r="C160">
        <v>534</v>
      </c>
      <c r="D160">
        <v>112</v>
      </c>
      <c r="E160">
        <v>360759</v>
      </c>
      <c r="F160">
        <v>4.8899999999999997</v>
      </c>
      <c r="G160">
        <v>25478</v>
      </c>
      <c r="H160">
        <v>422</v>
      </c>
      <c r="I160">
        <v>-1.6915989818837348E-2</v>
      </c>
    </row>
    <row r="161" spans="1:9">
      <c r="A161" s="118">
        <v>45810</v>
      </c>
      <c r="B161" t="s">
        <v>14</v>
      </c>
      <c r="C161">
        <v>618</v>
      </c>
      <c r="D161">
        <v>264</v>
      </c>
      <c r="E161">
        <v>285164</v>
      </c>
      <c r="F161">
        <v>4.8600000000000003</v>
      </c>
      <c r="G161">
        <v>15128</v>
      </c>
      <c r="H161">
        <v>354</v>
      </c>
      <c r="I161">
        <v>-1.6915989818837348E-2</v>
      </c>
    </row>
    <row r="162" spans="1:9">
      <c r="A162" s="118">
        <v>45656</v>
      </c>
      <c r="B162" t="s">
        <v>24</v>
      </c>
      <c r="C162">
        <v>1490</v>
      </c>
      <c r="D162">
        <v>103</v>
      </c>
      <c r="E162">
        <v>373274</v>
      </c>
      <c r="F162">
        <v>4.8</v>
      </c>
      <c r="G162">
        <v>19949</v>
      </c>
      <c r="H162">
        <v>1387</v>
      </c>
      <c r="I162">
        <v>-1.6915989818837348E-2</v>
      </c>
    </row>
    <row r="163" spans="1:9">
      <c r="A163" s="118">
        <v>45656</v>
      </c>
      <c r="B163" t="s">
        <v>14</v>
      </c>
      <c r="C163">
        <v>664</v>
      </c>
      <c r="D163">
        <v>251</v>
      </c>
      <c r="E163">
        <v>240598</v>
      </c>
      <c r="F163">
        <v>4.79</v>
      </c>
      <c r="G163">
        <v>10563</v>
      </c>
      <c r="H163">
        <v>413</v>
      </c>
      <c r="I163">
        <v>-1.6915989818837348E-2</v>
      </c>
    </row>
    <row r="164" spans="1:9">
      <c r="A164" s="118">
        <v>45838</v>
      </c>
      <c r="B164" t="s">
        <v>14</v>
      </c>
      <c r="C164">
        <v>593</v>
      </c>
      <c r="D164">
        <v>108</v>
      </c>
      <c r="E164">
        <v>216500</v>
      </c>
      <c r="F164">
        <v>4.71</v>
      </c>
      <c r="G164">
        <v>27575</v>
      </c>
      <c r="H164">
        <v>485</v>
      </c>
      <c r="I164">
        <v>-1.6915989818837348E-2</v>
      </c>
    </row>
    <row r="165" spans="1:9">
      <c r="A165" s="118">
        <v>45460</v>
      </c>
      <c r="B165" t="s">
        <v>31</v>
      </c>
      <c r="C165">
        <v>1472</v>
      </c>
      <c r="D165">
        <v>170</v>
      </c>
      <c r="E165">
        <v>250428</v>
      </c>
      <c r="F165">
        <v>4.66</v>
      </c>
      <c r="G165">
        <v>25040</v>
      </c>
      <c r="H165">
        <v>1302</v>
      </c>
      <c r="I165">
        <v>-1.6915989818837348E-2</v>
      </c>
    </row>
    <row r="166" spans="1:9">
      <c r="A166" s="118">
        <v>45642</v>
      </c>
      <c r="B166" t="s">
        <v>14</v>
      </c>
      <c r="C166">
        <v>1350</v>
      </c>
      <c r="D166">
        <v>233</v>
      </c>
      <c r="E166">
        <v>171670</v>
      </c>
      <c r="F166">
        <v>4.53</v>
      </c>
      <c r="G166">
        <v>17574</v>
      </c>
      <c r="H166">
        <v>1117</v>
      </c>
      <c r="I166">
        <v>-1.6915989818837348E-2</v>
      </c>
    </row>
    <row r="167" spans="1:9">
      <c r="A167" s="118">
        <v>45614</v>
      </c>
      <c r="B167" t="s">
        <v>14</v>
      </c>
      <c r="C167">
        <v>946</v>
      </c>
      <c r="D167">
        <v>270</v>
      </c>
      <c r="E167">
        <v>246567</v>
      </c>
      <c r="F167">
        <v>4.53</v>
      </c>
      <c r="G167">
        <v>5924</v>
      </c>
      <c r="H167">
        <v>676</v>
      </c>
      <c r="I167">
        <v>-1.6915989818837348E-2</v>
      </c>
    </row>
    <row r="168" spans="1:9">
      <c r="A168" s="118">
        <v>45593</v>
      </c>
      <c r="B168" t="s">
        <v>14</v>
      </c>
      <c r="C168">
        <v>1435</v>
      </c>
      <c r="D168">
        <v>261</v>
      </c>
      <c r="E168">
        <v>308533</v>
      </c>
      <c r="F168">
        <v>4.5199999999999996</v>
      </c>
      <c r="G168">
        <v>25130</v>
      </c>
      <c r="H168">
        <v>1174</v>
      </c>
      <c r="I168">
        <v>-1.6915989818837348E-2</v>
      </c>
    </row>
    <row r="169" spans="1:9">
      <c r="A169" s="118">
        <v>45474</v>
      </c>
      <c r="B169" t="s">
        <v>24</v>
      </c>
      <c r="C169">
        <v>845</v>
      </c>
      <c r="D169">
        <v>250</v>
      </c>
      <c r="E169">
        <v>218228</v>
      </c>
      <c r="F169">
        <v>4.5199999999999996</v>
      </c>
      <c r="G169">
        <v>21107</v>
      </c>
      <c r="H169">
        <v>595</v>
      </c>
      <c r="I169">
        <v>-1.6915989818837348E-2</v>
      </c>
    </row>
    <row r="170" spans="1:9">
      <c r="A170" s="118">
        <v>45586</v>
      </c>
      <c r="B170" t="s">
        <v>31</v>
      </c>
      <c r="C170">
        <v>1237</v>
      </c>
      <c r="D170">
        <v>155</v>
      </c>
      <c r="E170">
        <v>149916</v>
      </c>
      <c r="F170">
        <v>4.4800000000000004</v>
      </c>
      <c r="G170">
        <v>16921</v>
      </c>
      <c r="H170">
        <v>1082</v>
      </c>
      <c r="I170">
        <v>-1.6915989818837348E-2</v>
      </c>
    </row>
    <row r="171" spans="1:9">
      <c r="A171" s="118">
        <v>45775</v>
      </c>
      <c r="B171" t="s">
        <v>14</v>
      </c>
      <c r="C171">
        <v>1100</v>
      </c>
      <c r="D171">
        <v>117</v>
      </c>
      <c r="E171">
        <v>260204</v>
      </c>
      <c r="F171">
        <v>4.4000000000000004</v>
      </c>
      <c r="G171">
        <v>11908</v>
      </c>
      <c r="H171">
        <v>983</v>
      </c>
      <c r="I171">
        <v>-1.6915989818837348E-2</v>
      </c>
    </row>
    <row r="172" spans="1:9">
      <c r="A172" s="118">
        <v>45474</v>
      </c>
      <c r="B172" t="s">
        <v>31</v>
      </c>
      <c r="C172">
        <v>1218</v>
      </c>
      <c r="D172">
        <v>101</v>
      </c>
      <c r="E172">
        <v>300397</v>
      </c>
      <c r="F172">
        <v>4.33</v>
      </c>
      <c r="G172">
        <v>12277</v>
      </c>
      <c r="H172">
        <v>1117</v>
      </c>
      <c r="I172">
        <v>-1.6915989818837348E-2</v>
      </c>
    </row>
    <row r="173" spans="1:9">
      <c r="A173" s="118">
        <v>45859</v>
      </c>
      <c r="B173" t="s">
        <v>24</v>
      </c>
      <c r="C173">
        <v>754</v>
      </c>
      <c r="D173">
        <v>150</v>
      </c>
      <c r="E173">
        <v>189622</v>
      </c>
      <c r="F173">
        <v>4.25</v>
      </c>
      <c r="G173">
        <v>11911</v>
      </c>
      <c r="H173">
        <v>604</v>
      </c>
      <c r="I173">
        <v>-1.6915989818837348E-2</v>
      </c>
    </row>
    <row r="174" spans="1:9">
      <c r="A174" s="118">
        <v>45495</v>
      </c>
      <c r="B174" t="s">
        <v>31</v>
      </c>
      <c r="C174">
        <v>1241</v>
      </c>
      <c r="D174">
        <v>116</v>
      </c>
      <c r="E174">
        <v>380606</v>
      </c>
      <c r="F174">
        <v>4.2</v>
      </c>
      <c r="G174">
        <v>24617</v>
      </c>
      <c r="H174">
        <v>1125</v>
      </c>
      <c r="I174">
        <v>-1.6915989818837348E-2</v>
      </c>
    </row>
    <row r="175" spans="1:9">
      <c r="A175" s="118">
        <v>45901</v>
      </c>
      <c r="B175" t="s">
        <v>31</v>
      </c>
      <c r="C175">
        <v>503</v>
      </c>
      <c r="D175">
        <v>253</v>
      </c>
      <c r="E175">
        <v>313562</v>
      </c>
      <c r="F175">
        <v>4.18</v>
      </c>
      <c r="G175">
        <v>19538</v>
      </c>
      <c r="H175">
        <v>250</v>
      </c>
      <c r="I175">
        <v>-1.6915989818837348E-2</v>
      </c>
    </row>
    <row r="176" spans="1:9">
      <c r="A176" s="118">
        <v>45712</v>
      </c>
      <c r="B176" t="s">
        <v>24</v>
      </c>
      <c r="C176">
        <v>886</v>
      </c>
      <c r="D176">
        <v>250</v>
      </c>
      <c r="E176">
        <v>168170</v>
      </c>
      <c r="F176">
        <v>4.12</v>
      </c>
      <c r="G176">
        <v>13883</v>
      </c>
      <c r="H176">
        <v>636</v>
      </c>
      <c r="I176">
        <v>-1.6915989818837348E-2</v>
      </c>
    </row>
    <row r="177" spans="1:9">
      <c r="A177" s="118">
        <v>45733</v>
      </c>
      <c r="B177" t="s">
        <v>24</v>
      </c>
      <c r="C177">
        <v>576</v>
      </c>
      <c r="D177">
        <v>80</v>
      </c>
      <c r="E177">
        <v>345688</v>
      </c>
      <c r="F177">
        <v>4.1100000000000003</v>
      </c>
      <c r="G177">
        <v>20474</v>
      </c>
      <c r="H177">
        <v>496</v>
      </c>
      <c r="I177">
        <v>-1.6915989818837348E-2</v>
      </c>
    </row>
    <row r="178" spans="1:9">
      <c r="A178" s="118">
        <v>45593</v>
      </c>
      <c r="B178" t="s">
        <v>31</v>
      </c>
      <c r="C178">
        <v>759</v>
      </c>
      <c r="D178">
        <v>216</v>
      </c>
      <c r="E178">
        <v>147656</v>
      </c>
      <c r="F178">
        <v>4.08</v>
      </c>
      <c r="G178">
        <v>24943</v>
      </c>
      <c r="H178">
        <v>543</v>
      </c>
      <c r="I178">
        <v>-1.6915989818837348E-2</v>
      </c>
    </row>
    <row r="179" spans="1:9">
      <c r="A179" s="118">
        <v>45656</v>
      </c>
      <c r="B179" t="s">
        <v>31</v>
      </c>
      <c r="C179">
        <v>601</v>
      </c>
      <c r="D179">
        <v>64</v>
      </c>
      <c r="E179">
        <v>123272</v>
      </c>
      <c r="F179">
        <v>4.07</v>
      </c>
      <c r="G179">
        <v>14273</v>
      </c>
      <c r="H179">
        <v>537</v>
      </c>
      <c r="I179">
        <v>-1.6915989818837348E-2</v>
      </c>
    </row>
    <row r="180" spans="1:9">
      <c r="A180" s="118">
        <v>45600</v>
      </c>
      <c r="B180" t="s">
        <v>14</v>
      </c>
      <c r="C180">
        <v>1437</v>
      </c>
      <c r="D180">
        <v>235</v>
      </c>
      <c r="E180">
        <v>326791</v>
      </c>
      <c r="F180">
        <v>4.0599999999999996</v>
      </c>
      <c r="G180">
        <v>14563</v>
      </c>
      <c r="H180">
        <v>1202</v>
      </c>
      <c r="I180">
        <v>-1.6915989818837348E-2</v>
      </c>
    </row>
    <row r="181" spans="1:9">
      <c r="A181" s="118">
        <v>45887</v>
      </c>
      <c r="B181" t="s">
        <v>24</v>
      </c>
      <c r="C181">
        <v>745</v>
      </c>
      <c r="D181">
        <v>98</v>
      </c>
      <c r="E181">
        <v>354816</v>
      </c>
      <c r="F181">
        <v>4.03</v>
      </c>
      <c r="G181">
        <v>17103</v>
      </c>
      <c r="H181">
        <v>647</v>
      </c>
      <c r="I181">
        <v>-1.6915989818837348E-2</v>
      </c>
    </row>
    <row r="182" spans="1:9">
      <c r="A182" s="118">
        <v>45908</v>
      </c>
      <c r="B182" t="s">
        <v>14</v>
      </c>
      <c r="C182">
        <v>1017</v>
      </c>
      <c r="D182">
        <v>197</v>
      </c>
      <c r="E182">
        <v>89918</v>
      </c>
      <c r="F182">
        <v>3.91</v>
      </c>
      <c r="G182">
        <v>7881</v>
      </c>
      <c r="H182">
        <v>820</v>
      </c>
      <c r="I182">
        <v>-1.6915989818837348E-2</v>
      </c>
    </row>
    <row r="183" spans="1:9">
      <c r="A183" s="118">
        <v>45789</v>
      </c>
      <c r="B183" t="s">
        <v>31</v>
      </c>
      <c r="C183">
        <v>624</v>
      </c>
      <c r="D183">
        <v>247</v>
      </c>
      <c r="E183">
        <v>252763</v>
      </c>
      <c r="F183">
        <v>3.89</v>
      </c>
      <c r="G183">
        <v>19000</v>
      </c>
      <c r="H183">
        <v>377</v>
      </c>
      <c r="I183">
        <v>-1.6915989818837348E-2</v>
      </c>
    </row>
    <row r="184" spans="1:9">
      <c r="A184" s="118">
        <v>45502</v>
      </c>
      <c r="B184" t="s">
        <v>14</v>
      </c>
      <c r="C184">
        <v>973</v>
      </c>
      <c r="D184">
        <v>104</v>
      </c>
      <c r="E184">
        <v>376358</v>
      </c>
      <c r="F184">
        <v>3.87</v>
      </c>
      <c r="G184">
        <v>9847</v>
      </c>
      <c r="H184">
        <v>869</v>
      </c>
      <c r="I184">
        <v>-1.6915989818837348E-2</v>
      </c>
    </row>
    <row r="185" spans="1:9">
      <c r="A185" s="118">
        <v>45866</v>
      </c>
      <c r="B185" t="s">
        <v>24</v>
      </c>
      <c r="C185">
        <v>1425</v>
      </c>
      <c r="D185">
        <v>143</v>
      </c>
      <c r="E185">
        <v>116742</v>
      </c>
      <c r="F185">
        <v>3.71</v>
      </c>
      <c r="G185">
        <v>27126</v>
      </c>
      <c r="H185">
        <v>1282</v>
      </c>
      <c r="I185">
        <v>-1.6915989818837348E-2</v>
      </c>
    </row>
    <row r="186" spans="1:9">
      <c r="A186" s="118">
        <v>45712</v>
      </c>
      <c r="B186" t="s">
        <v>14</v>
      </c>
      <c r="C186">
        <v>645</v>
      </c>
      <c r="D186">
        <v>267</v>
      </c>
      <c r="E186">
        <v>346890</v>
      </c>
      <c r="F186">
        <v>3.71</v>
      </c>
      <c r="G186">
        <v>24858</v>
      </c>
      <c r="H186">
        <v>378</v>
      </c>
      <c r="I186">
        <v>-1.6915989818837348E-2</v>
      </c>
    </row>
    <row r="187" spans="1:9">
      <c r="A187" s="118">
        <v>45684</v>
      </c>
      <c r="B187" t="s">
        <v>24</v>
      </c>
      <c r="C187">
        <v>1149</v>
      </c>
      <c r="D187">
        <v>280</v>
      </c>
      <c r="E187">
        <v>167310</v>
      </c>
      <c r="F187">
        <v>3.7</v>
      </c>
      <c r="G187">
        <v>5291</v>
      </c>
      <c r="H187">
        <v>869</v>
      </c>
      <c r="I187">
        <v>-1.6915989818837348E-2</v>
      </c>
    </row>
    <row r="188" spans="1:9">
      <c r="A188" s="118">
        <v>45901</v>
      </c>
      <c r="B188" t="s">
        <v>24</v>
      </c>
      <c r="C188">
        <v>572</v>
      </c>
      <c r="D188">
        <v>270</v>
      </c>
      <c r="E188">
        <v>82265</v>
      </c>
      <c r="F188">
        <v>3.65</v>
      </c>
      <c r="G188">
        <v>13140</v>
      </c>
      <c r="H188">
        <v>302</v>
      </c>
      <c r="I188">
        <v>-1.6915989818837348E-2</v>
      </c>
    </row>
    <row r="189" spans="1:9">
      <c r="A189" s="118">
        <v>45775</v>
      </c>
      <c r="B189" t="s">
        <v>31</v>
      </c>
      <c r="C189">
        <v>864</v>
      </c>
      <c r="D189">
        <v>50</v>
      </c>
      <c r="E189">
        <v>277445</v>
      </c>
      <c r="F189">
        <v>3.57</v>
      </c>
      <c r="G189">
        <v>26333</v>
      </c>
      <c r="H189">
        <v>814</v>
      </c>
      <c r="I189">
        <v>-1.6915989818837348E-2</v>
      </c>
    </row>
    <row r="190" spans="1:9">
      <c r="A190" s="118">
        <v>45502</v>
      </c>
      <c r="B190" t="s">
        <v>31</v>
      </c>
      <c r="C190">
        <v>983</v>
      </c>
      <c r="D190">
        <v>134</v>
      </c>
      <c r="E190">
        <v>352178</v>
      </c>
      <c r="F190">
        <v>3.55</v>
      </c>
      <c r="G190">
        <v>11421</v>
      </c>
      <c r="H190">
        <v>849</v>
      </c>
      <c r="I190">
        <v>-1.6915989818837348E-2</v>
      </c>
    </row>
    <row r="191" spans="1:9">
      <c r="A191" s="118">
        <v>45761</v>
      </c>
      <c r="B191" t="s">
        <v>14</v>
      </c>
      <c r="C191">
        <v>772</v>
      </c>
      <c r="D191">
        <v>82</v>
      </c>
      <c r="E191">
        <v>345659</v>
      </c>
      <c r="F191">
        <v>3.52</v>
      </c>
      <c r="G191">
        <v>27753</v>
      </c>
      <c r="H191">
        <v>690</v>
      </c>
      <c r="I191">
        <v>-1.6915989818837348E-2</v>
      </c>
    </row>
    <row r="192" spans="1:9">
      <c r="A192" s="118">
        <v>45670</v>
      </c>
      <c r="B192" t="s">
        <v>14</v>
      </c>
      <c r="C192">
        <v>532</v>
      </c>
      <c r="D192">
        <v>65</v>
      </c>
      <c r="E192">
        <v>338561</v>
      </c>
      <c r="F192">
        <v>3.5</v>
      </c>
      <c r="G192">
        <v>14749</v>
      </c>
      <c r="H192">
        <v>467</v>
      </c>
      <c r="I192">
        <v>-1.6915989818837348E-2</v>
      </c>
    </row>
    <row r="193" spans="1:9">
      <c r="A193" s="118">
        <v>45775</v>
      </c>
      <c r="B193" t="s">
        <v>24</v>
      </c>
      <c r="C193">
        <v>751</v>
      </c>
      <c r="D193">
        <v>170</v>
      </c>
      <c r="E193">
        <v>283278</v>
      </c>
      <c r="F193">
        <v>3.49</v>
      </c>
      <c r="G193">
        <v>11005</v>
      </c>
      <c r="H193">
        <v>581</v>
      </c>
      <c r="I193">
        <v>-1.6915989818837348E-2</v>
      </c>
    </row>
    <row r="194" spans="1:9">
      <c r="A194" s="118">
        <v>45565</v>
      </c>
      <c r="B194" t="s">
        <v>14</v>
      </c>
      <c r="C194">
        <v>1416</v>
      </c>
      <c r="D194">
        <v>284</v>
      </c>
      <c r="E194">
        <v>374952</v>
      </c>
      <c r="F194">
        <v>3.45</v>
      </c>
      <c r="G194">
        <v>11335</v>
      </c>
      <c r="H194">
        <v>1132</v>
      </c>
      <c r="I194">
        <v>-1.6915989818837348E-2</v>
      </c>
    </row>
    <row r="195" spans="1:9">
      <c r="A195" s="118">
        <v>45733</v>
      </c>
      <c r="B195" t="s">
        <v>14</v>
      </c>
      <c r="C195">
        <v>693</v>
      </c>
      <c r="D195">
        <v>129</v>
      </c>
      <c r="E195">
        <v>296031</v>
      </c>
      <c r="F195">
        <v>3.41</v>
      </c>
      <c r="G195">
        <v>7140</v>
      </c>
      <c r="H195">
        <v>564</v>
      </c>
      <c r="I195">
        <v>-1.6915989818837348E-2</v>
      </c>
    </row>
    <row r="196" spans="1:9">
      <c r="A196" s="118">
        <v>45544</v>
      </c>
      <c r="B196" t="s">
        <v>24</v>
      </c>
      <c r="C196">
        <v>1430</v>
      </c>
      <c r="D196">
        <v>162</v>
      </c>
      <c r="E196">
        <v>269082</v>
      </c>
      <c r="F196">
        <v>3.4</v>
      </c>
      <c r="G196">
        <v>18071</v>
      </c>
      <c r="H196">
        <v>1268</v>
      </c>
      <c r="I196">
        <v>-1.6915989818837348E-2</v>
      </c>
    </row>
    <row r="197" spans="1:9">
      <c r="A197" s="118">
        <v>45740</v>
      </c>
      <c r="B197" t="s">
        <v>14</v>
      </c>
      <c r="C197">
        <v>818</v>
      </c>
      <c r="D197">
        <v>253</v>
      </c>
      <c r="E197">
        <v>184911</v>
      </c>
      <c r="F197">
        <v>3.39</v>
      </c>
      <c r="G197">
        <v>10402</v>
      </c>
      <c r="H197">
        <v>565</v>
      </c>
      <c r="I197">
        <v>-1.6915989818837348E-2</v>
      </c>
    </row>
    <row r="198" spans="1:9">
      <c r="A198" s="118">
        <v>45551</v>
      </c>
      <c r="B198" t="s">
        <v>31</v>
      </c>
      <c r="C198">
        <v>685</v>
      </c>
      <c r="D198">
        <v>285</v>
      </c>
      <c r="E198">
        <v>177452</v>
      </c>
      <c r="F198">
        <v>3.36</v>
      </c>
      <c r="G198">
        <v>21134</v>
      </c>
      <c r="H198">
        <v>400</v>
      </c>
      <c r="I198">
        <v>-1.6915989818837348E-2</v>
      </c>
    </row>
    <row r="199" spans="1:9">
      <c r="A199" s="118">
        <v>45684</v>
      </c>
      <c r="B199" t="s">
        <v>31</v>
      </c>
      <c r="C199">
        <v>819</v>
      </c>
      <c r="D199">
        <v>101</v>
      </c>
      <c r="E199">
        <v>194811</v>
      </c>
      <c r="F199">
        <v>3.35</v>
      </c>
      <c r="G199">
        <v>22244</v>
      </c>
      <c r="H199">
        <v>718</v>
      </c>
      <c r="I199">
        <v>-1.6915989818837348E-2</v>
      </c>
    </row>
    <row r="200" spans="1:9">
      <c r="A200" s="118">
        <v>45677</v>
      </c>
      <c r="B200" t="s">
        <v>14</v>
      </c>
      <c r="C200">
        <v>601</v>
      </c>
      <c r="D200">
        <v>159</v>
      </c>
      <c r="E200">
        <v>327722</v>
      </c>
      <c r="F200">
        <v>3.33</v>
      </c>
      <c r="G200">
        <v>25267</v>
      </c>
      <c r="H200">
        <v>442</v>
      </c>
      <c r="I200">
        <v>-1.6915989818837348E-2</v>
      </c>
    </row>
    <row r="201" spans="1:9">
      <c r="A201" s="118">
        <v>45642</v>
      </c>
      <c r="B201" t="s">
        <v>31</v>
      </c>
      <c r="C201">
        <v>1182</v>
      </c>
      <c r="D201">
        <v>83</v>
      </c>
      <c r="E201">
        <v>140300</v>
      </c>
      <c r="F201">
        <v>3.27</v>
      </c>
      <c r="G201">
        <v>21079</v>
      </c>
      <c r="H201">
        <v>1099</v>
      </c>
      <c r="I201">
        <v>-1.6915989818837348E-2</v>
      </c>
    </row>
    <row r="202" spans="1:9">
      <c r="A202" s="118">
        <v>45691</v>
      </c>
      <c r="B202" t="s">
        <v>24</v>
      </c>
      <c r="C202">
        <v>681</v>
      </c>
      <c r="D202">
        <v>158</v>
      </c>
      <c r="E202">
        <v>75960</v>
      </c>
      <c r="F202">
        <v>3.13</v>
      </c>
      <c r="G202">
        <v>24112</v>
      </c>
      <c r="H202">
        <v>523</v>
      </c>
      <c r="I202">
        <v>-1.6915989818837348E-2</v>
      </c>
    </row>
    <row r="203" spans="1:9">
      <c r="A203" s="118">
        <v>45894</v>
      </c>
      <c r="B203" t="s">
        <v>31</v>
      </c>
      <c r="C203">
        <v>791</v>
      </c>
      <c r="D203">
        <v>273</v>
      </c>
      <c r="E203">
        <v>144049</v>
      </c>
      <c r="F203">
        <v>3.08</v>
      </c>
      <c r="G203">
        <v>5281</v>
      </c>
      <c r="H203">
        <v>518</v>
      </c>
      <c r="I203">
        <v>-1.6915989818837348E-2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showGridLines="0" topLeftCell="D209" zoomScale="101" zoomScaleNormal="190" workbookViewId="0">
      <selection activeCell="H11" sqref="H11"/>
    </sheetView>
  </sheetViews>
  <sheetFormatPr defaultColWidth="14.44140625" defaultRowHeight="15" customHeight="1"/>
  <cols>
    <col min="1" max="1" width="10.33203125" customWidth="1"/>
    <col min="2" max="2" width="11.88671875" customWidth="1"/>
    <col min="3" max="3" width="18.88671875" style="6" customWidth="1"/>
    <col min="4" max="4" width="16.6640625" style="4" customWidth="1"/>
    <col min="5" max="5" width="36.5546875" customWidth="1"/>
    <col min="6" max="6" width="19.44140625" style="4" customWidth="1"/>
    <col min="7" max="7" width="10.44140625" style="4" customWidth="1"/>
    <col min="8" max="8" width="24.88671875" style="4" customWidth="1"/>
    <col min="9" max="9" width="15.6640625" style="4" customWidth="1"/>
    <col min="10" max="10" width="13.5546875" style="4" customWidth="1"/>
    <col min="11" max="11" width="9.6640625" style="4" customWidth="1"/>
    <col min="12" max="12" width="35" customWidth="1"/>
    <col min="13" max="13" width="28.5546875" style="4" customWidth="1"/>
    <col min="14" max="14" width="24.44140625" customWidth="1"/>
    <col min="15" max="15" width="21.88671875" style="4" customWidth="1"/>
    <col min="16" max="16" width="16.44140625" customWidth="1"/>
    <col min="17" max="17" width="8.6640625" customWidth="1"/>
    <col min="18" max="18" width="15.5546875" style="4" customWidth="1"/>
    <col min="19" max="19" width="14.6640625" style="4" customWidth="1"/>
    <col min="20" max="25" width="8.6640625" customWidth="1"/>
  </cols>
  <sheetData>
    <row r="1" spans="1:19" ht="14.4">
      <c r="A1" s="51" t="s">
        <v>0</v>
      </c>
      <c r="B1" s="51" t="s">
        <v>1</v>
      </c>
      <c r="C1" s="50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345</v>
      </c>
      <c r="O1" s="51" t="s">
        <v>399</v>
      </c>
      <c r="P1" s="51" t="s">
        <v>350</v>
      </c>
      <c r="Q1" s="51" t="s">
        <v>401</v>
      </c>
      <c r="R1" s="51" t="s">
        <v>347</v>
      </c>
      <c r="S1" s="51" t="s">
        <v>348</v>
      </c>
    </row>
    <row r="2" spans="1:19" ht="14.4">
      <c r="A2" s="3" t="s">
        <v>13</v>
      </c>
      <c r="B2" s="3" t="s">
        <v>14</v>
      </c>
      <c r="C2" s="5">
        <v>45781</v>
      </c>
      <c r="D2" s="3" t="s">
        <v>15</v>
      </c>
      <c r="E2" s="3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3" t="s">
        <v>17</v>
      </c>
      <c r="M2" s="3" t="s">
        <v>18</v>
      </c>
      <c r="N2" s="16">
        <f>((F2+G2+H2)/I2)*100</f>
        <v>13.200509890939994</v>
      </c>
      <c r="O2" s="4">
        <f>SUM(Table2[[#This Row],[Likes]],Table2[[#This Row],[Shares]],Table2[[#This Row],[Comments]])</f>
        <v>2796</v>
      </c>
      <c r="P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" s="20">
        <f>Table2[[#This Row],[Net_Engagement]]/Table2[[#This Row],[Total_Budget]]</f>
        <v>1.3979999999999999E-2</v>
      </c>
      <c r="R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" spans="1:19" ht="14.4">
      <c r="A3" s="3" t="s">
        <v>19</v>
      </c>
      <c r="B3" s="3" t="s">
        <v>14</v>
      </c>
      <c r="C3" s="5">
        <v>45689</v>
      </c>
      <c r="D3" s="3" t="s">
        <v>15</v>
      </c>
      <c r="E3" s="3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3" t="s">
        <v>21</v>
      </c>
      <c r="M3" s="3" t="s">
        <v>22</v>
      </c>
      <c r="N3" s="16">
        <f t="shared" ref="N3:N66" si="0">((F3+G3+H3)/I3)*100</f>
        <v>8.7095334546328402</v>
      </c>
      <c r="O3" s="4">
        <f>SUM(Table2[[#This Row],[Likes]],Table2[[#This Row],[Shares]],Table2[[#This Row],[Comments]])</f>
        <v>2537</v>
      </c>
      <c r="P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3" s="20">
        <f>Table2[[#This Row],[Net_Engagement]]/Table2[[#This Row],[Total_Budget]]</f>
        <v>1.5856249999999999E-2</v>
      </c>
      <c r="R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4" spans="1:19" ht="14.4">
      <c r="A4" s="3" t="s">
        <v>23</v>
      </c>
      <c r="B4" s="3" t="s">
        <v>24</v>
      </c>
      <c r="C4" s="5">
        <v>45629</v>
      </c>
      <c r="D4" s="3" t="s">
        <v>25</v>
      </c>
      <c r="E4" s="3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3" t="s">
        <v>27</v>
      </c>
      <c r="M4" s="3" t="s">
        <v>18</v>
      </c>
      <c r="N4" s="16">
        <f t="shared" si="0"/>
        <v>7.0477352576105021</v>
      </c>
      <c r="O4" s="4">
        <f>SUM(Table2[[#This Row],[Likes]],Table2[[#This Row],[Shares]],Table2[[#This Row],[Comments]])</f>
        <v>3350</v>
      </c>
      <c r="P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4" s="20">
        <f>Table2[[#This Row],[Net_Engagement]]/Table2[[#This Row],[Total_Budget]]</f>
        <v>1.6750000000000001E-2</v>
      </c>
      <c r="R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5" spans="1:19" ht="14.4">
      <c r="A5" s="3" t="s">
        <v>28</v>
      </c>
      <c r="B5" s="3" t="s">
        <v>14</v>
      </c>
      <c r="C5" s="5">
        <v>45629</v>
      </c>
      <c r="D5" s="3" t="s">
        <v>15</v>
      </c>
      <c r="E5" s="3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3" t="s">
        <v>17</v>
      </c>
      <c r="M5" s="3" t="s">
        <v>18</v>
      </c>
      <c r="N5" s="16">
        <f t="shared" si="0"/>
        <v>12.15714092690177</v>
      </c>
      <c r="O5" s="4">
        <f>SUM(Table2[[#This Row],[Likes]],Table2[[#This Row],[Shares]],Table2[[#This Row],[Comments]])</f>
        <v>3599</v>
      </c>
      <c r="P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5" s="20">
        <f>Table2[[#This Row],[Net_Engagement]]/Table2[[#This Row],[Total_Budget]]</f>
        <v>1.7995000000000001E-2</v>
      </c>
      <c r="R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6" spans="1:19" ht="14.4">
      <c r="A6" s="3" t="s">
        <v>30</v>
      </c>
      <c r="B6" s="3" t="s">
        <v>31</v>
      </c>
      <c r="C6" s="5">
        <v>45388</v>
      </c>
      <c r="D6" s="3" t="s">
        <v>15</v>
      </c>
      <c r="E6" s="3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3" t="s">
        <v>33</v>
      </c>
      <c r="M6" s="3" t="s">
        <v>22</v>
      </c>
      <c r="N6" s="16">
        <f t="shared" si="0"/>
        <v>13.14700217204213</v>
      </c>
      <c r="O6" s="4">
        <f>SUM(Table2[[#This Row],[Likes]],Table2[[#This Row],[Shares]],Table2[[#This Row],[Comments]])</f>
        <v>3208</v>
      </c>
      <c r="P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6" s="20">
        <f>Table2[[#This Row],[Net_Engagement]]/Table2[[#This Row],[Total_Budget]]</f>
        <v>2.0049999999999998E-2</v>
      </c>
      <c r="R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7" spans="1:19" ht="14.4">
      <c r="A7" s="3" t="s">
        <v>34</v>
      </c>
      <c r="B7" s="3" t="s">
        <v>31</v>
      </c>
      <c r="C7" s="5">
        <v>45456</v>
      </c>
      <c r="D7" s="3" t="s">
        <v>15</v>
      </c>
      <c r="E7" s="3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3" t="s">
        <v>33</v>
      </c>
      <c r="M7" s="3" t="s">
        <v>22</v>
      </c>
      <c r="N7" s="16">
        <f t="shared" si="0"/>
        <v>7.4828079253761839</v>
      </c>
      <c r="O7" s="4">
        <f>SUM(Table2[[#This Row],[Likes]],Table2[[#This Row],[Shares]],Table2[[#This Row],[Comments]])</f>
        <v>4396</v>
      </c>
      <c r="P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7" s="20">
        <f>Table2[[#This Row],[Net_Engagement]]/Table2[[#This Row],[Total_Budget]]</f>
        <v>2.7474999999999999E-2</v>
      </c>
      <c r="R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8" spans="1:19" ht="14.4">
      <c r="A8" s="3" t="s">
        <v>36</v>
      </c>
      <c r="B8" s="3" t="s">
        <v>24</v>
      </c>
      <c r="C8" s="5">
        <v>45645</v>
      </c>
      <c r="D8" s="3" t="s">
        <v>25</v>
      </c>
      <c r="E8" s="3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3" t="s">
        <v>17</v>
      </c>
      <c r="M8" s="3" t="s">
        <v>18</v>
      </c>
      <c r="N8" s="16">
        <f t="shared" si="0"/>
        <v>26.064752360763155</v>
      </c>
      <c r="O8" s="4">
        <f>SUM(Table2[[#This Row],[Likes]],Table2[[#This Row],[Shares]],Table2[[#This Row],[Comments]])</f>
        <v>5410</v>
      </c>
      <c r="P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8" s="20">
        <f>Table2[[#This Row],[Net_Engagement]]/Table2[[#This Row],[Total_Budget]]</f>
        <v>2.7050000000000001E-2</v>
      </c>
      <c r="R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9" spans="1:19" ht="14.4">
      <c r="A9" s="3" t="s">
        <v>38</v>
      </c>
      <c r="B9" s="3" t="s">
        <v>24</v>
      </c>
      <c r="C9" s="5">
        <v>45421</v>
      </c>
      <c r="D9" s="3" t="s">
        <v>25</v>
      </c>
      <c r="E9" s="3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3" t="s">
        <v>39</v>
      </c>
      <c r="M9" s="3" t="s">
        <v>18</v>
      </c>
      <c r="N9" s="16">
        <f t="shared" si="0"/>
        <v>8.7100435029317183</v>
      </c>
      <c r="O9" s="4">
        <f>SUM(Table2[[#This Row],[Likes]],Table2[[#This Row],[Shares]],Table2[[#This Row],[Comments]])</f>
        <v>1842</v>
      </c>
      <c r="P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9" s="20">
        <f>Table2[[#This Row],[Net_Engagement]]/Table2[[#This Row],[Total_Budget]]</f>
        <v>9.2099999999999994E-3</v>
      </c>
      <c r="R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0" spans="1:19" ht="14.4">
      <c r="A10" s="3" t="s">
        <v>40</v>
      </c>
      <c r="B10" s="3" t="s">
        <v>24</v>
      </c>
      <c r="C10" s="5">
        <v>45823</v>
      </c>
      <c r="D10" s="3" t="s">
        <v>15</v>
      </c>
      <c r="E10" s="3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3" t="s">
        <v>42</v>
      </c>
      <c r="M10" s="3" t="s">
        <v>18</v>
      </c>
      <c r="N10" s="16">
        <f t="shared" si="0"/>
        <v>8.3943337400027112</v>
      </c>
      <c r="O10" s="4">
        <f>SUM(Table2[[#This Row],[Likes]],Table2[[#This Row],[Shares]],Table2[[#This Row],[Comments]])</f>
        <v>4954</v>
      </c>
      <c r="P1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0" s="20">
        <f>Table2[[#This Row],[Net_Engagement]]/Table2[[#This Row],[Total_Budget]]</f>
        <v>2.477E-2</v>
      </c>
      <c r="R1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1" spans="1:19" ht="14.4">
      <c r="A11" s="3" t="s">
        <v>43</v>
      </c>
      <c r="B11" s="3" t="s">
        <v>24</v>
      </c>
      <c r="C11" s="5">
        <v>45630</v>
      </c>
      <c r="D11" s="3" t="s">
        <v>15</v>
      </c>
      <c r="E11" s="3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3" t="s">
        <v>42</v>
      </c>
      <c r="M11" s="3" t="s">
        <v>18</v>
      </c>
      <c r="N11" s="16">
        <f t="shared" si="0"/>
        <v>12.997310581470833</v>
      </c>
      <c r="O11" s="4">
        <f>SUM(Table2[[#This Row],[Likes]],Table2[[#This Row],[Shares]],Table2[[#This Row],[Comments]])</f>
        <v>2803</v>
      </c>
      <c r="P1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1" s="20">
        <f>Table2[[#This Row],[Net_Engagement]]/Table2[[#This Row],[Total_Budget]]</f>
        <v>1.4015E-2</v>
      </c>
      <c r="R1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2" spans="1:19" ht="14.4">
      <c r="A12" s="3" t="s">
        <v>44</v>
      </c>
      <c r="B12" s="3" t="s">
        <v>24</v>
      </c>
      <c r="C12" s="5">
        <v>45357</v>
      </c>
      <c r="D12" s="3" t="s">
        <v>15</v>
      </c>
      <c r="E12" s="3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3" t="s">
        <v>45</v>
      </c>
      <c r="M12" s="3" t="s">
        <v>22</v>
      </c>
      <c r="N12" s="16">
        <f t="shared" si="0"/>
        <v>8.4525482181632388</v>
      </c>
      <c r="O12" s="4">
        <f>SUM(Table2[[#This Row],[Likes]],Table2[[#This Row],[Shares]],Table2[[#This Row],[Comments]])</f>
        <v>2647</v>
      </c>
      <c r="P1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2" s="20">
        <f>Table2[[#This Row],[Net_Engagement]]/Table2[[#This Row],[Total_Budget]]</f>
        <v>1.6543749999999999E-2</v>
      </c>
      <c r="R1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3" spans="1:19" ht="14.4">
      <c r="A13" s="3" t="s">
        <v>46</v>
      </c>
      <c r="B13" s="3" t="s">
        <v>14</v>
      </c>
      <c r="C13" s="5">
        <v>45426</v>
      </c>
      <c r="D13" s="3" t="s">
        <v>15</v>
      </c>
      <c r="E13" s="3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3" t="s">
        <v>17</v>
      </c>
      <c r="M13" s="3" t="s">
        <v>18</v>
      </c>
      <c r="N13" s="16">
        <f t="shared" si="0"/>
        <v>5.4191936281527369</v>
      </c>
      <c r="O13" s="4">
        <f>SUM(Table2[[#This Row],[Likes]],Table2[[#This Row],[Shares]],Table2[[#This Row],[Comments]])</f>
        <v>2082</v>
      </c>
      <c r="P1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3" s="20">
        <f>Table2[[#This Row],[Net_Engagement]]/Table2[[#This Row],[Total_Budget]]</f>
        <v>1.0410000000000001E-2</v>
      </c>
      <c r="R1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4" spans="1:19" ht="14.4">
      <c r="A14" s="3" t="s">
        <v>47</v>
      </c>
      <c r="B14" s="3" t="s">
        <v>24</v>
      </c>
      <c r="C14" s="5">
        <v>45826</v>
      </c>
      <c r="D14" s="3" t="s">
        <v>25</v>
      </c>
      <c r="E14" s="3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3" t="s">
        <v>27</v>
      </c>
      <c r="M14" s="3" t="s">
        <v>18</v>
      </c>
      <c r="N14" s="16">
        <f t="shared" si="0"/>
        <v>7.4550393727863558</v>
      </c>
      <c r="O14" s="4">
        <f>SUM(Table2[[#This Row],[Likes]],Table2[[#This Row],[Shares]],Table2[[#This Row],[Comments]])</f>
        <v>4336</v>
      </c>
      <c r="P1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4" s="20">
        <f>Table2[[#This Row],[Net_Engagement]]/Table2[[#This Row],[Total_Budget]]</f>
        <v>2.1680000000000001E-2</v>
      </c>
      <c r="R1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5" spans="1:19" ht="14.4">
      <c r="A15" s="3" t="s">
        <v>48</v>
      </c>
      <c r="B15" s="3" t="s">
        <v>24</v>
      </c>
      <c r="C15" s="5">
        <v>45573</v>
      </c>
      <c r="D15" s="3" t="s">
        <v>15</v>
      </c>
      <c r="E15" s="3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3" t="s">
        <v>42</v>
      </c>
      <c r="M15" s="3" t="s">
        <v>18</v>
      </c>
      <c r="N15" s="16">
        <f t="shared" si="0"/>
        <v>8.5063484278785886</v>
      </c>
      <c r="O15" s="4">
        <f>SUM(Table2[[#This Row],[Likes]],Table2[[#This Row],[Shares]],Table2[[#This Row],[Comments]])</f>
        <v>3122</v>
      </c>
      <c r="P1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5" s="20">
        <f>Table2[[#This Row],[Net_Engagement]]/Table2[[#This Row],[Total_Budget]]</f>
        <v>1.5610000000000001E-2</v>
      </c>
      <c r="R1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6" spans="1:19" ht="14.4">
      <c r="A16" s="3" t="s">
        <v>50</v>
      </c>
      <c r="B16" s="3" t="s">
        <v>24</v>
      </c>
      <c r="C16" s="5">
        <v>45418</v>
      </c>
      <c r="D16" s="3" t="s">
        <v>15</v>
      </c>
      <c r="E16" s="3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3" t="s">
        <v>42</v>
      </c>
      <c r="M16" s="3" t="s">
        <v>18</v>
      </c>
      <c r="N16" s="16">
        <f t="shared" si="0"/>
        <v>11.27440520644404</v>
      </c>
      <c r="O16" s="4">
        <f>SUM(Table2[[#This Row],[Likes]],Table2[[#This Row],[Shares]],Table2[[#This Row],[Comments]])</f>
        <v>4227</v>
      </c>
      <c r="P1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6" s="20">
        <f>Table2[[#This Row],[Net_Engagement]]/Table2[[#This Row],[Total_Budget]]</f>
        <v>2.1135000000000001E-2</v>
      </c>
      <c r="R1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7" spans="1:19" ht="14.4">
      <c r="A17" s="3" t="s">
        <v>52</v>
      </c>
      <c r="B17" s="3" t="s">
        <v>24</v>
      </c>
      <c r="C17" s="5">
        <v>45655</v>
      </c>
      <c r="D17" s="3" t="s">
        <v>25</v>
      </c>
      <c r="E17" s="3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3" t="s">
        <v>27</v>
      </c>
      <c r="M17" s="3" t="s">
        <v>18</v>
      </c>
      <c r="N17" s="16">
        <f t="shared" si="0"/>
        <v>9.3810966751068872</v>
      </c>
      <c r="O17" s="4">
        <f>SUM(Table2[[#This Row],[Likes]],Table2[[#This Row],[Shares]],Table2[[#This Row],[Comments]])</f>
        <v>4520</v>
      </c>
      <c r="P1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7" s="20">
        <f>Table2[[#This Row],[Net_Engagement]]/Table2[[#This Row],[Total_Budget]]</f>
        <v>2.2599999999999999E-2</v>
      </c>
      <c r="R1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8" spans="1:19" ht="14.4">
      <c r="A18" s="3" t="s">
        <v>53</v>
      </c>
      <c r="B18" s="3" t="s">
        <v>24</v>
      </c>
      <c r="C18" s="5">
        <v>45453</v>
      </c>
      <c r="D18" s="3" t="s">
        <v>15</v>
      </c>
      <c r="E18" s="3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3" t="s">
        <v>42</v>
      </c>
      <c r="M18" s="3" t="s">
        <v>18</v>
      </c>
      <c r="N18" s="16">
        <f t="shared" si="0"/>
        <v>4.7214969538729328</v>
      </c>
      <c r="O18" s="4">
        <f>SUM(Table2[[#This Row],[Likes]],Table2[[#This Row],[Shares]],Table2[[#This Row],[Comments]])</f>
        <v>1953</v>
      </c>
      <c r="P1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8" s="20">
        <f>Table2[[#This Row],[Net_Engagement]]/Table2[[#This Row],[Total_Budget]]</f>
        <v>9.7649999999999994E-3</v>
      </c>
      <c r="R1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9" spans="1:19" ht="14.4">
      <c r="A19" s="3" t="s">
        <v>54</v>
      </c>
      <c r="B19" s="3" t="s">
        <v>14</v>
      </c>
      <c r="C19" s="5">
        <v>45325</v>
      </c>
      <c r="D19" s="3" t="s">
        <v>25</v>
      </c>
      <c r="E19" s="3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3" t="s">
        <v>42</v>
      </c>
      <c r="M19" s="3" t="s">
        <v>55</v>
      </c>
      <c r="N19" s="16">
        <f t="shared" si="0"/>
        <v>14.080798066794721</v>
      </c>
      <c r="O19" s="4">
        <f>SUM(Table2[[#This Row],[Likes]],Table2[[#This Row],[Shares]],Table2[[#This Row],[Comments]])</f>
        <v>4545</v>
      </c>
      <c r="P1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9" s="20">
        <f>Table2[[#This Row],[Net_Engagement]]/Table2[[#This Row],[Total_Budget]]</f>
        <v>2.0199999999999999E-2</v>
      </c>
      <c r="R1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20" spans="1:19" ht="14.4">
      <c r="A20" s="3" t="s">
        <v>56</v>
      </c>
      <c r="B20" s="3" t="s">
        <v>31</v>
      </c>
      <c r="C20" s="5">
        <v>45458</v>
      </c>
      <c r="D20" s="3" t="s">
        <v>57</v>
      </c>
      <c r="E20" s="3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3" t="s">
        <v>58</v>
      </c>
      <c r="M20" s="3" t="s">
        <v>59</v>
      </c>
      <c r="N20" s="16">
        <f t="shared" si="0"/>
        <v>6.4255640042732365</v>
      </c>
      <c r="O20" s="4">
        <f>SUM(Table2[[#This Row],[Likes]],Table2[[#This Row],[Shares]],Table2[[#This Row],[Comments]])</f>
        <v>2045</v>
      </c>
      <c r="P2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0" s="20">
        <f>Table2[[#This Row],[Net_Engagement]]/Table2[[#This Row],[Total_Budget]]</f>
        <v>1.1685714285714285E-2</v>
      </c>
      <c r="R2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1" spans="1:19" ht="15.75" customHeight="1">
      <c r="A21" s="3" t="s">
        <v>60</v>
      </c>
      <c r="B21" s="3" t="s">
        <v>14</v>
      </c>
      <c r="C21" s="5">
        <v>45478</v>
      </c>
      <c r="D21" s="3" t="s">
        <v>15</v>
      </c>
      <c r="E21" s="3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3" t="s">
        <v>21</v>
      </c>
      <c r="M21" s="3" t="s">
        <v>22</v>
      </c>
      <c r="N21" s="16">
        <f t="shared" si="0"/>
        <v>15.347655981879333</v>
      </c>
      <c r="O21" s="4">
        <f>SUM(Table2[[#This Row],[Likes]],Table2[[#This Row],[Shares]],Table2[[#This Row],[Comments]])</f>
        <v>4472</v>
      </c>
      <c r="P2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1" s="20">
        <f>Table2[[#This Row],[Net_Engagement]]/Table2[[#This Row],[Total_Budget]]</f>
        <v>2.7949999999999999E-2</v>
      </c>
      <c r="R2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2" spans="1:19" ht="15.75" customHeight="1">
      <c r="A22" s="3" t="s">
        <v>61</v>
      </c>
      <c r="B22" s="3" t="s">
        <v>14</v>
      </c>
      <c r="C22" s="5">
        <v>45603</v>
      </c>
      <c r="D22" s="3" t="s">
        <v>25</v>
      </c>
      <c r="E22" s="3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3" t="s">
        <v>42</v>
      </c>
      <c r="M22" s="3" t="s">
        <v>55</v>
      </c>
      <c r="N22" s="16">
        <f t="shared" si="0"/>
        <v>4.3543867212761374</v>
      </c>
      <c r="O22" s="4">
        <f>SUM(Table2[[#This Row],[Likes]],Table2[[#This Row],[Shares]],Table2[[#This Row],[Comments]])</f>
        <v>2424</v>
      </c>
      <c r="P2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22" s="20">
        <f>Table2[[#This Row],[Net_Engagement]]/Table2[[#This Row],[Total_Budget]]</f>
        <v>1.0773333333333333E-2</v>
      </c>
      <c r="R2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2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23" spans="1:19" ht="15.75" customHeight="1">
      <c r="A23" s="3" t="s">
        <v>62</v>
      </c>
      <c r="B23" s="3" t="s">
        <v>14</v>
      </c>
      <c r="C23" s="5">
        <v>45823</v>
      </c>
      <c r="D23" s="3" t="s">
        <v>15</v>
      </c>
      <c r="E23" s="3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3" t="s">
        <v>17</v>
      </c>
      <c r="M23" s="3" t="s">
        <v>18</v>
      </c>
      <c r="N23" s="16">
        <f t="shared" si="0"/>
        <v>19.548583208133888</v>
      </c>
      <c r="O23" s="4">
        <f>SUM(Table2[[#This Row],[Likes]],Table2[[#This Row],[Shares]],Table2[[#This Row],[Comments]])</f>
        <v>5595</v>
      </c>
      <c r="P2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3" s="20">
        <f>Table2[[#This Row],[Net_Engagement]]/Table2[[#This Row],[Total_Budget]]</f>
        <v>2.7975E-2</v>
      </c>
      <c r="R2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4" spans="1:19" ht="15.75" customHeight="1">
      <c r="A24" s="3" t="s">
        <v>63</v>
      </c>
      <c r="B24" s="3" t="s">
        <v>31</v>
      </c>
      <c r="C24" s="5">
        <v>45452</v>
      </c>
      <c r="D24" s="3" t="s">
        <v>57</v>
      </c>
      <c r="E24" s="3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3" t="s">
        <v>58</v>
      </c>
      <c r="M24" s="3" t="s">
        <v>59</v>
      </c>
      <c r="N24" s="16">
        <f t="shared" si="0"/>
        <v>8.0047619047619047</v>
      </c>
      <c r="O24" s="4">
        <f>SUM(Table2[[#This Row],[Likes]],Table2[[#This Row],[Shares]],Table2[[#This Row],[Comments]])</f>
        <v>3362</v>
      </c>
      <c r="P2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4" s="20">
        <f>Table2[[#This Row],[Net_Engagement]]/Table2[[#This Row],[Total_Budget]]</f>
        <v>1.921142857142857E-2</v>
      </c>
      <c r="R2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5" spans="1:19" ht="15.75" customHeight="1">
      <c r="A25" s="3" t="s">
        <v>64</v>
      </c>
      <c r="B25" s="3" t="s">
        <v>24</v>
      </c>
      <c r="C25" s="5">
        <v>45583</v>
      </c>
      <c r="D25" s="3" t="s">
        <v>15</v>
      </c>
      <c r="E25" s="3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3" t="s">
        <v>45</v>
      </c>
      <c r="M25" s="3" t="s">
        <v>22</v>
      </c>
      <c r="N25" s="16">
        <f t="shared" si="0"/>
        <v>11.026748397882418</v>
      </c>
      <c r="O25" s="4">
        <f>SUM(Table2[[#This Row],[Likes]],Table2[[#This Row],[Shares]],Table2[[#This Row],[Comments]])</f>
        <v>3166</v>
      </c>
      <c r="P2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5" s="20">
        <f>Table2[[#This Row],[Net_Engagement]]/Table2[[#This Row],[Total_Budget]]</f>
        <v>1.97875E-2</v>
      </c>
      <c r="R2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6" spans="1:19" ht="15.75" customHeight="1">
      <c r="A26" s="3" t="s">
        <v>65</v>
      </c>
      <c r="B26" s="3" t="s">
        <v>31</v>
      </c>
      <c r="C26" s="5">
        <v>45575</v>
      </c>
      <c r="D26" s="3" t="s">
        <v>57</v>
      </c>
      <c r="E26" s="3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3" t="s">
        <v>58</v>
      </c>
      <c r="M26" s="3" t="s">
        <v>59</v>
      </c>
      <c r="N26" s="16">
        <f t="shared" si="0"/>
        <v>8.1036535115831878</v>
      </c>
      <c r="O26" s="4">
        <f>SUM(Table2[[#This Row],[Likes]],Table2[[#This Row],[Shares]],Table2[[#This Row],[Comments]])</f>
        <v>4425</v>
      </c>
      <c r="P2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6" s="20">
        <f>Table2[[#This Row],[Net_Engagement]]/Table2[[#This Row],[Total_Budget]]</f>
        <v>2.5285714285714286E-2</v>
      </c>
      <c r="R2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7" spans="1:19" ht="15.75" customHeight="1">
      <c r="A27" s="3" t="s">
        <v>66</v>
      </c>
      <c r="B27" s="3" t="s">
        <v>24</v>
      </c>
      <c r="C27" s="5">
        <v>45791</v>
      </c>
      <c r="D27" s="3" t="s">
        <v>25</v>
      </c>
      <c r="E27" s="3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3" t="s">
        <v>39</v>
      </c>
      <c r="M27" s="3" t="s">
        <v>18</v>
      </c>
      <c r="N27" s="16">
        <f t="shared" si="0"/>
        <v>5.1734114498571477</v>
      </c>
      <c r="O27" s="4">
        <f>SUM(Table2[[#This Row],[Likes]],Table2[[#This Row],[Shares]],Table2[[#This Row],[Comments]])</f>
        <v>2861</v>
      </c>
      <c r="P2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7" s="20">
        <f>Table2[[#This Row],[Net_Engagement]]/Table2[[#This Row],[Total_Budget]]</f>
        <v>1.4305E-2</v>
      </c>
      <c r="R2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8" spans="1:19" ht="15.75" customHeight="1">
      <c r="A28" s="3" t="s">
        <v>67</v>
      </c>
      <c r="B28" s="3" t="s">
        <v>14</v>
      </c>
      <c r="C28" s="5">
        <v>45625</v>
      </c>
      <c r="D28" s="3" t="s">
        <v>15</v>
      </c>
      <c r="E28" s="3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3" t="s">
        <v>17</v>
      </c>
      <c r="M28" s="3" t="s">
        <v>18</v>
      </c>
      <c r="N28" s="16">
        <f t="shared" si="0"/>
        <v>11.363049929041415</v>
      </c>
      <c r="O28" s="4">
        <f>SUM(Table2[[#This Row],[Likes]],Table2[[#This Row],[Shares]],Table2[[#This Row],[Comments]])</f>
        <v>3523</v>
      </c>
      <c r="P2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8" s="20">
        <f>Table2[[#This Row],[Net_Engagement]]/Table2[[#This Row],[Total_Budget]]</f>
        <v>1.7614999999999999E-2</v>
      </c>
      <c r="R2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9" spans="1:19" ht="15.75" customHeight="1">
      <c r="A29" s="3" t="s">
        <v>68</v>
      </c>
      <c r="B29" s="3" t="s">
        <v>31</v>
      </c>
      <c r="C29" s="5">
        <v>45356</v>
      </c>
      <c r="D29" s="3" t="s">
        <v>57</v>
      </c>
      <c r="E29" s="3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3" t="s">
        <v>58</v>
      </c>
      <c r="M29" s="3" t="s">
        <v>59</v>
      </c>
      <c r="N29" s="16">
        <f t="shared" si="0"/>
        <v>8.2056760461178744</v>
      </c>
      <c r="O29" s="4">
        <f>SUM(Table2[[#This Row],[Likes]],Table2[[#This Row],[Shares]],Table2[[#This Row],[Comments]])</f>
        <v>4071</v>
      </c>
      <c r="P2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9" s="20">
        <f>Table2[[#This Row],[Net_Engagement]]/Table2[[#This Row],[Total_Budget]]</f>
        <v>2.3262857142857144E-2</v>
      </c>
      <c r="R2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30" spans="1:19" ht="15.75" customHeight="1">
      <c r="A30" s="3" t="s">
        <v>69</v>
      </c>
      <c r="B30" s="3" t="s">
        <v>24</v>
      </c>
      <c r="C30" s="5">
        <v>45734</v>
      </c>
      <c r="D30" s="3" t="s">
        <v>25</v>
      </c>
      <c r="E30" s="3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3" t="s">
        <v>27</v>
      </c>
      <c r="M30" s="3" t="s">
        <v>18</v>
      </c>
      <c r="N30" s="16">
        <f t="shared" si="0"/>
        <v>6.9526910553533803</v>
      </c>
      <c r="O30" s="4">
        <f>SUM(Table2[[#This Row],[Likes]],Table2[[#This Row],[Shares]],Table2[[#This Row],[Comments]])</f>
        <v>3993</v>
      </c>
      <c r="P3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0" s="20">
        <f>Table2[[#This Row],[Net_Engagement]]/Table2[[#This Row],[Total_Budget]]</f>
        <v>1.9965E-2</v>
      </c>
      <c r="R3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1" spans="1:19" ht="15.75" customHeight="1">
      <c r="A31" s="3" t="s">
        <v>70</v>
      </c>
      <c r="B31" s="3" t="s">
        <v>24</v>
      </c>
      <c r="C31" s="5">
        <v>45773</v>
      </c>
      <c r="D31" s="3" t="s">
        <v>15</v>
      </c>
      <c r="E31" s="3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3" t="s">
        <v>42</v>
      </c>
      <c r="M31" s="3" t="s">
        <v>18</v>
      </c>
      <c r="N31" s="16">
        <f t="shared" si="0"/>
        <v>10.399399962497656</v>
      </c>
      <c r="O31" s="4">
        <f>SUM(Table2[[#This Row],[Likes]],Table2[[#This Row],[Shares]],Table2[[#This Row],[Comments]])</f>
        <v>2773</v>
      </c>
      <c r="P3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1" s="20">
        <f>Table2[[#This Row],[Net_Engagement]]/Table2[[#This Row],[Total_Budget]]</f>
        <v>1.3865000000000001E-2</v>
      </c>
      <c r="R3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2" spans="1:19" ht="15.75" customHeight="1">
      <c r="A32" s="3" t="s">
        <v>71</v>
      </c>
      <c r="B32" s="3" t="s">
        <v>14</v>
      </c>
      <c r="C32" s="5">
        <v>45658</v>
      </c>
      <c r="D32" s="3" t="s">
        <v>15</v>
      </c>
      <c r="E32" s="3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3" t="s">
        <v>17</v>
      </c>
      <c r="M32" s="3" t="s">
        <v>18</v>
      </c>
      <c r="N32" s="16">
        <f t="shared" si="0"/>
        <v>8.0484684812735416</v>
      </c>
      <c r="O32" s="4">
        <f>SUM(Table2[[#This Row],[Likes]],Table2[[#This Row],[Shares]],Table2[[#This Row],[Comments]])</f>
        <v>4530</v>
      </c>
      <c r="P3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2" s="20">
        <f>Table2[[#This Row],[Net_Engagement]]/Table2[[#This Row],[Total_Budget]]</f>
        <v>2.265E-2</v>
      </c>
      <c r="R3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3" spans="1:19" ht="15.75" customHeight="1">
      <c r="A33" s="3" t="s">
        <v>72</v>
      </c>
      <c r="B33" s="3" t="s">
        <v>24</v>
      </c>
      <c r="C33" s="5">
        <v>45419</v>
      </c>
      <c r="D33" s="3" t="s">
        <v>25</v>
      </c>
      <c r="E33" s="3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3" t="s">
        <v>17</v>
      </c>
      <c r="M33" s="3" t="s">
        <v>18</v>
      </c>
      <c r="N33" s="16">
        <f t="shared" si="0"/>
        <v>7.5198893116568657</v>
      </c>
      <c r="O33" s="4">
        <f>SUM(Table2[[#This Row],[Likes]],Table2[[#This Row],[Shares]],Table2[[#This Row],[Comments]])</f>
        <v>3261</v>
      </c>
      <c r="P3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3" s="20">
        <f>Table2[[#This Row],[Net_Engagement]]/Table2[[#This Row],[Total_Budget]]</f>
        <v>1.6305E-2</v>
      </c>
      <c r="R3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4" spans="1:19" ht="15.75" customHeight="1">
      <c r="A34" s="3" t="s">
        <v>73</v>
      </c>
      <c r="B34" s="3" t="s">
        <v>24</v>
      </c>
      <c r="C34" s="5">
        <v>45574</v>
      </c>
      <c r="D34" s="3" t="s">
        <v>25</v>
      </c>
      <c r="E34" s="3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3" t="s">
        <v>39</v>
      </c>
      <c r="M34" s="3" t="s">
        <v>18</v>
      </c>
      <c r="N34" s="16">
        <f t="shared" si="0"/>
        <v>16.177247444144061</v>
      </c>
      <c r="O34" s="4">
        <f>SUM(Table2[[#This Row],[Likes]],Table2[[#This Row],[Shares]],Table2[[#This Row],[Comments]])</f>
        <v>5206</v>
      </c>
      <c r="P3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4" s="20">
        <f>Table2[[#This Row],[Net_Engagement]]/Table2[[#This Row],[Total_Budget]]</f>
        <v>2.6030000000000001E-2</v>
      </c>
      <c r="R3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5" spans="1:19" ht="15.75" customHeight="1">
      <c r="A35" s="3" t="s">
        <v>74</v>
      </c>
      <c r="B35" s="3" t="s">
        <v>14</v>
      </c>
      <c r="C35" s="5">
        <v>45666</v>
      </c>
      <c r="D35" s="3" t="s">
        <v>15</v>
      </c>
      <c r="E35" s="3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3" t="s">
        <v>17</v>
      </c>
      <c r="M35" s="3" t="s">
        <v>18</v>
      </c>
      <c r="N35" s="16">
        <f t="shared" si="0"/>
        <v>4.4299315445747114</v>
      </c>
      <c r="O35" s="4">
        <f>SUM(Table2[[#This Row],[Likes]],Table2[[#This Row],[Shares]],Table2[[#This Row],[Comments]])</f>
        <v>1689</v>
      </c>
      <c r="P3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5" s="20">
        <f>Table2[[#This Row],[Net_Engagement]]/Table2[[#This Row],[Total_Budget]]</f>
        <v>8.4449999999999994E-3</v>
      </c>
      <c r="R3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6" spans="1:19" ht="15.75" customHeight="1">
      <c r="A36" s="3" t="s">
        <v>75</v>
      </c>
      <c r="B36" s="3" t="s">
        <v>24</v>
      </c>
      <c r="C36" s="5">
        <v>45785</v>
      </c>
      <c r="D36" s="3" t="s">
        <v>25</v>
      </c>
      <c r="E36" s="3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3" t="s">
        <v>27</v>
      </c>
      <c r="M36" s="3" t="s">
        <v>18</v>
      </c>
      <c r="N36" s="16">
        <f t="shared" si="0"/>
        <v>9.7668038408779143</v>
      </c>
      <c r="O36" s="4">
        <f>SUM(Table2[[#This Row],[Likes]],Table2[[#This Row],[Shares]],Table2[[#This Row],[Comments]])</f>
        <v>3916</v>
      </c>
      <c r="P3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6" s="20">
        <f>Table2[[#This Row],[Net_Engagement]]/Table2[[#This Row],[Total_Budget]]</f>
        <v>1.958E-2</v>
      </c>
      <c r="R3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7" spans="1:19" ht="15.75" customHeight="1">
      <c r="A37" s="3" t="s">
        <v>76</v>
      </c>
      <c r="B37" s="3" t="s">
        <v>14</v>
      </c>
      <c r="C37" s="5">
        <v>45416</v>
      </c>
      <c r="D37" s="3" t="s">
        <v>15</v>
      </c>
      <c r="E37" s="3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3" t="s">
        <v>21</v>
      </c>
      <c r="M37" s="3" t="s">
        <v>22</v>
      </c>
      <c r="N37" s="16">
        <f t="shared" si="0"/>
        <v>6.3600055728416844</v>
      </c>
      <c r="O37" s="4">
        <f>SUM(Table2[[#This Row],[Likes]],Table2[[#This Row],[Shares]],Table2[[#This Row],[Comments]])</f>
        <v>2739</v>
      </c>
      <c r="P3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37" s="20">
        <f>Table2[[#This Row],[Net_Engagement]]/Table2[[#This Row],[Total_Budget]]</f>
        <v>1.7118749999999999E-2</v>
      </c>
      <c r="R3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3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38" spans="1:19" ht="15.75" customHeight="1">
      <c r="A38" s="3" t="s">
        <v>77</v>
      </c>
      <c r="B38" s="3" t="s">
        <v>24</v>
      </c>
      <c r="C38" s="5">
        <v>45804</v>
      </c>
      <c r="D38" s="3" t="s">
        <v>25</v>
      </c>
      <c r="E38" s="3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3" t="s">
        <v>27</v>
      </c>
      <c r="M38" s="3" t="s">
        <v>18</v>
      </c>
      <c r="N38" s="16">
        <f t="shared" si="0"/>
        <v>10.772626931567329</v>
      </c>
      <c r="O38" s="4">
        <f>SUM(Table2[[#This Row],[Likes]],Table2[[#This Row],[Shares]],Table2[[#This Row],[Comments]])</f>
        <v>4880</v>
      </c>
      <c r="P3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8" s="20">
        <f>Table2[[#This Row],[Net_Engagement]]/Table2[[#This Row],[Total_Budget]]</f>
        <v>2.4400000000000002E-2</v>
      </c>
      <c r="R3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9" spans="1:19" ht="15.75" customHeight="1">
      <c r="A39" s="3" t="s">
        <v>78</v>
      </c>
      <c r="B39" s="3" t="s">
        <v>14</v>
      </c>
      <c r="C39" s="5">
        <v>45545</v>
      </c>
      <c r="D39" s="3" t="s">
        <v>25</v>
      </c>
      <c r="E39" s="3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3" t="s">
        <v>42</v>
      </c>
      <c r="M39" s="3" t="s">
        <v>55</v>
      </c>
      <c r="N39" s="16">
        <f t="shared" si="0"/>
        <v>3.9122543637545095</v>
      </c>
      <c r="O39" s="4">
        <f>SUM(Table2[[#This Row],[Likes]],Table2[[#This Row],[Shares]],Table2[[#This Row],[Comments]])</f>
        <v>1746</v>
      </c>
      <c r="P3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39" s="20">
        <f>Table2[[#This Row],[Net_Engagement]]/Table2[[#This Row],[Total_Budget]]</f>
        <v>7.7600000000000004E-3</v>
      </c>
      <c r="R3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3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40" spans="1:19" ht="15.75" customHeight="1">
      <c r="A40" s="3" t="s">
        <v>79</v>
      </c>
      <c r="B40" s="3" t="s">
        <v>14</v>
      </c>
      <c r="C40" s="5">
        <v>45621</v>
      </c>
      <c r="D40" s="3" t="s">
        <v>15</v>
      </c>
      <c r="E40" s="3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3" t="s">
        <v>21</v>
      </c>
      <c r="M40" s="3" t="s">
        <v>22</v>
      </c>
      <c r="N40" s="16">
        <f t="shared" si="0"/>
        <v>3.9913595142645857</v>
      </c>
      <c r="O40" s="4">
        <f>SUM(Table2[[#This Row],[Likes]],Table2[[#This Row],[Shares]],Table2[[#This Row],[Comments]])</f>
        <v>2051</v>
      </c>
      <c r="P4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40" s="20">
        <f>Table2[[#This Row],[Net_Engagement]]/Table2[[#This Row],[Total_Budget]]</f>
        <v>1.281875E-2</v>
      </c>
      <c r="R4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4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41" spans="1:19" ht="15.75" customHeight="1">
      <c r="A41" s="3" t="s">
        <v>80</v>
      </c>
      <c r="B41" s="3" t="s">
        <v>24</v>
      </c>
      <c r="C41" s="5">
        <v>45818</v>
      </c>
      <c r="D41" s="3" t="s">
        <v>15</v>
      </c>
      <c r="E41" s="3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3" t="s">
        <v>42</v>
      </c>
      <c r="M41" s="3" t="s">
        <v>18</v>
      </c>
      <c r="N41" s="16">
        <f t="shared" si="0"/>
        <v>14.436927106067218</v>
      </c>
      <c r="O41" s="4">
        <f>SUM(Table2[[#This Row],[Likes]],Table2[[#This Row],[Shares]],Table2[[#This Row],[Comments]])</f>
        <v>3969</v>
      </c>
      <c r="P4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41" s="20">
        <f>Table2[[#This Row],[Net_Engagement]]/Table2[[#This Row],[Total_Budget]]</f>
        <v>1.9845000000000002E-2</v>
      </c>
      <c r="R4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4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42" spans="1:19" ht="15.75" customHeight="1">
      <c r="A42" s="3" t="s">
        <v>81</v>
      </c>
      <c r="B42" s="3" t="s">
        <v>14</v>
      </c>
      <c r="C42" s="5">
        <v>45401</v>
      </c>
      <c r="D42" s="3" t="s">
        <v>15</v>
      </c>
      <c r="E42" s="3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3" t="s">
        <v>17</v>
      </c>
      <c r="M42" s="3" t="s">
        <v>18</v>
      </c>
      <c r="N42" s="16">
        <f t="shared" si="0"/>
        <v>10.863928268508422</v>
      </c>
      <c r="O42" s="4">
        <f>SUM(Table2[[#This Row],[Likes]],Table2[[#This Row],[Shares]],Table2[[#This Row],[Comments]])</f>
        <v>4483</v>
      </c>
      <c r="P4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42" s="20">
        <f>Table2[[#This Row],[Net_Engagement]]/Table2[[#This Row],[Total_Budget]]</f>
        <v>2.2415000000000001E-2</v>
      </c>
      <c r="R4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4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43" spans="1:19" ht="15.75" customHeight="1">
      <c r="A43" s="3" t="s">
        <v>82</v>
      </c>
      <c r="B43" s="3" t="s">
        <v>14</v>
      </c>
      <c r="C43" s="5">
        <v>45683</v>
      </c>
      <c r="D43" s="3" t="s">
        <v>25</v>
      </c>
      <c r="E43" s="3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3" t="s">
        <v>42</v>
      </c>
      <c r="M43" s="3" t="s">
        <v>55</v>
      </c>
      <c r="N43" s="16">
        <f t="shared" si="0"/>
        <v>9.3795286825853346</v>
      </c>
      <c r="O43" s="4">
        <f>SUM(Table2[[#This Row],[Likes]],Table2[[#This Row],[Shares]],Table2[[#This Row],[Comments]])</f>
        <v>4207</v>
      </c>
      <c r="P4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43" s="20">
        <f>Table2[[#This Row],[Net_Engagement]]/Table2[[#This Row],[Total_Budget]]</f>
        <v>1.8697777777777778E-2</v>
      </c>
      <c r="R4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4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44" spans="1:19" ht="15.75" customHeight="1">
      <c r="A44" s="3" t="s">
        <v>83</v>
      </c>
      <c r="B44" s="3" t="s">
        <v>14</v>
      </c>
      <c r="C44" s="5">
        <v>45702</v>
      </c>
      <c r="D44" s="3" t="s">
        <v>15</v>
      </c>
      <c r="E44" s="3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3" t="s">
        <v>17</v>
      </c>
      <c r="M44" s="3" t="s">
        <v>18</v>
      </c>
      <c r="N44" s="16">
        <f t="shared" si="0"/>
        <v>11.750707750379519</v>
      </c>
      <c r="O44" s="4">
        <f>SUM(Table2[[#This Row],[Likes]],Table2[[#This Row],[Shares]],Table2[[#This Row],[Comments]])</f>
        <v>5728</v>
      </c>
      <c r="P4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44" s="20">
        <f>Table2[[#This Row],[Net_Engagement]]/Table2[[#This Row],[Total_Budget]]</f>
        <v>2.8639999999999999E-2</v>
      </c>
      <c r="R4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4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45" spans="1:19" ht="15.75" customHeight="1">
      <c r="A45" s="3" t="s">
        <v>84</v>
      </c>
      <c r="B45" s="3" t="s">
        <v>14</v>
      </c>
      <c r="C45" s="5">
        <v>45541</v>
      </c>
      <c r="D45" s="3" t="s">
        <v>15</v>
      </c>
      <c r="E45" s="3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3" t="s">
        <v>21</v>
      </c>
      <c r="M45" s="3" t="s">
        <v>22</v>
      </c>
      <c r="N45" s="16">
        <f t="shared" si="0"/>
        <v>3.9937155714174879</v>
      </c>
      <c r="O45" s="4">
        <f>SUM(Table2[[#This Row],[Likes]],Table2[[#This Row],[Shares]],Table2[[#This Row],[Comments]])</f>
        <v>2059</v>
      </c>
      <c r="P4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45" s="20">
        <f>Table2[[#This Row],[Net_Engagement]]/Table2[[#This Row],[Total_Budget]]</f>
        <v>1.286875E-2</v>
      </c>
      <c r="R4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4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46" spans="1:19" ht="15.75" customHeight="1">
      <c r="A46" s="3" t="s">
        <v>85</v>
      </c>
      <c r="B46" s="3" t="s">
        <v>31</v>
      </c>
      <c r="C46" s="5">
        <v>45487</v>
      </c>
      <c r="D46" s="3" t="s">
        <v>15</v>
      </c>
      <c r="E46" s="3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3" t="s">
        <v>33</v>
      </c>
      <c r="M46" s="3" t="s">
        <v>22</v>
      </c>
      <c r="N46" s="16">
        <f t="shared" si="0"/>
        <v>11.613367267898639</v>
      </c>
      <c r="O46" s="4">
        <f>SUM(Table2[[#This Row],[Likes]],Table2[[#This Row],[Shares]],Table2[[#This Row],[Comments]])</f>
        <v>4198</v>
      </c>
      <c r="P4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46" s="20">
        <f>Table2[[#This Row],[Net_Engagement]]/Table2[[#This Row],[Total_Budget]]</f>
        <v>2.62375E-2</v>
      </c>
      <c r="R4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4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47" spans="1:19" ht="15.75" customHeight="1">
      <c r="A47" s="3" t="s">
        <v>86</v>
      </c>
      <c r="B47" s="3" t="s">
        <v>14</v>
      </c>
      <c r="C47" s="5">
        <v>45334</v>
      </c>
      <c r="D47" s="3" t="s">
        <v>15</v>
      </c>
      <c r="E47" s="3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3" t="s">
        <v>21</v>
      </c>
      <c r="M47" s="3" t="s">
        <v>22</v>
      </c>
      <c r="N47" s="16">
        <f t="shared" si="0"/>
        <v>14.600091693410578</v>
      </c>
      <c r="O47" s="4">
        <f>SUM(Table2[[#This Row],[Likes]],Table2[[#This Row],[Shares]],Table2[[#This Row],[Comments]])</f>
        <v>3503</v>
      </c>
      <c r="P4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47" s="20">
        <f>Table2[[#This Row],[Net_Engagement]]/Table2[[#This Row],[Total_Budget]]</f>
        <v>2.189375E-2</v>
      </c>
      <c r="R4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4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48" spans="1:19" ht="15.75" customHeight="1">
      <c r="A48" s="3" t="s">
        <v>87</v>
      </c>
      <c r="B48" s="3" t="s">
        <v>31</v>
      </c>
      <c r="C48" s="5">
        <v>45365</v>
      </c>
      <c r="D48" s="3" t="s">
        <v>57</v>
      </c>
      <c r="E48" s="3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3" t="s">
        <v>58</v>
      </c>
      <c r="M48" s="3" t="s">
        <v>59</v>
      </c>
      <c r="N48" s="16">
        <f t="shared" si="0"/>
        <v>9.8072192379135501</v>
      </c>
      <c r="O48" s="4">
        <f>SUM(Table2[[#This Row],[Likes]],Table2[[#This Row],[Shares]],Table2[[#This Row],[Comments]])</f>
        <v>3907</v>
      </c>
      <c r="P4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48" s="20">
        <f>Table2[[#This Row],[Net_Engagement]]/Table2[[#This Row],[Total_Budget]]</f>
        <v>2.2325714285714286E-2</v>
      </c>
      <c r="R4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4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49" spans="1:19" ht="15.75" customHeight="1">
      <c r="A49" s="3" t="s">
        <v>88</v>
      </c>
      <c r="B49" s="3" t="s">
        <v>14</v>
      </c>
      <c r="C49" s="5">
        <v>45693</v>
      </c>
      <c r="D49" s="3" t="s">
        <v>25</v>
      </c>
      <c r="E49" s="3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3" t="s">
        <v>42</v>
      </c>
      <c r="M49" s="3" t="s">
        <v>55</v>
      </c>
      <c r="N49" s="16">
        <f t="shared" si="0"/>
        <v>15.735977431131762</v>
      </c>
      <c r="O49" s="4">
        <f>SUM(Table2[[#This Row],[Likes]],Table2[[#This Row],[Shares]],Table2[[#This Row],[Comments]])</f>
        <v>3793</v>
      </c>
      <c r="P4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49" s="20">
        <f>Table2[[#This Row],[Net_Engagement]]/Table2[[#This Row],[Total_Budget]]</f>
        <v>1.6857777777777777E-2</v>
      </c>
      <c r="R4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4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50" spans="1:19" ht="15.75" customHeight="1">
      <c r="A50" s="3" t="s">
        <v>89</v>
      </c>
      <c r="B50" s="3" t="s">
        <v>24</v>
      </c>
      <c r="C50" s="5">
        <v>45533</v>
      </c>
      <c r="D50" s="3" t="s">
        <v>25</v>
      </c>
      <c r="E50" s="3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3" t="s">
        <v>39</v>
      </c>
      <c r="M50" s="3" t="s">
        <v>18</v>
      </c>
      <c r="N50" s="16">
        <f t="shared" si="0"/>
        <v>10.87862256289851</v>
      </c>
      <c r="O50" s="4">
        <f>SUM(Table2[[#This Row],[Likes]],Table2[[#This Row],[Shares]],Table2[[#This Row],[Comments]])</f>
        <v>4726</v>
      </c>
      <c r="P5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50" s="20">
        <f>Table2[[#This Row],[Net_Engagement]]/Table2[[#This Row],[Total_Budget]]</f>
        <v>2.3630000000000002E-2</v>
      </c>
      <c r="R5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5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51" spans="1:19" ht="15.75" customHeight="1">
      <c r="A51" s="3" t="s">
        <v>90</v>
      </c>
      <c r="B51" s="3" t="s">
        <v>24</v>
      </c>
      <c r="C51" s="5">
        <v>45769</v>
      </c>
      <c r="D51" s="3" t="s">
        <v>15</v>
      </c>
      <c r="E51" s="3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3" t="s">
        <v>42</v>
      </c>
      <c r="M51" s="3" t="s">
        <v>18</v>
      </c>
      <c r="N51" s="16">
        <f t="shared" si="0"/>
        <v>20.241060666934512</v>
      </c>
      <c r="O51" s="4">
        <f>SUM(Table2[[#This Row],[Likes]],Table2[[#This Row],[Shares]],Table2[[#This Row],[Comments]])</f>
        <v>5038</v>
      </c>
      <c r="P5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51" s="20">
        <f>Table2[[#This Row],[Net_Engagement]]/Table2[[#This Row],[Total_Budget]]</f>
        <v>2.5190000000000001E-2</v>
      </c>
      <c r="R5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5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52" spans="1:19" ht="15.75" customHeight="1">
      <c r="A52" s="3" t="s">
        <v>91</v>
      </c>
      <c r="B52" s="3" t="s">
        <v>31</v>
      </c>
      <c r="C52" s="5">
        <v>45425</v>
      </c>
      <c r="D52" s="3" t="s">
        <v>57</v>
      </c>
      <c r="E52" s="3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3" t="s">
        <v>58</v>
      </c>
      <c r="M52" s="3" t="s">
        <v>59</v>
      </c>
      <c r="N52" s="16">
        <f t="shared" si="0"/>
        <v>10.249760265016128</v>
      </c>
      <c r="O52" s="4">
        <f>SUM(Table2[[#This Row],[Likes]],Table2[[#This Row],[Shares]],Table2[[#This Row],[Comments]])</f>
        <v>4703</v>
      </c>
      <c r="P5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52" s="20">
        <f>Table2[[#This Row],[Net_Engagement]]/Table2[[#This Row],[Total_Budget]]</f>
        <v>2.6874285714285715E-2</v>
      </c>
      <c r="R5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5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53" spans="1:19" ht="15.75" customHeight="1">
      <c r="A53" s="3" t="s">
        <v>92</v>
      </c>
      <c r="B53" s="3" t="s">
        <v>24</v>
      </c>
      <c r="C53" s="5">
        <v>45539</v>
      </c>
      <c r="D53" s="3" t="s">
        <v>25</v>
      </c>
      <c r="E53" s="3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3" t="s">
        <v>39</v>
      </c>
      <c r="M53" s="3" t="s">
        <v>18</v>
      </c>
      <c r="N53" s="16">
        <f t="shared" si="0"/>
        <v>15.227535227535228</v>
      </c>
      <c r="O53" s="4">
        <f>SUM(Table2[[#This Row],[Likes]],Table2[[#This Row],[Shares]],Table2[[#This Row],[Comments]])</f>
        <v>3296</v>
      </c>
      <c r="P5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53" s="20">
        <f>Table2[[#This Row],[Net_Engagement]]/Table2[[#This Row],[Total_Budget]]</f>
        <v>1.6480000000000002E-2</v>
      </c>
      <c r="R5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5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54" spans="1:19" ht="15.75" customHeight="1">
      <c r="A54" s="3" t="s">
        <v>93</v>
      </c>
      <c r="B54" s="3" t="s">
        <v>24</v>
      </c>
      <c r="C54" s="5">
        <v>45516</v>
      </c>
      <c r="D54" s="3" t="s">
        <v>25</v>
      </c>
      <c r="E54" s="3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3" t="s">
        <v>27</v>
      </c>
      <c r="M54" s="3" t="s">
        <v>18</v>
      </c>
      <c r="N54" s="16">
        <f t="shared" si="0"/>
        <v>5.8723551855705862</v>
      </c>
      <c r="O54" s="4">
        <f>SUM(Table2[[#This Row],[Likes]],Table2[[#This Row],[Shares]],Table2[[#This Row],[Comments]])</f>
        <v>3386</v>
      </c>
      <c r="P5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54" s="20">
        <f>Table2[[#This Row],[Net_Engagement]]/Table2[[#This Row],[Total_Budget]]</f>
        <v>1.6930000000000001E-2</v>
      </c>
      <c r="R5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5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55" spans="1:19" ht="15.75" customHeight="1">
      <c r="A55" s="3" t="s">
        <v>94</v>
      </c>
      <c r="B55" s="3" t="s">
        <v>14</v>
      </c>
      <c r="C55" s="5">
        <v>45722</v>
      </c>
      <c r="D55" s="3" t="s">
        <v>15</v>
      </c>
      <c r="E55" s="3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3" t="s">
        <v>21</v>
      </c>
      <c r="M55" s="3" t="s">
        <v>22</v>
      </c>
      <c r="N55" s="16">
        <f t="shared" si="0"/>
        <v>9.5101162290142049</v>
      </c>
      <c r="O55" s="4">
        <f>SUM(Table2[[#This Row],[Likes]],Table2[[#This Row],[Shares]],Table2[[#This Row],[Comments]])</f>
        <v>5523</v>
      </c>
      <c r="P5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55" s="20">
        <f>Table2[[#This Row],[Net_Engagement]]/Table2[[#This Row],[Total_Budget]]</f>
        <v>3.4518750000000001E-2</v>
      </c>
      <c r="R5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5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56" spans="1:19" ht="15.75" customHeight="1">
      <c r="A56" s="3" t="s">
        <v>95</v>
      </c>
      <c r="B56" s="3" t="s">
        <v>24</v>
      </c>
      <c r="C56" s="5">
        <v>45420</v>
      </c>
      <c r="D56" s="3" t="s">
        <v>15</v>
      </c>
      <c r="E56" s="3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3" t="s">
        <v>42</v>
      </c>
      <c r="M56" s="3" t="s">
        <v>18</v>
      </c>
      <c r="N56" s="16">
        <f t="shared" si="0"/>
        <v>4.7817327065144388</v>
      </c>
      <c r="O56" s="4">
        <f>SUM(Table2[[#This Row],[Likes]],Table2[[#This Row],[Shares]],Table2[[#This Row],[Comments]])</f>
        <v>2492</v>
      </c>
      <c r="P5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56" s="20">
        <f>Table2[[#This Row],[Net_Engagement]]/Table2[[#This Row],[Total_Budget]]</f>
        <v>1.2460000000000001E-2</v>
      </c>
      <c r="R5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5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57" spans="1:19" ht="15.75" customHeight="1">
      <c r="A57" s="3" t="s">
        <v>96</v>
      </c>
      <c r="B57" s="3" t="s">
        <v>14</v>
      </c>
      <c r="C57" s="5">
        <v>45707</v>
      </c>
      <c r="D57" s="3" t="s">
        <v>25</v>
      </c>
      <c r="E57" s="3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3" t="s">
        <v>42</v>
      </c>
      <c r="M57" s="3" t="s">
        <v>55</v>
      </c>
      <c r="N57" s="16">
        <f t="shared" si="0"/>
        <v>13.885094758408743</v>
      </c>
      <c r="O57" s="4">
        <f>SUM(Table2[[#This Row],[Likes]],Table2[[#This Row],[Shares]],Table2[[#This Row],[Comments]])</f>
        <v>3253</v>
      </c>
      <c r="P5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57" s="20">
        <f>Table2[[#This Row],[Net_Engagement]]/Table2[[#This Row],[Total_Budget]]</f>
        <v>1.4457777777777778E-2</v>
      </c>
      <c r="R5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5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58" spans="1:19" ht="15.75" customHeight="1">
      <c r="A58" s="3" t="s">
        <v>97</v>
      </c>
      <c r="B58" s="3" t="s">
        <v>14</v>
      </c>
      <c r="C58" s="5">
        <v>45299</v>
      </c>
      <c r="D58" s="3" t="s">
        <v>15</v>
      </c>
      <c r="E58" s="3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3" t="s">
        <v>21</v>
      </c>
      <c r="M58" s="3" t="s">
        <v>22</v>
      </c>
      <c r="N58" s="16">
        <f t="shared" si="0"/>
        <v>10.600966926007748</v>
      </c>
      <c r="O58" s="4">
        <f>SUM(Table2[[#This Row],[Likes]],Table2[[#This Row],[Shares]],Table2[[#This Row],[Comments]])</f>
        <v>3311</v>
      </c>
      <c r="P5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58" s="20">
        <f>Table2[[#This Row],[Net_Engagement]]/Table2[[#This Row],[Total_Budget]]</f>
        <v>2.069375E-2</v>
      </c>
      <c r="R5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5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59" spans="1:19" ht="15.75" customHeight="1">
      <c r="A59" s="3" t="s">
        <v>98</v>
      </c>
      <c r="B59" s="3" t="s">
        <v>31</v>
      </c>
      <c r="C59" s="5">
        <v>45490</v>
      </c>
      <c r="D59" s="3" t="s">
        <v>15</v>
      </c>
      <c r="E59" s="3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3" t="s">
        <v>33</v>
      </c>
      <c r="M59" s="3" t="s">
        <v>22</v>
      </c>
      <c r="N59" s="16">
        <f t="shared" si="0"/>
        <v>8.8283323127168813</v>
      </c>
      <c r="O59" s="4">
        <f>SUM(Table2[[#This Row],[Likes]],Table2[[#This Row],[Shares]],Table2[[#This Row],[Comments]])</f>
        <v>3460</v>
      </c>
      <c r="P5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59" s="20">
        <f>Table2[[#This Row],[Net_Engagement]]/Table2[[#This Row],[Total_Budget]]</f>
        <v>2.1624999999999998E-2</v>
      </c>
      <c r="R5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5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60" spans="1:19" ht="15.75" customHeight="1">
      <c r="A60" s="3" t="s">
        <v>99</v>
      </c>
      <c r="B60" s="3" t="s">
        <v>31</v>
      </c>
      <c r="C60" s="5">
        <v>45514</v>
      </c>
      <c r="D60" s="3" t="s">
        <v>15</v>
      </c>
      <c r="E60" s="3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3" t="s">
        <v>33</v>
      </c>
      <c r="M60" s="3" t="s">
        <v>22</v>
      </c>
      <c r="N60" s="16">
        <f t="shared" si="0"/>
        <v>2.5027528414923199</v>
      </c>
      <c r="O60" s="4">
        <f>SUM(Table2[[#This Row],[Likes]],Table2[[#This Row],[Shares]],Table2[[#This Row],[Comments]])</f>
        <v>1341</v>
      </c>
      <c r="P6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60" s="20">
        <f>Table2[[#This Row],[Net_Engagement]]/Table2[[#This Row],[Total_Budget]]</f>
        <v>8.3812499999999998E-3</v>
      </c>
      <c r="R6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6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61" spans="1:19" ht="15.75" customHeight="1">
      <c r="A61" s="3" t="s">
        <v>100</v>
      </c>
      <c r="B61" s="3" t="s">
        <v>31</v>
      </c>
      <c r="C61" s="5">
        <v>45398</v>
      </c>
      <c r="D61" s="3" t="s">
        <v>15</v>
      </c>
      <c r="E61" s="3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3" t="s">
        <v>33</v>
      </c>
      <c r="M61" s="3" t="s">
        <v>22</v>
      </c>
      <c r="N61" s="16">
        <f t="shared" si="0"/>
        <v>11.124541239039184</v>
      </c>
      <c r="O61" s="4">
        <f>SUM(Table2[[#This Row],[Likes]],Table2[[#This Row],[Shares]],Table2[[#This Row],[Comments]])</f>
        <v>5062</v>
      </c>
      <c r="P6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61" s="20">
        <f>Table2[[#This Row],[Net_Engagement]]/Table2[[#This Row],[Total_Budget]]</f>
        <v>3.1637499999999999E-2</v>
      </c>
      <c r="R6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6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62" spans="1:19" ht="15.75" customHeight="1">
      <c r="A62" s="3" t="s">
        <v>101</v>
      </c>
      <c r="B62" s="3" t="s">
        <v>31</v>
      </c>
      <c r="C62" s="5">
        <v>45292</v>
      </c>
      <c r="D62" s="3" t="s">
        <v>57</v>
      </c>
      <c r="E62" s="3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3" t="s">
        <v>58</v>
      </c>
      <c r="M62" s="3" t="s">
        <v>59</v>
      </c>
      <c r="N62" s="16">
        <f t="shared" si="0"/>
        <v>8.8087436599488314</v>
      </c>
      <c r="O62" s="4">
        <f>SUM(Table2[[#This Row],[Likes]],Table2[[#This Row],[Shares]],Table2[[#This Row],[Comments]])</f>
        <v>3925</v>
      </c>
      <c r="P6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62" s="20">
        <f>Table2[[#This Row],[Net_Engagement]]/Table2[[#This Row],[Total_Budget]]</f>
        <v>2.242857142857143E-2</v>
      </c>
      <c r="R6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6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63" spans="1:19" ht="15.75" customHeight="1">
      <c r="A63" s="3" t="s">
        <v>102</v>
      </c>
      <c r="B63" s="3" t="s">
        <v>24</v>
      </c>
      <c r="C63" s="5">
        <v>45599</v>
      </c>
      <c r="D63" s="3" t="s">
        <v>25</v>
      </c>
      <c r="E63" s="3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3" t="s">
        <v>27</v>
      </c>
      <c r="M63" s="3" t="s">
        <v>18</v>
      </c>
      <c r="N63" s="16">
        <f t="shared" si="0"/>
        <v>4.3619068768968834</v>
      </c>
      <c r="O63" s="4">
        <f>SUM(Table2[[#This Row],[Likes]],Table2[[#This Row],[Shares]],Table2[[#This Row],[Comments]])</f>
        <v>2357</v>
      </c>
      <c r="P6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63" s="20">
        <f>Table2[[#This Row],[Net_Engagement]]/Table2[[#This Row],[Total_Budget]]</f>
        <v>1.1785E-2</v>
      </c>
      <c r="R6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6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64" spans="1:19" ht="15.75" customHeight="1">
      <c r="A64" s="3" t="s">
        <v>103</v>
      </c>
      <c r="B64" s="3" t="s">
        <v>24</v>
      </c>
      <c r="C64" s="5">
        <v>45480</v>
      </c>
      <c r="D64" s="3" t="s">
        <v>15</v>
      </c>
      <c r="E64" s="3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3" t="s">
        <v>45</v>
      </c>
      <c r="M64" s="3" t="s">
        <v>22</v>
      </c>
      <c r="N64" s="16">
        <f t="shared" si="0"/>
        <v>3.6351938233874859</v>
      </c>
      <c r="O64" s="4">
        <f>SUM(Table2[[#This Row],[Likes]],Table2[[#This Row],[Shares]],Table2[[#This Row],[Comments]])</f>
        <v>1356</v>
      </c>
      <c r="P6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64" s="20">
        <f>Table2[[#This Row],[Net_Engagement]]/Table2[[#This Row],[Total_Budget]]</f>
        <v>8.4749999999999999E-3</v>
      </c>
      <c r="R6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6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65" spans="1:19" ht="15.75" customHeight="1">
      <c r="A65" s="3" t="s">
        <v>104</v>
      </c>
      <c r="B65" s="3" t="s">
        <v>24</v>
      </c>
      <c r="C65" s="5">
        <v>45679</v>
      </c>
      <c r="D65" s="3" t="s">
        <v>25</v>
      </c>
      <c r="E65" s="3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3" t="s">
        <v>27</v>
      </c>
      <c r="M65" s="3" t="s">
        <v>18</v>
      </c>
      <c r="N65" s="16">
        <f t="shared" si="0"/>
        <v>9.2093661212893121</v>
      </c>
      <c r="O65" s="4">
        <f>SUM(Table2[[#This Row],[Likes]],Table2[[#This Row],[Shares]],Table2[[#This Row],[Comments]])</f>
        <v>4700</v>
      </c>
      <c r="P6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65" s="20">
        <f>Table2[[#This Row],[Net_Engagement]]/Table2[[#This Row],[Total_Budget]]</f>
        <v>2.35E-2</v>
      </c>
      <c r="R6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6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66" spans="1:19" ht="15.75" customHeight="1">
      <c r="A66" s="3" t="s">
        <v>105</v>
      </c>
      <c r="B66" s="3" t="s">
        <v>31</v>
      </c>
      <c r="C66" s="5">
        <v>45438</v>
      </c>
      <c r="D66" s="3" t="s">
        <v>15</v>
      </c>
      <c r="E66" s="3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3" t="s">
        <v>33</v>
      </c>
      <c r="M66" s="3" t="s">
        <v>22</v>
      </c>
      <c r="N66" s="16">
        <f t="shared" si="0"/>
        <v>3.5777344113000655</v>
      </c>
      <c r="O66" s="4">
        <f>SUM(Table2[[#This Row],[Likes]],Table2[[#This Row],[Shares]],Table2[[#This Row],[Comments]])</f>
        <v>1925</v>
      </c>
      <c r="P6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66" s="20">
        <f>Table2[[#This Row],[Net_Engagement]]/Table2[[#This Row],[Total_Budget]]</f>
        <v>1.203125E-2</v>
      </c>
      <c r="R6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6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67" spans="1:19" ht="15.75" customHeight="1">
      <c r="A67" s="3" t="s">
        <v>106</v>
      </c>
      <c r="B67" s="3" t="s">
        <v>14</v>
      </c>
      <c r="C67" s="5">
        <v>45763</v>
      </c>
      <c r="D67" s="3" t="s">
        <v>15</v>
      </c>
      <c r="E67" s="3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3" t="s">
        <v>17</v>
      </c>
      <c r="M67" s="3" t="s">
        <v>18</v>
      </c>
      <c r="N67" s="16">
        <f t="shared" ref="N67:N130" si="1">((F67+G67+H67)/I67)*100</f>
        <v>9.0267383317458165</v>
      </c>
      <c r="O67" s="4">
        <f>SUM(Table2[[#This Row],[Likes]],Table2[[#This Row],[Shares]],Table2[[#This Row],[Comments]])</f>
        <v>5307</v>
      </c>
      <c r="P6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67" s="20">
        <f>Table2[[#This Row],[Net_Engagement]]/Table2[[#This Row],[Total_Budget]]</f>
        <v>2.6535E-2</v>
      </c>
      <c r="R6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6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68" spans="1:19" ht="15.75" customHeight="1">
      <c r="A68" s="3" t="s">
        <v>107</v>
      </c>
      <c r="B68" s="3" t="s">
        <v>31</v>
      </c>
      <c r="C68" s="5">
        <v>45384</v>
      </c>
      <c r="D68" s="3" t="s">
        <v>57</v>
      </c>
      <c r="E68" s="3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3" t="s">
        <v>58</v>
      </c>
      <c r="M68" s="3" t="s">
        <v>59</v>
      </c>
      <c r="N68" s="16">
        <f t="shared" si="1"/>
        <v>17.658969920637514</v>
      </c>
      <c r="O68" s="4">
        <f>SUM(Table2[[#This Row],[Likes]],Table2[[#This Row],[Shares]],Table2[[#This Row],[Comments]])</f>
        <v>5407</v>
      </c>
      <c r="P6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68" s="20">
        <f>Table2[[#This Row],[Net_Engagement]]/Table2[[#This Row],[Total_Budget]]</f>
        <v>3.0897142857142856E-2</v>
      </c>
      <c r="R6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6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69" spans="1:19" ht="15.75" customHeight="1">
      <c r="A69" s="3" t="s">
        <v>108</v>
      </c>
      <c r="B69" s="3" t="s">
        <v>24</v>
      </c>
      <c r="C69" s="5">
        <v>45379</v>
      </c>
      <c r="D69" s="3" t="s">
        <v>15</v>
      </c>
      <c r="E69" s="3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3" t="s">
        <v>45</v>
      </c>
      <c r="M69" s="3" t="s">
        <v>22</v>
      </c>
      <c r="N69" s="16">
        <f t="shared" si="1"/>
        <v>18.517978620019438</v>
      </c>
      <c r="O69" s="4">
        <f>SUM(Table2[[#This Row],[Likes]],Table2[[#This Row],[Shares]],Table2[[#This Row],[Comments]])</f>
        <v>3811</v>
      </c>
      <c r="P6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69" s="20">
        <f>Table2[[#This Row],[Net_Engagement]]/Table2[[#This Row],[Total_Budget]]</f>
        <v>2.381875E-2</v>
      </c>
      <c r="R6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6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70" spans="1:19" ht="15.75" customHeight="1">
      <c r="A70" s="3" t="s">
        <v>109</v>
      </c>
      <c r="B70" s="3" t="s">
        <v>24</v>
      </c>
      <c r="C70" s="5">
        <v>45643</v>
      </c>
      <c r="D70" s="3" t="s">
        <v>25</v>
      </c>
      <c r="E70" s="3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3" t="s">
        <v>39</v>
      </c>
      <c r="M70" s="3" t="s">
        <v>18</v>
      </c>
      <c r="N70" s="16">
        <f t="shared" si="1"/>
        <v>4.6406515707509168</v>
      </c>
      <c r="O70" s="4">
        <f>SUM(Table2[[#This Row],[Likes]],Table2[[#This Row],[Shares]],Table2[[#This Row],[Comments]])</f>
        <v>2074</v>
      </c>
      <c r="P7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70" s="20">
        <f>Table2[[#This Row],[Net_Engagement]]/Table2[[#This Row],[Total_Budget]]</f>
        <v>1.0370000000000001E-2</v>
      </c>
      <c r="R7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7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71" spans="1:19" ht="15.75" customHeight="1">
      <c r="A71" s="3" t="s">
        <v>110</v>
      </c>
      <c r="B71" s="3" t="s">
        <v>24</v>
      </c>
      <c r="C71" s="5">
        <v>45662</v>
      </c>
      <c r="D71" s="3" t="s">
        <v>15</v>
      </c>
      <c r="E71" s="3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3" t="s">
        <v>42</v>
      </c>
      <c r="M71" s="3" t="s">
        <v>18</v>
      </c>
      <c r="N71" s="16">
        <f t="shared" si="1"/>
        <v>10.657378184897237</v>
      </c>
      <c r="O71" s="4">
        <f>SUM(Table2[[#This Row],[Likes]],Table2[[#This Row],[Shares]],Table2[[#This Row],[Comments]])</f>
        <v>5538</v>
      </c>
      <c r="P7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71" s="20">
        <f>Table2[[#This Row],[Net_Engagement]]/Table2[[#This Row],[Total_Budget]]</f>
        <v>2.7689999999999999E-2</v>
      </c>
      <c r="R7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7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72" spans="1:19" ht="15.75" customHeight="1">
      <c r="A72" s="3" t="s">
        <v>111</v>
      </c>
      <c r="B72" s="3" t="s">
        <v>24</v>
      </c>
      <c r="C72" s="5">
        <v>45302</v>
      </c>
      <c r="D72" s="3" t="s">
        <v>15</v>
      </c>
      <c r="E72" s="3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3" t="s">
        <v>45</v>
      </c>
      <c r="M72" s="3" t="s">
        <v>22</v>
      </c>
      <c r="N72" s="16">
        <f t="shared" si="1"/>
        <v>16.07525766064882</v>
      </c>
      <c r="O72" s="4">
        <f>SUM(Table2[[#This Row],[Likes]],Table2[[#This Row],[Shares]],Table2[[#This Row],[Comments]])</f>
        <v>4648</v>
      </c>
      <c r="P7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72" s="20">
        <f>Table2[[#This Row],[Net_Engagement]]/Table2[[#This Row],[Total_Budget]]</f>
        <v>2.9049999999999999E-2</v>
      </c>
      <c r="R7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7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73" spans="1:19" ht="15.75" customHeight="1">
      <c r="A73" s="3" t="s">
        <v>112</v>
      </c>
      <c r="B73" s="3" t="s">
        <v>14</v>
      </c>
      <c r="C73" s="5">
        <v>45576</v>
      </c>
      <c r="D73" s="3" t="s">
        <v>15</v>
      </c>
      <c r="E73" s="3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3" t="s">
        <v>21</v>
      </c>
      <c r="M73" s="3" t="s">
        <v>22</v>
      </c>
      <c r="N73" s="16">
        <f t="shared" si="1"/>
        <v>8.1549489395129608</v>
      </c>
      <c r="O73" s="4">
        <f>SUM(Table2[[#This Row],[Likes]],Table2[[#This Row],[Shares]],Table2[[#This Row],[Comments]])</f>
        <v>1661</v>
      </c>
      <c r="P7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73" s="20">
        <f>Table2[[#This Row],[Net_Engagement]]/Table2[[#This Row],[Total_Budget]]</f>
        <v>1.038125E-2</v>
      </c>
      <c r="R7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7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74" spans="1:19" ht="15.75" customHeight="1">
      <c r="A74" s="3" t="s">
        <v>113</v>
      </c>
      <c r="B74" s="3" t="s">
        <v>31</v>
      </c>
      <c r="C74" s="5">
        <v>45783</v>
      </c>
      <c r="D74" s="3" t="s">
        <v>57</v>
      </c>
      <c r="E74" s="3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3" t="s">
        <v>58</v>
      </c>
      <c r="M74" s="3" t="s">
        <v>59</v>
      </c>
      <c r="N74" s="16">
        <f t="shared" si="1"/>
        <v>5.2042268944371441</v>
      </c>
      <c r="O74" s="4">
        <f>SUM(Table2[[#This Row],[Likes]],Table2[[#This Row],[Shares]],Table2[[#This Row],[Comments]])</f>
        <v>1901</v>
      </c>
      <c r="P7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74" s="20">
        <f>Table2[[#This Row],[Net_Engagement]]/Table2[[#This Row],[Total_Budget]]</f>
        <v>1.0862857142857143E-2</v>
      </c>
      <c r="R7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7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75" spans="1:19" ht="15.75" customHeight="1">
      <c r="A75" s="3" t="s">
        <v>114</v>
      </c>
      <c r="B75" s="3" t="s">
        <v>24</v>
      </c>
      <c r="C75" s="5">
        <v>45431</v>
      </c>
      <c r="D75" s="3" t="s">
        <v>25</v>
      </c>
      <c r="E75" s="3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3" t="s">
        <v>39</v>
      </c>
      <c r="M75" s="3" t="s">
        <v>18</v>
      </c>
      <c r="N75" s="16">
        <f t="shared" si="1"/>
        <v>4.0418432004799225</v>
      </c>
      <c r="O75" s="4">
        <f>SUM(Table2[[#This Row],[Likes]],Table2[[#This Row],[Shares]],Table2[[#This Row],[Comments]])</f>
        <v>2156</v>
      </c>
      <c r="P7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75" s="20">
        <f>Table2[[#This Row],[Net_Engagement]]/Table2[[#This Row],[Total_Budget]]</f>
        <v>1.078E-2</v>
      </c>
      <c r="R7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7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76" spans="1:19" ht="15.75" customHeight="1">
      <c r="A76" s="3" t="s">
        <v>115</v>
      </c>
      <c r="B76" s="3" t="s">
        <v>24</v>
      </c>
      <c r="C76" s="5">
        <v>45313</v>
      </c>
      <c r="D76" s="3" t="s">
        <v>25</v>
      </c>
      <c r="E76" s="3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3" t="s">
        <v>17</v>
      </c>
      <c r="M76" s="3" t="s">
        <v>18</v>
      </c>
      <c r="N76" s="16">
        <f t="shared" si="1"/>
        <v>5.1660428636136073</v>
      </c>
      <c r="O76" s="4">
        <f>SUM(Table2[[#This Row],[Likes]],Table2[[#This Row],[Shares]],Table2[[#This Row],[Comments]])</f>
        <v>2167</v>
      </c>
      <c r="P7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76" s="20">
        <f>Table2[[#This Row],[Net_Engagement]]/Table2[[#This Row],[Total_Budget]]</f>
        <v>1.0834999999999999E-2</v>
      </c>
      <c r="R7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7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77" spans="1:19" ht="15.75" customHeight="1">
      <c r="A77" s="3" t="s">
        <v>116</v>
      </c>
      <c r="B77" s="3" t="s">
        <v>14</v>
      </c>
      <c r="C77" s="5">
        <v>45487</v>
      </c>
      <c r="D77" s="3" t="s">
        <v>15</v>
      </c>
      <c r="E77" s="3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3" t="s">
        <v>21</v>
      </c>
      <c r="M77" s="3" t="s">
        <v>22</v>
      </c>
      <c r="N77" s="16">
        <f t="shared" si="1"/>
        <v>7.6115349799560317</v>
      </c>
      <c r="O77" s="4">
        <f>SUM(Table2[[#This Row],[Likes]],Table2[[#This Row],[Shares]],Table2[[#This Row],[Comments]])</f>
        <v>2943</v>
      </c>
      <c r="P7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77" s="20">
        <f>Table2[[#This Row],[Net_Engagement]]/Table2[[#This Row],[Total_Budget]]</f>
        <v>1.839375E-2</v>
      </c>
      <c r="R7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7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78" spans="1:19" ht="15.75" customHeight="1">
      <c r="A78" s="3" t="s">
        <v>117</v>
      </c>
      <c r="B78" s="3" t="s">
        <v>24</v>
      </c>
      <c r="C78" s="5">
        <v>45805</v>
      </c>
      <c r="D78" s="3" t="s">
        <v>15</v>
      </c>
      <c r="E78" s="3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3" t="s">
        <v>42</v>
      </c>
      <c r="M78" s="3" t="s">
        <v>18</v>
      </c>
      <c r="N78" s="16">
        <f t="shared" si="1"/>
        <v>9.6080290300434807</v>
      </c>
      <c r="O78" s="4">
        <f>SUM(Table2[[#This Row],[Likes]],Table2[[#This Row],[Shares]],Table2[[#This Row],[Comments]])</f>
        <v>2939</v>
      </c>
      <c r="P7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78" s="20">
        <f>Table2[[#This Row],[Net_Engagement]]/Table2[[#This Row],[Total_Budget]]</f>
        <v>1.4695E-2</v>
      </c>
      <c r="R7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7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79" spans="1:19" ht="15.75" customHeight="1">
      <c r="A79" s="3" t="s">
        <v>118</v>
      </c>
      <c r="B79" s="3" t="s">
        <v>24</v>
      </c>
      <c r="C79" s="5">
        <v>45678</v>
      </c>
      <c r="D79" s="3" t="s">
        <v>25</v>
      </c>
      <c r="E79" s="3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3" t="s">
        <v>27</v>
      </c>
      <c r="M79" s="3" t="s">
        <v>18</v>
      </c>
      <c r="N79" s="16">
        <f t="shared" si="1"/>
        <v>13.476527900797167</v>
      </c>
      <c r="O79" s="4">
        <f>SUM(Table2[[#This Row],[Likes]],Table2[[#This Row],[Shares]],Table2[[#This Row],[Comments]])</f>
        <v>3043</v>
      </c>
      <c r="P7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79" s="20">
        <f>Table2[[#This Row],[Net_Engagement]]/Table2[[#This Row],[Total_Budget]]</f>
        <v>1.5214999999999999E-2</v>
      </c>
      <c r="R7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7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80" spans="1:19" ht="15.75" customHeight="1">
      <c r="A80" s="3" t="s">
        <v>119</v>
      </c>
      <c r="B80" s="3" t="s">
        <v>31</v>
      </c>
      <c r="C80" s="5">
        <v>45304</v>
      </c>
      <c r="D80" s="3" t="s">
        <v>57</v>
      </c>
      <c r="E80" s="3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3" t="s">
        <v>58</v>
      </c>
      <c r="M80" s="3" t="s">
        <v>59</v>
      </c>
      <c r="N80" s="16">
        <f t="shared" si="1"/>
        <v>14.335162515829463</v>
      </c>
      <c r="O80" s="4">
        <f>SUM(Table2[[#This Row],[Likes]],Table2[[#This Row],[Shares]],Table2[[#This Row],[Comments]])</f>
        <v>5094</v>
      </c>
      <c r="P8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80" s="20">
        <f>Table2[[#This Row],[Net_Engagement]]/Table2[[#This Row],[Total_Budget]]</f>
        <v>2.9108571428571428E-2</v>
      </c>
      <c r="R8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8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81" spans="1:19" ht="15.75" customHeight="1">
      <c r="A81" s="3" t="s">
        <v>120</v>
      </c>
      <c r="B81" s="3" t="s">
        <v>14</v>
      </c>
      <c r="C81" s="5">
        <v>45825</v>
      </c>
      <c r="D81" s="3" t="s">
        <v>15</v>
      </c>
      <c r="E81" s="3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3" t="s">
        <v>17</v>
      </c>
      <c r="M81" s="3" t="s">
        <v>18</v>
      </c>
      <c r="N81" s="16">
        <f t="shared" si="1"/>
        <v>7.3021390374331556</v>
      </c>
      <c r="O81" s="4">
        <f>SUM(Table2[[#This Row],[Likes]],Table2[[#This Row],[Shares]],Table2[[#This Row],[Comments]])</f>
        <v>2731</v>
      </c>
      <c r="P8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81" s="20">
        <f>Table2[[#This Row],[Net_Engagement]]/Table2[[#This Row],[Total_Budget]]</f>
        <v>1.3655E-2</v>
      </c>
      <c r="R8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8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82" spans="1:19" ht="15.75" customHeight="1">
      <c r="A82" s="3" t="s">
        <v>121</v>
      </c>
      <c r="B82" s="3" t="s">
        <v>24</v>
      </c>
      <c r="C82" s="5">
        <v>45723</v>
      </c>
      <c r="D82" s="3" t="s">
        <v>15</v>
      </c>
      <c r="E82" s="3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3" t="s">
        <v>45</v>
      </c>
      <c r="M82" s="3" t="s">
        <v>22</v>
      </c>
      <c r="N82" s="16">
        <f t="shared" si="1"/>
        <v>8.8232696960599046</v>
      </c>
      <c r="O82" s="4">
        <f>SUM(Table2[[#This Row],[Likes]],Table2[[#This Row],[Shares]],Table2[[#This Row],[Comments]])</f>
        <v>4996</v>
      </c>
      <c r="P8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82" s="20">
        <f>Table2[[#This Row],[Net_Engagement]]/Table2[[#This Row],[Total_Budget]]</f>
        <v>3.1224999999999999E-2</v>
      </c>
      <c r="R8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8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83" spans="1:19" ht="15.75" customHeight="1">
      <c r="A83" s="3" t="s">
        <v>122</v>
      </c>
      <c r="B83" s="3" t="s">
        <v>14</v>
      </c>
      <c r="C83" s="5">
        <v>45530</v>
      </c>
      <c r="D83" s="3" t="s">
        <v>15</v>
      </c>
      <c r="E83" s="3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3" t="s">
        <v>21</v>
      </c>
      <c r="M83" s="3" t="s">
        <v>22</v>
      </c>
      <c r="N83" s="16">
        <f t="shared" si="1"/>
        <v>5.9312714776632305</v>
      </c>
      <c r="O83" s="4">
        <f>SUM(Table2[[#This Row],[Likes]],Table2[[#This Row],[Shares]],Table2[[#This Row],[Comments]])</f>
        <v>2589</v>
      </c>
      <c r="P8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83" s="20">
        <f>Table2[[#This Row],[Net_Engagement]]/Table2[[#This Row],[Total_Budget]]</f>
        <v>1.6181250000000001E-2</v>
      </c>
      <c r="R8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8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84" spans="1:19" ht="15.75" customHeight="1">
      <c r="A84" s="3" t="s">
        <v>123</v>
      </c>
      <c r="B84" s="3" t="s">
        <v>24</v>
      </c>
      <c r="C84" s="5">
        <v>45660</v>
      </c>
      <c r="D84" s="3" t="s">
        <v>25</v>
      </c>
      <c r="E84" s="3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3" t="s">
        <v>17</v>
      </c>
      <c r="M84" s="3" t="s">
        <v>18</v>
      </c>
      <c r="N84" s="16">
        <f t="shared" si="1"/>
        <v>14.711666377465441</v>
      </c>
      <c r="O84" s="4">
        <f>SUM(Table2[[#This Row],[Likes]],Table2[[#This Row],[Shares]],Table2[[#This Row],[Comments]])</f>
        <v>5087</v>
      </c>
      <c r="P8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84" s="20">
        <f>Table2[[#This Row],[Net_Engagement]]/Table2[[#This Row],[Total_Budget]]</f>
        <v>2.5434999999999999E-2</v>
      </c>
      <c r="R8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8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85" spans="1:19" ht="15.75" customHeight="1">
      <c r="A85" s="3" t="s">
        <v>124</v>
      </c>
      <c r="B85" s="3" t="s">
        <v>24</v>
      </c>
      <c r="C85" s="5">
        <v>45507</v>
      </c>
      <c r="D85" s="3" t="s">
        <v>15</v>
      </c>
      <c r="E85" s="3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3" t="s">
        <v>42</v>
      </c>
      <c r="M85" s="3" t="s">
        <v>18</v>
      </c>
      <c r="N85" s="16">
        <f t="shared" si="1"/>
        <v>16.283364109451064</v>
      </c>
      <c r="O85" s="4">
        <f>SUM(Table2[[#This Row],[Likes]],Table2[[#This Row],[Shares]],Table2[[#This Row],[Comments]])</f>
        <v>4850</v>
      </c>
      <c r="P8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85" s="20">
        <f>Table2[[#This Row],[Net_Engagement]]/Table2[[#This Row],[Total_Budget]]</f>
        <v>2.4250000000000001E-2</v>
      </c>
      <c r="R8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8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86" spans="1:19" ht="15.75" customHeight="1">
      <c r="A86" s="3" t="s">
        <v>125</v>
      </c>
      <c r="B86" s="3" t="s">
        <v>14</v>
      </c>
      <c r="C86" s="5">
        <v>45522</v>
      </c>
      <c r="D86" s="3" t="s">
        <v>15</v>
      </c>
      <c r="E86" s="3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3" t="s">
        <v>17</v>
      </c>
      <c r="M86" s="3" t="s">
        <v>18</v>
      </c>
      <c r="N86" s="16">
        <f t="shared" si="1"/>
        <v>6.005027303458438</v>
      </c>
      <c r="O86" s="4">
        <f>SUM(Table2[[#This Row],[Likes]],Table2[[#This Row],[Shares]],Table2[[#This Row],[Comments]])</f>
        <v>3464</v>
      </c>
      <c r="P8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86" s="20">
        <f>Table2[[#This Row],[Net_Engagement]]/Table2[[#This Row],[Total_Budget]]</f>
        <v>1.7319999999999999E-2</v>
      </c>
      <c r="R8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8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87" spans="1:19" ht="15.75" customHeight="1">
      <c r="A87" s="3" t="s">
        <v>126</v>
      </c>
      <c r="B87" s="3" t="s">
        <v>24</v>
      </c>
      <c r="C87" s="5">
        <v>45791</v>
      </c>
      <c r="D87" s="3" t="s">
        <v>25</v>
      </c>
      <c r="E87" s="3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3" t="s">
        <v>17</v>
      </c>
      <c r="M87" s="3" t="s">
        <v>18</v>
      </c>
      <c r="N87" s="16">
        <f t="shared" si="1"/>
        <v>4.4438295517432209</v>
      </c>
      <c r="O87" s="4">
        <f>SUM(Table2[[#This Row],[Likes]],Table2[[#This Row],[Shares]],Table2[[#This Row],[Comments]])</f>
        <v>1606</v>
      </c>
      <c r="P8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87" s="20">
        <f>Table2[[#This Row],[Net_Engagement]]/Table2[[#This Row],[Total_Budget]]</f>
        <v>8.0300000000000007E-3</v>
      </c>
      <c r="R8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8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88" spans="1:19" ht="15.75" customHeight="1">
      <c r="A88" s="3" t="s">
        <v>127</v>
      </c>
      <c r="B88" s="3" t="s">
        <v>24</v>
      </c>
      <c r="C88" s="5">
        <v>45405</v>
      </c>
      <c r="D88" s="3" t="s">
        <v>25</v>
      </c>
      <c r="E88" s="3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3" t="s">
        <v>17</v>
      </c>
      <c r="M88" s="3" t="s">
        <v>18</v>
      </c>
      <c r="N88" s="16">
        <f t="shared" si="1"/>
        <v>6.1158416768035933</v>
      </c>
      <c r="O88" s="4">
        <f>SUM(Table2[[#This Row],[Likes]],Table2[[#This Row],[Shares]],Table2[[#This Row],[Comments]])</f>
        <v>3268</v>
      </c>
      <c r="P8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88" s="20">
        <f>Table2[[#This Row],[Net_Engagement]]/Table2[[#This Row],[Total_Budget]]</f>
        <v>1.634E-2</v>
      </c>
      <c r="R8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8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89" spans="1:19" ht="15.75" customHeight="1">
      <c r="A89" s="3" t="s">
        <v>128</v>
      </c>
      <c r="B89" s="3" t="s">
        <v>24</v>
      </c>
      <c r="C89" s="5">
        <v>45705</v>
      </c>
      <c r="D89" s="3" t="s">
        <v>25</v>
      </c>
      <c r="E89" s="3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3" t="s">
        <v>17</v>
      </c>
      <c r="M89" s="3" t="s">
        <v>18</v>
      </c>
      <c r="N89" s="16">
        <f t="shared" si="1"/>
        <v>18.086628511966701</v>
      </c>
      <c r="O89" s="4">
        <f>SUM(Table2[[#This Row],[Likes]],Table2[[#This Row],[Shares]],Table2[[#This Row],[Comments]])</f>
        <v>5562</v>
      </c>
      <c r="P8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89" s="20">
        <f>Table2[[#This Row],[Net_Engagement]]/Table2[[#This Row],[Total_Budget]]</f>
        <v>2.7810000000000001E-2</v>
      </c>
      <c r="R8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8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90" spans="1:19" ht="15.75" customHeight="1">
      <c r="A90" s="3" t="s">
        <v>129</v>
      </c>
      <c r="B90" s="3" t="s">
        <v>14</v>
      </c>
      <c r="C90" s="5">
        <v>45630</v>
      </c>
      <c r="D90" s="3" t="s">
        <v>15</v>
      </c>
      <c r="E90" s="3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3" t="s">
        <v>17</v>
      </c>
      <c r="M90" s="3" t="s">
        <v>18</v>
      </c>
      <c r="N90" s="16">
        <f t="shared" si="1"/>
        <v>9.8770390509144832</v>
      </c>
      <c r="O90" s="4">
        <f>SUM(Table2[[#This Row],[Likes]],Table2[[#This Row],[Shares]],Table2[[#This Row],[Comments]])</f>
        <v>3197</v>
      </c>
      <c r="P9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90" s="20">
        <f>Table2[[#This Row],[Net_Engagement]]/Table2[[#This Row],[Total_Budget]]</f>
        <v>1.5984999999999999E-2</v>
      </c>
      <c r="R9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9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91" spans="1:19" ht="15.75" customHeight="1">
      <c r="A91" s="3" t="s">
        <v>130</v>
      </c>
      <c r="B91" s="3" t="s">
        <v>24</v>
      </c>
      <c r="C91" s="5">
        <v>45495</v>
      </c>
      <c r="D91" s="3" t="s">
        <v>25</v>
      </c>
      <c r="E91" s="3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3" t="s">
        <v>27</v>
      </c>
      <c r="M91" s="3" t="s">
        <v>18</v>
      </c>
      <c r="N91" s="16">
        <f t="shared" si="1"/>
        <v>17.642537414658406</v>
      </c>
      <c r="O91" s="4">
        <f>SUM(Table2[[#This Row],[Likes]],Table2[[#This Row],[Shares]],Table2[[#This Row],[Comments]])</f>
        <v>3902</v>
      </c>
      <c r="P9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91" s="20">
        <f>Table2[[#This Row],[Net_Engagement]]/Table2[[#This Row],[Total_Budget]]</f>
        <v>1.951E-2</v>
      </c>
      <c r="R9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9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92" spans="1:19" ht="15.75" customHeight="1">
      <c r="A92" s="3" t="s">
        <v>131</v>
      </c>
      <c r="B92" s="3" t="s">
        <v>24</v>
      </c>
      <c r="C92" s="5">
        <v>45774</v>
      </c>
      <c r="D92" s="3" t="s">
        <v>15</v>
      </c>
      <c r="E92" s="3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3" t="s">
        <v>45</v>
      </c>
      <c r="M92" s="3" t="s">
        <v>22</v>
      </c>
      <c r="N92" s="16">
        <f t="shared" si="1"/>
        <v>7.8512996756861426</v>
      </c>
      <c r="O92" s="4">
        <f>SUM(Table2[[#This Row],[Likes]],Table2[[#This Row],[Shares]],Table2[[#This Row],[Comments]])</f>
        <v>1622</v>
      </c>
      <c r="P9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92" s="20">
        <f>Table2[[#This Row],[Net_Engagement]]/Table2[[#This Row],[Total_Budget]]</f>
        <v>1.0137500000000001E-2</v>
      </c>
      <c r="R9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9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93" spans="1:19" ht="15.75" customHeight="1">
      <c r="A93" s="3" t="s">
        <v>132</v>
      </c>
      <c r="B93" s="3" t="s">
        <v>31</v>
      </c>
      <c r="C93" s="5">
        <v>45376</v>
      </c>
      <c r="D93" s="3" t="s">
        <v>57</v>
      </c>
      <c r="E93" s="3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3" t="s">
        <v>58</v>
      </c>
      <c r="M93" s="3" t="s">
        <v>59</v>
      </c>
      <c r="N93" s="16">
        <f t="shared" si="1"/>
        <v>7.974671020085089</v>
      </c>
      <c r="O93" s="4">
        <f>SUM(Table2[[#This Row],[Likes]],Table2[[#This Row],[Shares]],Table2[[#This Row],[Comments]])</f>
        <v>2418</v>
      </c>
      <c r="P9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93" s="20">
        <f>Table2[[#This Row],[Net_Engagement]]/Table2[[#This Row],[Total_Budget]]</f>
        <v>1.3817142857142858E-2</v>
      </c>
      <c r="R9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9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94" spans="1:19" ht="15.75" customHeight="1">
      <c r="A94" s="3" t="s">
        <v>133</v>
      </c>
      <c r="B94" s="3" t="s">
        <v>14</v>
      </c>
      <c r="C94" s="5">
        <v>45351</v>
      </c>
      <c r="D94" s="3" t="s">
        <v>15</v>
      </c>
      <c r="E94" s="3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3" t="s">
        <v>21</v>
      </c>
      <c r="M94" s="3" t="s">
        <v>22</v>
      </c>
      <c r="N94" s="16">
        <f t="shared" si="1"/>
        <v>6.3999063999063992</v>
      </c>
      <c r="O94" s="4">
        <f>SUM(Table2[[#This Row],[Likes]],Table2[[#This Row],[Shares]],Table2[[#This Row],[Comments]])</f>
        <v>1641</v>
      </c>
      <c r="P9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94" s="20">
        <f>Table2[[#This Row],[Net_Engagement]]/Table2[[#This Row],[Total_Budget]]</f>
        <v>1.025625E-2</v>
      </c>
      <c r="R9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9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95" spans="1:19" ht="15.75" customHeight="1">
      <c r="A95" s="3" t="s">
        <v>134</v>
      </c>
      <c r="B95" s="3" t="s">
        <v>24</v>
      </c>
      <c r="C95" s="5">
        <v>45609</v>
      </c>
      <c r="D95" s="3" t="s">
        <v>25</v>
      </c>
      <c r="E95" s="3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3" t="s">
        <v>17</v>
      </c>
      <c r="M95" s="3" t="s">
        <v>18</v>
      </c>
      <c r="N95" s="16">
        <f t="shared" si="1"/>
        <v>14.397862944992641</v>
      </c>
      <c r="O95" s="4">
        <f>SUM(Table2[[#This Row],[Likes]],Table2[[#This Row],[Shares]],Table2[[#This Row],[Comments]])</f>
        <v>5282</v>
      </c>
      <c r="P9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95" s="20">
        <f>Table2[[#This Row],[Net_Engagement]]/Table2[[#This Row],[Total_Budget]]</f>
        <v>2.6409999999999999E-2</v>
      </c>
      <c r="R9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9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96" spans="1:19" ht="15.75" customHeight="1">
      <c r="A96" s="3" t="s">
        <v>135</v>
      </c>
      <c r="B96" s="3" t="s">
        <v>14</v>
      </c>
      <c r="C96" s="5">
        <v>45373</v>
      </c>
      <c r="D96" s="3" t="s">
        <v>25</v>
      </c>
      <c r="E96" s="3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3" t="s">
        <v>42</v>
      </c>
      <c r="M96" s="3" t="s">
        <v>55</v>
      </c>
      <c r="N96" s="16">
        <f t="shared" si="1"/>
        <v>14.130742382794075</v>
      </c>
      <c r="O96" s="4">
        <f>SUM(Table2[[#This Row],[Likes]],Table2[[#This Row],[Shares]],Table2[[#This Row],[Comments]])</f>
        <v>2996</v>
      </c>
      <c r="P9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96" s="20">
        <f>Table2[[#This Row],[Net_Engagement]]/Table2[[#This Row],[Total_Budget]]</f>
        <v>1.3315555555555556E-2</v>
      </c>
      <c r="R9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9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97" spans="1:19" ht="15.75" customHeight="1">
      <c r="A97" s="3" t="s">
        <v>136</v>
      </c>
      <c r="B97" s="3" t="s">
        <v>24</v>
      </c>
      <c r="C97" s="5">
        <v>45367</v>
      </c>
      <c r="D97" s="3" t="s">
        <v>25</v>
      </c>
      <c r="E97" s="3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3" t="s">
        <v>17</v>
      </c>
      <c r="M97" s="3" t="s">
        <v>18</v>
      </c>
      <c r="N97" s="16">
        <f t="shared" si="1"/>
        <v>13.528464682326714</v>
      </c>
      <c r="O97" s="4">
        <f>SUM(Table2[[#This Row],[Likes]],Table2[[#This Row],[Shares]],Table2[[#This Row],[Comments]])</f>
        <v>3277</v>
      </c>
      <c r="P9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97" s="20">
        <f>Table2[[#This Row],[Net_Engagement]]/Table2[[#This Row],[Total_Budget]]</f>
        <v>1.6385E-2</v>
      </c>
      <c r="R9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9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98" spans="1:19" ht="15.75" customHeight="1">
      <c r="A98" s="3" t="s">
        <v>137</v>
      </c>
      <c r="B98" s="3" t="s">
        <v>14</v>
      </c>
      <c r="C98" s="5">
        <v>45317</v>
      </c>
      <c r="D98" s="3" t="s">
        <v>15</v>
      </c>
      <c r="E98" s="3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3" t="s">
        <v>21</v>
      </c>
      <c r="M98" s="3" t="s">
        <v>22</v>
      </c>
      <c r="N98" s="16">
        <f t="shared" si="1"/>
        <v>10.550008380623996</v>
      </c>
      <c r="O98" s="4">
        <f>SUM(Table2[[#This Row],[Likes]],Table2[[#This Row],[Shares]],Table2[[#This Row],[Comments]])</f>
        <v>4406</v>
      </c>
      <c r="P9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98" s="20">
        <f>Table2[[#This Row],[Net_Engagement]]/Table2[[#This Row],[Total_Budget]]</f>
        <v>2.7537499999999999E-2</v>
      </c>
      <c r="R9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9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99" spans="1:19" ht="15.75" customHeight="1">
      <c r="A99" s="3" t="s">
        <v>138</v>
      </c>
      <c r="B99" s="3" t="s">
        <v>24</v>
      </c>
      <c r="C99" s="5">
        <v>45366</v>
      </c>
      <c r="D99" s="3" t="s">
        <v>25</v>
      </c>
      <c r="E99" s="3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3" t="s">
        <v>39</v>
      </c>
      <c r="M99" s="3" t="s">
        <v>18</v>
      </c>
      <c r="N99" s="16">
        <f t="shared" si="1"/>
        <v>9.4690354648038682</v>
      </c>
      <c r="O99" s="4">
        <f>SUM(Table2[[#This Row],[Likes]],Table2[[#This Row],[Shares]],Table2[[#This Row],[Comments]])</f>
        <v>5639</v>
      </c>
      <c r="P9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99" s="20">
        <f>Table2[[#This Row],[Net_Engagement]]/Table2[[#This Row],[Total_Budget]]</f>
        <v>2.8195000000000001E-2</v>
      </c>
      <c r="R9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9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00" spans="1:19" ht="15.75" customHeight="1">
      <c r="A100" s="3" t="s">
        <v>139</v>
      </c>
      <c r="B100" s="3" t="s">
        <v>24</v>
      </c>
      <c r="C100" s="5">
        <v>45580</v>
      </c>
      <c r="D100" s="3" t="s">
        <v>15</v>
      </c>
      <c r="E100" s="3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3" t="s">
        <v>42</v>
      </c>
      <c r="M100" s="3" t="s">
        <v>18</v>
      </c>
      <c r="N100" s="16">
        <f t="shared" si="1"/>
        <v>6.9344411395983379</v>
      </c>
      <c r="O100" s="4">
        <f>SUM(Table2[[#This Row],[Likes]],Table2[[#This Row],[Shares]],Table2[[#This Row],[Comments]])</f>
        <v>2821</v>
      </c>
      <c r="P10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00" s="20">
        <f>Table2[[#This Row],[Net_Engagement]]/Table2[[#This Row],[Total_Budget]]</f>
        <v>1.4104999999999999E-2</v>
      </c>
      <c r="R10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0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01" spans="1:19" ht="15.75" customHeight="1">
      <c r="A101" s="3" t="s">
        <v>140</v>
      </c>
      <c r="B101" s="3" t="s">
        <v>14</v>
      </c>
      <c r="C101" s="5">
        <v>45494</v>
      </c>
      <c r="D101" s="3" t="s">
        <v>15</v>
      </c>
      <c r="E101" s="3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3" t="s">
        <v>21</v>
      </c>
      <c r="M101" s="3" t="s">
        <v>22</v>
      </c>
      <c r="N101" s="16">
        <f t="shared" si="1"/>
        <v>10.077583818232197</v>
      </c>
      <c r="O101" s="4">
        <f>SUM(Table2[[#This Row],[Likes]],Table2[[#This Row],[Shares]],Table2[[#This Row],[Comments]])</f>
        <v>3637</v>
      </c>
      <c r="P10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01" s="20">
        <f>Table2[[#This Row],[Net_Engagement]]/Table2[[#This Row],[Total_Budget]]</f>
        <v>2.2731250000000001E-2</v>
      </c>
      <c r="R10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0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02" spans="1:19" ht="15.75" customHeight="1">
      <c r="A102" s="3" t="s">
        <v>141</v>
      </c>
      <c r="B102" s="3" t="s">
        <v>24</v>
      </c>
      <c r="C102" s="5">
        <v>45577</v>
      </c>
      <c r="D102" s="3" t="s">
        <v>15</v>
      </c>
      <c r="E102" s="3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3" t="s">
        <v>42</v>
      </c>
      <c r="M102" s="3" t="s">
        <v>18</v>
      </c>
      <c r="N102" s="16">
        <f t="shared" si="1"/>
        <v>8.2866791077934785</v>
      </c>
      <c r="O102" s="4">
        <f>SUM(Table2[[#This Row],[Likes]],Table2[[#This Row],[Shares]],Table2[[#This Row],[Comments]])</f>
        <v>3730</v>
      </c>
      <c r="P10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02" s="20">
        <f>Table2[[#This Row],[Net_Engagement]]/Table2[[#This Row],[Total_Budget]]</f>
        <v>1.865E-2</v>
      </c>
      <c r="R10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0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03" spans="1:19" ht="15.75" customHeight="1">
      <c r="A103" s="3" t="s">
        <v>142</v>
      </c>
      <c r="B103" s="3" t="s">
        <v>24</v>
      </c>
      <c r="C103" s="5">
        <v>45591</v>
      </c>
      <c r="D103" s="3" t="s">
        <v>15</v>
      </c>
      <c r="E103" s="3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3" t="s">
        <v>42</v>
      </c>
      <c r="M103" s="3" t="s">
        <v>18</v>
      </c>
      <c r="N103" s="16">
        <f t="shared" si="1"/>
        <v>14.485195154777927</v>
      </c>
      <c r="O103" s="4">
        <f>SUM(Table2[[#This Row],[Likes]],Table2[[#This Row],[Shares]],Table2[[#This Row],[Comments]])</f>
        <v>3444</v>
      </c>
      <c r="P10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03" s="20">
        <f>Table2[[#This Row],[Net_Engagement]]/Table2[[#This Row],[Total_Budget]]</f>
        <v>1.7219999999999999E-2</v>
      </c>
      <c r="R10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0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04" spans="1:19" ht="15.75" customHeight="1">
      <c r="A104" s="3" t="s">
        <v>143</v>
      </c>
      <c r="B104" s="3" t="s">
        <v>14</v>
      </c>
      <c r="C104" s="5">
        <v>45336</v>
      </c>
      <c r="D104" s="3" t="s">
        <v>15</v>
      </c>
      <c r="E104" s="3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3" t="s">
        <v>17</v>
      </c>
      <c r="M104" s="3" t="s">
        <v>18</v>
      </c>
      <c r="N104" s="16">
        <f t="shared" si="1"/>
        <v>6.6614370881706932</v>
      </c>
      <c r="O104" s="4">
        <f>SUM(Table2[[#This Row],[Likes]],Table2[[#This Row],[Shares]],Table2[[#This Row],[Comments]])</f>
        <v>2123</v>
      </c>
      <c r="P10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04" s="20">
        <f>Table2[[#This Row],[Net_Engagement]]/Table2[[#This Row],[Total_Budget]]</f>
        <v>1.0614999999999999E-2</v>
      </c>
      <c r="R10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0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05" spans="1:19" ht="15.75" customHeight="1">
      <c r="A105" s="3" t="s">
        <v>144</v>
      </c>
      <c r="B105" s="3" t="s">
        <v>24</v>
      </c>
      <c r="C105" s="5">
        <v>45413</v>
      </c>
      <c r="D105" s="3" t="s">
        <v>25</v>
      </c>
      <c r="E105" s="3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3" t="s">
        <v>39</v>
      </c>
      <c r="M105" s="3" t="s">
        <v>18</v>
      </c>
      <c r="N105" s="16">
        <f t="shared" si="1"/>
        <v>8.8705674736667941</v>
      </c>
      <c r="O105" s="4">
        <f>SUM(Table2[[#This Row],[Likes]],Table2[[#This Row],[Shares]],Table2[[#This Row],[Comments]])</f>
        <v>3217</v>
      </c>
      <c r="P10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05" s="20">
        <f>Table2[[#This Row],[Net_Engagement]]/Table2[[#This Row],[Total_Budget]]</f>
        <v>1.6084999999999999E-2</v>
      </c>
      <c r="R10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0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06" spans="1:19" ht="15.75" customHeight="1">
      <c r="A106" s="3" t="s">
        <v>145</v>
      </c>
      <c r="B106" s="3" t="s">
        <v>24</v>
      </c>
      <c r="C106" s="5">
        <v>45553</v>
      </c>
      <c r="D106" s="3" t="s">
        <v>15</v>
      </c>
      <c r="E106" s="3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3" t="s">
        <v>42</v>
      </c>
      <c r="M106" s="3" t="s">
        <v>18</v>
      </c>
      <c r="N106" s="16">
        <f t="shared" si="1"/>
        <v>6.2084853138798231</v>
      </c>
      <c r="O106" s="4">
        <f>SUM(Table2[[#This Row],[Likes]],Table2[[#This Row],[Shares]],Table2[[#This Row],[Comments]])</f>
        <v>3234</v>
      </c>
      <c r="P10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06" s="20">
        <f>Table2[[#This Row],[Net_Engagement]]/Table2[[#This Row],[Total_Budget]]</f>
        <v>1.617E-2</v>
      </c>
      <c r="R10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0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07" spans="1:19" ht="15.75" customHeight="1">
      <c r="A107" s="3" t="s">
        <v>146</v>
      </c>
      <c r="B107" s="3" t="s">
        <v>24</v>
      </c>
      <c r="C107" s="5">
        <v>45677</v>
      </c>
      <c r="D107" s="3" t="s">
        <v>25</v>
      </c>
      <c r="E107" s="3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3" t="s">
        <v>17</v>
      </c>
      <c r="M107" s="3" t="s">
        <v>18</v>
      </c>
      <c r="N107" s="16">
        <f t="shared" si="1"/>
        <v>23.193025217961939</v>
      </c>
      <c r="O107" s="4">
        <f>SUM(Table2[[#This Row],[Likes]],Table2[[#This Row],[Shares]],Table2[[#This Row],[Comments]])</f>
        <v>4948</v>
      </c>
      <c r="P10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07" s="20">
        <f>Table2[[#This Row],[Net_Engagement]]/Table2[[#This Row],[Total_Budget]]</f>
        <v>2.4740000000000002E-2</v>
      </c>
      <c r="R10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0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08" spans="1:19" ht="15.75" customHeight="1">
      <c r="A108" s="3" t="s">
        <v>147</v>
      </c>
      <c r="B108" s="3" t="s">
        <v>24</v>
      </c>
      <c r="C108" s="5">
        <v>45670</v>
      </c>
      <c r="D108" s="3" t="s">
        <v>15</v>
      </c>
      <c r="E108" s="3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3" t="s">
        <v>45</v>
      </c>
      <c r="M108" s="3" t="s">
        <v>22</v>
      </c>
      <c r="N108" s="16">
        <f t="shared" si="1"/>
        <v>8.659867935594951</v>
      </c>
      <c r="O108" s="4">
        <f>SUM(Table2[[#This Row],[Likes]],Table2[[#This Row],[Shares]],Table2[[#This Row],[Comments]])</f>
        <v>4577</v>
      </c>
      <c r="P10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08" s="20">
        <f>Table2[[#This Row],[Net_Engagement]]/Table2[[#This Row],[Total_Budget]]</f>
        <v>2.860625E-2</v>
      </c>
      <c r="R10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0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09" spans="1:19" ht="15.75" customHeight="1">
      <c r="A109" s="3" t="s">
        <v>148</v>
      </c>
      <c r="B109" s="3" t="s">
        <v>31</v>
      </c>
      <c r="C109" s="5">
        <v>45542</v>
      </c>
      <c r="D109" s="3" t="s">
        <v>57</v>
      </c>
      <c r="E109" s="3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3" t="s">
        <v>58</v>
      </c>
      <c r="M109" s="3" t="s">
        <v>59</v>
      </c>
      <c r="N109" s="16">
        <f t="shared" si="1"/>
        <v>10.949965468790932</v>
      </c>
      <c r="O109" s="4">
        <f>SUM(Table2[[#This Row],[Likes]],Table2[[#This Row],[Shares]],Table2[[#This Row],[Comments]])</f>
        <v>4598</v>
      </c>
      <c r="P10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09" s="20">
        <f>Table2[[#This Row],[Net_Engagement]]/Table2[[#This Row],[Total_Budget]]</f>
        <v>2.6274285714285715E-2</v>
      </c>
      <c r="R10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0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10" spans="1:19" ht="15.75" customHeight="1">
      <c r="A110" s="3" t="s">
        <v>149</v>
      </c>
      <c r="B110" s="3" t="s">
        <v>14</v>
      </c>
      <c r="C110" s="5">
        <v>45617</v>
      </c>
      <c r="D110" s="3" t="s">
        <v>15</v>
      </c>
      <c r="E110" s="3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3" t="s">
        <v>17</v>
      </c>
      <c r="M110" s="3" t="s">
        <v>18</v>
      </c>
      <c r="N110" s="16">
        <f t="shared" si="1"/>
        <v>13.838335084182733</v>
      </c>
      <c r="O110" s="4">
        <f>SUM(Table2[[#This Row],[Likes]],Table2[[#This Row],[Shares]],Table2[[#This Row],[Comments]])</f>
        <v>4874</v>
      </c>
      <c r="P11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10" s="20">
        <f>Table2[[#This Row],[Net_Engagement]]/Table2[[#This Row],[Total_Budget]]</f>
        <v>2.4369999999999999E-2</v>
      </c>
      <c r="R11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1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11" spans="1:19" ht="15.75" customHeight="1">
      <c r="A111" s="3" t="s">
        <v>150</v>
      </c>
      <c r="B111" s="3" t="s">
        <v>14</v>
      </c>
      <c r="C111" s="5">
        <v>45469</v>
      </c>
      <c r="D111" s="3" t="s">
        <v>15</v>
      </c>
      <c r="E111" s="3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3" t="s">
        <v>21</v>
      </c>
      <c r="M111" s="3" t="s">
        <v>22</v>
      </c>
      <c r="N111" s="16">
        <f t="shared" si="1"/>
        <v>16.033389770445329</v>
      </c>
      <c r="O111" s="4">
        <f>SUM(Table2[[#This Row],[Likes]],Table2[[#This Row],[Shares]],Table2[[#This Row],[Comments]])</f>
        <v>4072</v>
      </c>
      <c r="P11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11" s="20">
        <f>Table2[[#This Row],[Net_Engagement]]/Table2[[#This Row],[Total_Budget]]</f>
        <v>2.545E-2</v>
      </c>
      <c r="R11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1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12" spans="1:19" ht="15.75" customHeight="1">
      <c r="A112" s="3" t="s">
        <v>151</v>
      </c>
      <c r="B112" s="3" t="s">
        <v>31</v>
      </c>
      <c r="C112" s="5">
        <v>45493</v>
      </c>
      <c r="D112" s="3" t="s">
        <v>57</v>
      </c>
      <c r="E112" s="3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3" t="s">
        <v>58</v>
      </c>
      <c r="M112" s="3" t="s">
        <v>59</v>
      </c>
      <c r="N112" s="16">
        <f t="shared" si="1"/>
        <v>16.641897515158721</v>
      </c>
      <c r="O112" s="4">
        <f>SUM(Table2[[#This Row],[Likes]],Table2[[#This Row],[Shares]],Table2[[#This Row],[Comments]])</f>
        <v>5599</v>
      </c>
      <c r="P11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12" s="20">
        <f>Table2[[#This Row],[Net_Engagement]]/Table2[[#This Row],[Total_Budget]]</f>
        <v>3.1994285714285711E-2</v>
      </c>
      <c r="R11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1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13" spans="1:19" ht="15.75" customHeight="1">
      <c r="A113" s="3" t="s">
        <v>152</v>
      </c>
      <c r="B113" s="3" t="s">
        <v>14</v>
      </c>
      <c r="C113" s="5">
        <v>45704</v>
      </c>
      <c r="D113" s="3" t="s">
        <v>15</v>
      </c>
      <c r="E113" s="3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3" t="s">
        <v>17</v>
      </c>
      <c r="M113" s="3" t="s">
        <v>18</v>
      </c>
      <c r="N113" s="16">
        <f t="shared" si="1"/>
        <v>5.2993862995521646</v>
      </c>
      <c r="O113" s="4">
        <f>SUM(Table2[[#This Row],[Likes]],Table2[[#This Row],[Shares]],Table2[[#This Row],[Comments]])</f>
        <v>1917</v>
      </c>
      <c r="P11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13" s="20">
        <f>Table2[[#This Row],[Net_Engagement]]/Table2[[#This Row],[Total_Budget]]</f>
        <v>9.5849999999999998E-3</v>
      </c>
      <c r="R11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1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14" spans="1:19" ht="15.75" customHeight="1">
      <c r="A114" s="3" t="s">
        <v>153</v>
      </c>
      <c r="B114" s="3" t="s">
        <v>14</v>
      </c>
      <c r="C114" s="5">
        <v>45544</v>
      </c>
      <c r="D114" s="3" t="s">
        <v>15</v>
      </c>
      <c r="E114" s="3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3" t="s">
        <v>17</v>
      </c>
      <c r="M114" s="3" t="s">
        <v>18</v>
      </c>
      <c r="N114" s="16">
        <f t="shared" si="1"/>
        <v>3.967465312281476</v>
      </c>
      <c r="O114" s="4">
        <f>SUM(Table2[[#This Row],[Likes]],Table2[[#This Row],[Shares]],Table2[[#This Row],[Comments]])</f>
        <v>2156</v>
      </c>
      <c r="P11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14" s="20">
        <f>Table2[[#This Row],[Net_Engagement]]/Table2[[#This Row],[Total_Budget]]</f>
        <v>1.078E-2</v>
      </c>
      <c r="R11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1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15" spans="1:19" ht="15.75" customHeight="1">
      <c r="A115" s="3" t="s">
        <v>154</v>
      </c>
      <c r="B115" s="3" t="s">
        <v>24</v>
      </c>
      <c r="C115" s="5">
        <v>45489</v>
      </c>
      <c r="D115" s="3" t="s">
        <v>15</v>
      </c>
      <c r="E115" s="3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3" t="s">
        <v>42</v>
      </c>
      <c r="M115" s="3" t="s">
        <v>18</v>
      </c>
      <c r="N115" s="16">
        <f t="shared" si="1"/>
        <v>5.1173769923769923</v>
      </c>
      <c r="O115" s="4">
        <f>SUM(Table2[[#This Row],[Likes]],Table2[[#This Row],[Shares]],Table2[[#This Row],[Comments]])</f>
        <v>2363</v>
      </c>
      <c r="P11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15" s="20">
        <f>Table2[[#This Row],[Net_Engagement]]/Table2[[#This Row],[Total_Budget]]</f>
        <v>1.1815000000000001E-2</v>
      </c>
      <c r="R11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1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16" spans="1:19" ht="15.75" customHeight="1">
      <c r="A116" s="3" t="s">
        <v>155</v>
      </c>
      <c r="B116" s="3" t="s">
        <v>14</v>
      </c>
      <c r="C116" s="5">
        <v>45762</v>
      </c>
      <c r="D116" s="3" t="s">
        <v>15</v>
      </c>
      <c r="E116" s="3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3" t="s">
        <v>21</v>
      </c>
      <c r="M116" s="3" t="s">
        <v>22</v>
      </c>
      <c r="N116" s="16">
        <f t="shared" si="1"/>
        <v>8.6978468608031196</v>
      </c>
      <c r="O116" s="4">
        <f>SUM(Table2[[#This Row],[Likes]],Table2[[#This Row],[Shares]],Table2[[#This Row],[Comments]])</f>
        <v>4997</v>
      </c>
      <c r="P11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16" s="20">
        <f>Table2[[#This Row],[Net_Engagement]]/Table2[[#This Row],[Total_Budget]]</f>
        <v>3.1231249999999999E-2</v>
      </c>
      <c r="R11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1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17" spans="1:19" ht="15.75" customHeight="1">
      <c r="A117" s="3" t="s">
        <v>156</v>
      </c>
      <c r="B117" s="3" t="s">
        <v>14</v>
      </c>
      <c r="C117" s="5">
        <v>45781</v>
      </c>
      <c r="D117" s="3" t="s">
        <v>25</v>
      </c>
      <c r="E117" s="3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3" t="s">
        <v>42</v>
      </c>
      <c r="M117" s="3" t="s">
        <v>55</v>
      </c>
      <c r="N117" s="16">
        <f t="shared" si="1"/>
        <v>4.9881554861634543</v>
      </c>
      <c r="O117" s="4">
        <f>SUM(Table2[[#This Row],[Likes]],Table2[[#This Row],[Shares]],Table2[[#This Row],[Comments]])</f>
        <v>1853</v>
      </c>
      <c r="P11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17" s="20">
        <f>Table2[[#This Row],[Net_Engagement]]/Table2[[#This Row],[Total_Budget]]</f>
        <v>8.235555555555555E-3</v>
      </c>
      <c r="R11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1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18" spans="1:19" ht="15.75" customHeight="1">
      <c r="A118" s="3" t="s">
        <v>157</v>
      </c>
      <c r="B118" s="3" t="s">
        <v>14</v>
      </c>
      <c r="C118" s="5">
        <v>45340</v>
      </c>
      <c r="D118" s="3" t="s">
        <v>25</v>
      </c>
      <c r="E118" s="3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3" t="s">
        <v>42</v>
      </c>
      <c r="M118" s="3" t="s">
        <v>55</v>
      </c>
      <c r="N118" s="16">
        <f t="shared" si="1"/>
        <v>3.4977365592309386</v>
      </c>
      <c r="O118" s="4">
        <f>SUM(Table2[[#This Row],[Likes]],Table2[[#This Row],[Shares]],Table2[[#This Row],[Comments]])</f>
        <v>2063</v>
      </c>
      <c r="P11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18" s="20">
        <f>Table2[[#This Row],[Net_Engagement]]/Table2[[#This Row],[Total_Budget]]</f>
        <v>9.1688888888888896E-3</v>
      </c>
      <c r="R11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1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19" spans="1:19" ht="15.75" customHeight="1">
      <c r="A119" s="3" t="s">
        <v>158</v>
      </c>
      <c r="B119" s="3" t="s">
        <v>24</v>
      </c>
      <c r="C119" s="5">
        <v>45428</v>
      </c>
      <c r="D119" s="3" t="s">
        <v>25</v>
      </c>
      <c r="E119" s="3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3" t="s">
        <v>39</v>
      </c>
      <c r="M119" s="3" t="s">
        <v>18</v>
      </c>
      <c r="N119" s="16">
        <f t="shared" si="1"/>
        <v>4.119286919521679</v>
      </c>
      <c r="O119" s="4">
        <f>SUM(Table2[[#This Row],[Likes]],Table2[[#This Row],[Shares]],Table2[[#This Row],[Comments]])</f>
        <v>2246</v>
      </c>
      <c r="P11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19" s="20">
        <f>Table2[[#This Row],[Net_Engagement]]/Table2[[#This Row],[Total_Budget]]</f>
        <v>1.123E-2</v>
      </c>
      <c r="R11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1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20" spans="1:19" ht="15.75" customHeight="1">
      <c r="A120" s="3" t="s">
        <v>159</v>
      </c>
      <c r="B120" s="3" t="s">
        <v>24</v>
      </c>
      <c r="C120" s="5">
        <v>45806</v>
      </c>
      <c r="D120" s="3" t="s">
        <v>25</v>
      </c>
      <c r="E120" s="3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3" t="s">
        <v>27</v>
      </c>
      <c r="M120" s="3" t="s">
        <v>18</v>
      </c>
      <c r="N120" s="16">
        <f t="shared" si="1"/>
        <v>5.7963823356939868</v>
      </c>
      <c r="O120" s="4">
        <f>SUM(Table2[[#This Row],[Likes]],Table2[[#This Row],[Shares]],Table2[[#This Row],[Comments]])</f>
        <v>2570</v>
      </c>
      <c r="P12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20" s="20">
        <f>Table2[[#This Row],[Net_Engagement]]/Table2[[#This Row],[Total_Budget]]</f>
        <v>1.285E-2</v>
      </c>
      <c r="R12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2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21" spans="1:19" ht="15.75" customHeight="1">
      <c r="A121" s="3" t="s">
        <v>160</v>
      </c>
      <c r="B121" s="3" t="s">
        <v>14</v>
      </c>
      <c r="C121" s="5">
        <v>45674</v>
      </c>
      <c r="D121" s="3" t="s">
        <v>15</v>
      </c>
      <c r="E121" s="3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3" t="s">
        <v>21</v>
      </c>
      <c r="M121" s="3" t="s">
        <v>22</v>
      </c>
      <c r="N121" s="16">
        <f t="shared" si="1"/>
        <v>4.7099090384865789</v>
      </c>
      <c r="O121" s="4">
        <f>SUM(Table2[[#This Row],[Likes]],Table2[[#This Row],[Shares]],Table2[[#This Row],[Comments]])</f>
        <v>2532</v>
      </c>
      <c r="P12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21" s="20">
        <f>Table2[[#This Row],[Net_Engagement]]/Table2[[#This Row],[Total_Budget]]</f>
        <v>1.5824999999999999E-2</v>
      </c>
      <c r="R12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2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22" spans="1:19" ht="15.75" customHeight="1">
      <c r="A122" s="3" t="s">
        <v>161</v>
      </c>
      <c r="B122" s="3" t="s">
        <v>14</v>
      </c>
      <c r="C122" s="5">
        <v>45777</v>
      </c>
      <c r="D122" s="3" t="s">
        <v>25</v>
      </c>
      <c r="E122" s="3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3" t="s">
        <v>42</v>
      </c>
      <c r="M122" s="3" t="s">
        <v>55</v>
      </c>
      <c r="N122" s="16">
        <f t="shared" si="1"/>
        <v>9.3980281287635989</v>
      </c>
      <c r="O122" s="4">
        <f>SUM(Table2[[#This Row],[Likes]],Table2[[#This Row],[Shares]],Table2[[#This Row],[Comments]])</f>
        <v>4604</v>
      </c>
      <c r="P12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22" s="20">
        <f>Table2[[#This Row],[Net_Engagement]]/Table2[[#This Row],[Total_Budget]]</f>
        <v>2.0462222222222222E-2</v>
      </c>
      <c r="R12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2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23" spans="1:19" ht="15.75" customHeight="1">
      <c r="A123" s="3" t="s">
        <v>162</v>
      </c>
      <c r="B123" s="3" t="s">
        <v>24</v>
      </c>
      <c r="C123" s="5">
        <v>45346</v>
      </c>
      <c r="D123" s="3" t="s">
        <v>25</v>
      </c>
      <c r="E123" s="3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3" t="s">
        <v>39</v>
      </c>
      <c r="M123" s="3" t="s">
        <v>18</v>
      </c>
      <c r="N123" s="16">
        <f t="shared" si="1"/>
        <v>3.5847516903707159</v>
      </c>
      <c r="O123" s="4">
        <f>SUM(Table2[[#This Row],[Likes]],Table2[[#This Row],[Shares]],Table2[[#This Row],[Comments]])</f>
        <v>1845</v>
      </c>
      <c r="P12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23" s="20">
        <f>Table2[[#This Row],[Net_Engagement]]/Table2[[#This Row],[Total_Budget]]</f>
        <v>9.2250000000000006E-3</v>
      </c>
      <c r="R12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2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24" spans="1:19" ht="15.75" customHeight="1">
      <c r="A124" s="3" t="s">
        <v>163</v>
      </c>
      <c r="B124" s="3" t="s">
        <v>31</v>
      </c>
      <c r="C124" s="5">
        <v>45424</v>
      </c>
      <c r="D124" s="3" t="s">
        <v>15</v>
      </c>
      <c r="E124" s="3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3" t="s">
        <v>33</v>
      </c>
      <c r="M124" s="3" t="s">
        <v>22</v>
      </c>
      <c r="N124" s="16">
        <f t="shared" si="1"/>
        <v>5.8764788517847775</v>
      </c>
      <c r="O124" s="4">
        <f>SUM(Table2[[#This Row],[Likes]],Table2[[#This Row],[Shares]],Table2[[#This Row],[Comments]])</f>
        <v>3472</v>
      </c>
      <c r="P12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24" s="20">
        <f>Table2[[#This Row],[Net_Engagement]]/Table2[[#This Row],[Total_Budget]]</f>
        <v>2.1700000000000001E-2</v>
      </c>
      <c r="R12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2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25" spans="1:19" ht="15.75" customHeight="1">
      <c r="A125" s="3" t="s">
        <v>164</v>
      </c>
      <c r="B125" s="3" t="s">
        <v>24</v>
      </c>
      <c r="C125" s="5">
        <v>45421</v>
      </c>
      <c r="D125" s="3" t="s">
        <v>25</v>
      </c>
      <c r="E125" s="3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3" t="s">
        <v>17</v>
      </c>
      <c r="M125" s="3" t="s">
        <v>18</v>
      </c>
      <c r="N125" s="16">
        <f t="shared" si="1"/>
        <v>8.545587981350371</v>
      </c>
      <c r="O125" s="4">
        <f>SUM(Table2[[#This Row],[Likes]],Table2[[#This Row],[Shares]],Table2[[#This Row],[Comments]])</f>
        <v>3959</v>
      </c>
      <c r="P12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25" s="20">
        <f>Table2[[#This Row],[Net_Engagement]]/Table2[[#This Row],[Total_Budget]]</f>
        <v>1.9795E-2</v>
      </c>
      <c r="R12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2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26" spans="1:19" ht="15.75" customHeight="1">
      <c r="A126" s="3" t="s">
        <v>165</v>
      </c>
      <c r="B126" s="3" t="s">
        <v>24</v>
      </c>
      <c r="C126" s="5">
        <v>45602</v>
      </c>
      <c r="D126" s="3" t="s">
        <v>15</v>
      </c>
      <c r="E126" s="3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3" t="s">
        <v>42</v>
      </c>
      <c r="M126" s="3" t="s">
        <v>18</v>
      </c>
      <c r="N126" s="16">
        <f t="shared" si="1"/>
        <v>11.041472996071612</v>
      </c>
      <c r="O126" s="4">
        <f>SUM(Table2[[#This Row],[Likes]],Table2[[#This Row],[Shares]],Table2[[#This Row],[Comments]])</f>
        <v>3682</v>
      </c>
      <c r="P12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26" s="20">
        <f>Table2[[#This Row],[Net_Engagement]]/Table2[[#This Row],[Total_Budget]]</f>
        <v>1.8409999999999999E-2</v>
      </c>
      <c r="R12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2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27" spans="1:19" ht="15.75" customHeight="1">
      <c r="A127" s="3" t="s">
        <v>166</v>
      </c>
      <c r="B127" s="3" t="s">
        <v>24</v>
      </c>
      <c r="C127" s="5">
        <v>45295</v>
      </c>
      <c r="D127" s="3" t="s">
        <v>25</v>
      </c>
      <c r="E127" s="3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3" t="s">
        <v>27</v>
      </c>
      <c r="M127" s="3" t="s">
        <v>18</v>
      </c>
      <c r="N127" s="16">
        <f t="shared" si="1"/>
        <v>7.064131830503638</v>
      </c>
      <c r="O127" s="4">
        <f>SUM(Table2[[#This Row],[Likes]],Table2[[#This Row],[Shares]],Table2[[#This Row],[Comments]])</f>
        <v>3961</v>
      </c>
      <c r="P12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27" s="20">
        <f>Table2[[#This Row],[Net_Engagement]]/Table2[[#This Row],[Total_Budget]]</f>
        <v>1.9805E-2</v>
      </c>
      <c r="R12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2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28" spans="1:19" ht="15.75" customHeight="1">
      <c r="A128" s="3" t="s">
        <v>167</v>
      </c>
      <c r="B128" s="3" t="s">
        <v>24</v>
      </c>
      <c r="C128" s="5">
        <v>45319</v>
      </c>
      <c r="D128" s="3" t="s">
        <v>15</v>
      </c>
      <c r="E128" s="3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3" t="s">
        <v>45</v>
      </c>
      <c r="M128" s="3" t="s">
        <v>22</v>
      </c>
      <c r="N128" s="16">
        <f t="shared" si="1"/>
        <v>3.4738711788351875</v>
      </c>
      <c r="O128" s="4">
        <f>SUM(Table2[[#This Row],[Likes]],Table2[[#This Row],[Shares]],Table2[[#This Row],[Comments]])</f>
        <v>1858</v>
      </c>
      <c r="P12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28" s="20">
        <f>Table2[[#This Row],[Net_Engagement]]/Table2[[#This Row],[Total_Budget]]</f>
        <v>1.16125E-2</v>
      </c>
      <c r="R12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2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29" spans="1:19" ht="15.75" customHeight="1">
      <c r="A129" s="3" t="s">
        <v>168</v>
      </c>
      <c r="B129" s="3" t="s">
        <v>14</v>
      </c>
      <c r="C129" s="5">
        <v>45344</v>
      </c>
      <c r="D129" s="3" t="s">
        <v>15</v>
      </c>
      <c r="E129" s="3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3" t="s">
        <v>17</v>
      </c>
      <c r="M129" s="3" t="s">
        <v>18</v>
      </c>
      <c r="N129" s="16">
        <f t="shared" si="1"/>
        <v>10.461100954702417</v>
      </c>
      <c r="O129" s="4">
        <f>SUM(Table2[[#This Row],[Likes]],Table2[[#This Row],[Shares]],Table2[[#This Row],[Comments]])</f>
        <v>2575</v>
      </c>
      <c r="P12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29" s="20">
        <f>Table2[[#This Row],[Net_Engagement]]/Table2[[#This Row],[Total_Budget]]</f>
        <v>1.2874999999999999E-2</v>
      </c>
      <c r="R12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2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30" spans="1:19" ht="15.75" customHeight="1">
      <c r="A130" s="3" t="s">
        <v>169</v>
      </c>
      <c r="B130" s="3" t="s">
        <v>24</v>
      </c>
      <c r="C130" s="5">
        <v>45839</v>
      </c>
      <c r="D130" s="3" t="s">
        <v>25</v>
      </c>
      <c r="E130" s="3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3" t="s">
        <v>39</v>
      </c>
      <c r="M130" s="3" t="s">
        <v>18</v>
      </c>
      <c r="N130" s="16">
        <f t="shared" si="1"/>
        <v>7.9993453221219744</v>
      </c>
      <c r="O130" s="4">
        <f>SUM(Table2[[#This Row],[Likes]],Table2[[#This Row],[Shares]],Table2[[#This Row],[Comments]])</f>
        <v>3910</v>
      </c>
      <c r="P13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30" s="20">
        <f>Table2[[#This Row],[Net_Engagement]]/Table2[[#This Row],[Total_Budget]]</f>
        <v>1.9550000000000001E-2</v>
      </c>
      <c r="R13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3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31" spans="1:19" ht="15.75" customHeight="1">
      <c r="A131" s="3" t="s">
        <v>170</v>
      </c>
      <c r="B131" s="3" t="s">
        <v>31</v>
      </c>
      <c r="C131" s="5">
        <v>45301</v>
      </c>
      <c r="D131" s="3" t="s">
        <v>15</v>
      </c>
      <c r="E131" s="3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3" t="s">
        <v>33</v>
      </c>
      <c r="M131" s="3" t="s">
        <v>22</v>
      </c>
      <c r="N131" s="16">
        <f t="shared" ref="N131:N194" si="2">((F131+G131+H131)/I131)*100</f>
        <v>2.8119155757413838</v>
      </c>
      <c r="O131" s="4">
        <f>SUM(Table2[[#This Row],[Likes]],Table2[[#This Row],[Shares]],Table2[[#This Row],[Comments]])</f>
        <v>1684</v>
      </c>
      <c r="P13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31" s="20">
        <f>Table2[[#This Row],[Net_Engagement]]/Table2[[#This Row],[Total_Budget]]</f>
        <v>1.0525E-2</v>
      </c>
      <c r="R13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3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32" spans="1:19" ht="15.75" customHeight="1">
      <c r="A132" s="3" t="s">
        <v>171</v>
      </c>
      <c r="B132" s="3" t="s">
        <v>24</v>
      </c>
      <c r="C132" s="5">
        <v>45736</v>
      </c>
      <c r="D132" s="3" t="s">
        <v>15</v>
      </c>
      <c r="E132" s="3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3" t="s">
        <v>45</v>
      </c>
      <c r="M132" s="3" t="s">
        <v>22</v>
      </c>
      <c r="N132" s="16">
        <f t="shared" si="2"/>
        <v>5.4592988710635764</v>
      </c>
      <c r="O132" s="4">
        <f>SUM(Table2[[#This Row],[Likes]],Table2[[#This Row],[Shares]],Table2[[#This Row],[Comments]])</f>
        <v>2297</v>
      </c>
      <c r="P13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32" s="20">
        <f>Table2[[#This Row],[Net_Engagement]]/Table2[[#This Row],[Total_Budget]]</f>
        <v>1.4356249999999999E-2</v>
      </c>
      <c r="R13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3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33" spans="1:19" ht="15.75" customHeight="1">
      <c r="A133" s="3" t="s">
        <v>172</v>
      </c>
      <c r="B133" s="3" t="s">
        <v>24</v>
      </c>
      <c r="C133" s="5">
        <v>45563</v>
      </c>
      <c r="D133" s="3" t="s">
        <v>15</v>
      </c>
      <c r="E133" s="3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3" t="s">
        <v>42</v>
      </c>
      <c r="M133" s="3" t="s">
        <v>18</v>
      </c>
      <c r="N133" s="16">
        <f t="shared" si="2"/>
        <v>9.2466575934672957</v>
      </c>
      <c r="O133" s="4">
        <f>SUM(Table2[[#This Row],[Likes]],Table2[[#This Row],[Shares]],Table2[[#This Row],[Comments]])</f>
        <v>4620</v>
      </c>
      <c r="P13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33" s="20">
        <f>Table2[[#This Row],[Net_Engagement]]/Table2[[#This Row],[Total_Budget]]</f>
        <v>2.3099999999999999E-2</v>
      </c>
      <c r="R13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3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34" spans="1:19" ht="15.75" customHeight="1">
      <c r="A134" s="3" t="s">
        <v>173</v>
      </c>
      <c r="B134" s="3" t="s">
        <v>31</v>
      </c>
      <c r="C134" s="5">
        <v>45318</v>
      </c>
      <c r="D134" s="3" t="s">
        <v>15</v>
      </c>
      <c r="E134" s="3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3" t="s">
        <v>33</v>
      </c>
      <c r="M134" s="3" t="s">
        <v>22</v>
      </c>
      <c r="N134" s="16">
        <f t="shared" si="2"/>
        <v>4.7508511296812133</v>
      </c>
      <c r="O134" s="4">
        <f>SUM(Table2[[#This Row],[Likes]],Table2[[#This Row],[Shares]],Table2[[#This Row],[Comments]])</f>
        <v>2456</v>
      </c>
      <c r="P13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34" s="20">
        <f>Table2[[#This Row],[Net_Engagement]]/Table2[[#This Row],[Total_Budget]]</f>
        <v>1.5350000000000001E-2</v>
      </c>
      <c r="R13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3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35" spans="1:19" ht="15.75" customHeight="1">
      <c r="A135" s="3" t="s">
        <v>174</v>
      </c>
      <c r="B135" s="3" t="s">
        <v>24</v>
      </c>
      <c r="C135" s="5">
        <v>45792</v>
      </c>
      <c r="D135" s="3" t="s">
        <v>15</v>
      </c>
      <c r="E135" s="3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3" t="s">
        <v>42</v>
      </c>
      <c r="M135" s="3" t="s">
        <v>18</v>
      </c>
      <c r="N135" s="16">
        <f t="shared" si="2"/>
        <v>7.4861184558434681</v>
      </c>
      <c r="O135" s="4">
        <f>SUM(Table2[[#This Row],[Likes]],Table2[[#This Row],[Shares]],Table2[[#This Row],[Comments]])</f>
        <v>2265</v>
      </c>
      <c r="P13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35" s="20">
        <f>Table2[[#This Row],[Net_Engagement]]/Table2[[#This Row],[Total_Budget]]</f>
        <v>1.1325E-2</v>
      </c>
      <c r="R13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3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36" spans="1:19" ht="15.75" customHeight="1">
      <c r="A136" s="3" t="s">
        <v>175</v>
      </c>
      <c r="B136" s="3" t="s">
        <v>24</v>
      </c>
      <c r="C136" s="5">
        <v>45569</v>
      </c>
      <c r="D136" s="3" t="s">
        <v>25</v>
      </c>
      <c r="E136" s="3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3" t="s">
        <v>27</v>
      </c>
      <c r="M136" s="3" t="s">
        <v>18</v>
      </c>
      <c r="N136" s="16">
        <f t="shared" si="2"/>
        <v>9.6834214933149045</v>
      </c>
      <c r="O136" s="4">
        <f>SUM(Table2[[#This Row],[Likes]],Table2[[#This Row],[Shares]],Table2[[#This Row],[Comments]])</f>
        <v>3643</v>
      </c>
      <c r="P13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36" s="20">
        <f>Table2[[#This Row],[Net_Engagement]]/Table2[[#This Row],[Total_Budget]]</f>
        <v>1.8214999999999999E-2</v>
      </c>
      <c r="R13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3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37" spans="1:19" ht="15.75" customHeight="1">
      <c r="A137" s="3" t="s">
        <v>176</v>
      </c>
      <c r="B137" s="3" t="s">
        <v>24</v>
      </c>
      <c r="C137" s="5">
        <v>45615</v>
      </c>
      <c r="D137" s="3" t="s">
        <v>15</v>
      </c>
      <c r="E137" s="3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3" t="s">
        <v>42</v>
      </c>
      <c r="M137" s="3" t="s">
        <v>18</v>
      </c>
      <c r="N137" s="16">
        <f t="shared" si="2"/>
        <v>18.723441538528935</v>
      </c>
      <c r="O137" s="4">
        <f>SUM(Table2[[#This Row],[Likes]],Table2[[#This Row],[Shares]],Table2[[#This Row],[Comments]])</f>
        <v>4274</v>
      </c>
      <c r="P13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37" s="20">
        <f>Table2[[#This Row],[Net_Engagement]]/Table2[[#This Row],[Total_Budget]]</f>
        <v>2.137E-2</v>
      </c>
      <c r="R13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3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38" spans="1:19" ht="15.75" customHeight="1">
      <c r="A138" s="3" t="s">
        <v>177</v>
      </c>
      <c r="B138" s="3" t="s">
        <v>24</v>
      </c>
      <c r="C138" s="5">
        <v>45387</v>
      </c>
      <c r="D138" s="3" t="s">
        <v>25</v>
      </c>
      <c r="E138" s="3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3" t="s">
        <v>17</v>
      </c>
      <c r="M138" s="3" t="s">
        <v>18</v>
      </c>
      <c r="N138" s="16">
        <f t="shared" si="2"/>
        <v>16.610252187966946</v>
      </c>
      <c r="O138" s="4">
        <f>SUM(Table2[[#This Row],[Likes]],Table2[[#This Row],[Shares]],Table2[[#This Row],[Comments]])</f>
        <v>5447</v>
      </c>
      <c r="P13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38" s="20">
        <f>Table2[[#This Row],[Net_Engagement]]/Table2[[#This Row],[Total_Budget]]</f>
        <v>2.7234999999999999E-2</v>
      </c>
      <c r="R13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3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39" spans="1:19" ht="15.75" customHeight="1">
      <c r="A139" s="3" t="s">
        <v>178</v>
      </c>
      <c r="B139" s="3" t="s">
        <v>24</v>
      </c>
      <c r="C139" s="5">
        <v>45624</v>
      </c>
      <c r="D139" s="3" t="s">
        <v>25</v>
      </c>
      <c r="E139" s="3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3" t="s">
        <v>39</v>
      </c>
      <c r="M139" s="3" t="s">
        <v>18</v>
      </c>
      <c r="N139" s="16">
        <f t="shared" si="2"/>
        <v>2.7809319322005903</v>
      </c>
      <c r="O139" s="4">
        <f>SUM(Table2[[#This Row],[Likes]],Table2[[#This Row],[Shares]],Table2[[#This Row],[Comments]])</f>
        <v>1347</v>
      </c>
      <c r="P13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39" s="20">
        <f>Table2[[#This Row],[Net_Engagement]]/Table2[[#This Row],[Total_Budget]]</f>
        <v>6.7349999999999997E-3</v>
      </c>
      <c r="R13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3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40" spans="1:19" ht="15.75" customHeight="1">
      <c r="A140" s="3" t="s">
        <v>179</v>
      </c>
      <c r="B140" s="3" t="s">
        <v>24</v>
      </c>
      <c r="C140" s="5">
        <v>45725</v>
      </c>
      <c r="D140" s="3" t="s">
        <v>15</v>
      </c>
      <c r="E140" s="3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3" t="s">
        <v>42</v>
      </c>
      <c r="M140" s="3" t="s">
        <v>18</v>
      </c>
      <c r="N140" s="16">
        <f t="shared" si="2"/>
        <v>11.645414595490239</v>
      </c>
      <c r="O140" s="4">
        <f>SUM(Table2[[#This Row],[Likes]],Table2[[#This Row],[Shares]],Table2[[#This Row],[Comments]])</f>
        <v>3233</v>
      </c>
      <c r="P14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40" s="20">
        <f>Table2[[#This Row],[Net_Engagement]]/Table2[[#This Row],[Total_Budget]]</f>
        <v>1.6164999999999999E-2</v>
      </c>
      <c r="R14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4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41" spans="1:19" ht="15.75" customHeight="1">
      <c r="A141" s="3" t="s">
        <v>180</v>
      </c>
      <c r="B141" s="3" t="s">
        <v>24</v>
      </c>
      <c r="C141" s="5">
        <v>45531</v>
      </c>
      <c r="D141" s="3" t="s">
        <v>25</v>
      </c>
      <c r="E141" s="3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3" t="s">
        <v>27</v>
      </c>
      <c r="M141" s="3" t="s">
        <v>18</v>
      </c>
      <c r="N141" s="16">
        <f t="shared" si="2"/>
        <v>8.7025961669158622</v>
      </c>
      <c r="O141" s="4">
        <f>SUM(Table2[[#This Row],[Likes]],Table2[[#This Row],[Shares]],Table2[[#This Row],[Comments]])</f>
        <v>2561</v>
      </c>
      <c r="P14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41" s="20">
        <f>Table2[[#This Row],[Net_Engagement]]/Table2[[#This Row],[Total_Budget]]</f>
        <v>1.2805E-2</v>
      </c>
      <c r="R14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4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42" spans="1:19" ht="15.75" customHeight="1">
      <c r="A142" s="3" t="s">
        <v>181</v>
      </c>
      <c r="B142" s="3" t="s">
        <v>31</v>
      </c>
      <c r="C142" s="5">
        <v>45566</v>
      </c>
      <c r="D142" s="3" t="s">
        <v>57</v>
      </c>
      <c r="E142" s="3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3" t="s">
        <v>58</v>
      </c>
      <c r="M142" s="3" t="s">
        <v>59</v>
      </c>
      <c r="N142" s="16">
        <f t="shared" si="2"/>
        <v>7.059492819832089</v>
      </c>
      <c r="O142" s="4">
        <f>SUM(Table2[[#This Row],[Likes]],Table2[[#This Row],[Shares]],Table2[[#This Row],[Comments]])</f>
        <v>4095</v>
      </c>
      <c r="P14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42" s="20">
        <f>Table2[[#This Row],[Net_Engagement]]/Table2[[#This Row],[Total_Budget]]</f>
        <v>2.3400000000000001E-2</v>
      </c>
      <c r="R14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4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43" spans="1:19" ht="15.75" customHeight="1">
      <c r="A143" s="3" t="s">
        <v>182</v>
      </c>
      <c r="B143" s="3" t="s">
        <v>14</v>
      </c>
      <c r="C143" s="5">
        <v>45647</v>
      </c>
      <c r="D143" s="3" t="s">
        <v>25</v>
      </c>
      <c r="E143" s="3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3" t="s">
        <v>42</v>
      </c>
      <c r="M143" s="3" t="s">
        <v>55</v>
      </c>
      <c r="N143" s="16">
        <f t="shared" si="2"/>
        <v>11.731037798484397</v>
      </c>
      <c r="O143" s="4">
        <f>SUM(Table2[[#This Row],[Likes]],Table2[[#This Row],[Shares]],Table2[[#This Row],[Comments]])</f>
        <v>5124</v>
      </c>
      <c r="P14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43" s="20">
        <f>Table2[[#This Row],[Net_Engagement]]/Table2[[#This Row],[Total_Budget]]</f>
        <v>2.2773333333333333E-2</v>
      </c>
      <c r="R14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4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44" spans="1:19" ht="15.75" customHeight="1">
      <c r="A144" s="3" t="s">
        <v>183</v>
      </c>
      <c r="B144" s="3" t="s">
        <v>14</v>
      </c>
      <c r="C144" s="5">
        <v>45460</v>
      </c>
      <c r="D144" s="3" t="s">
        <v>15</v>
      </c>
      <c r="E144" s="3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3" t="s">
        <v>21</v>
      </c>
      <c r="M144" s="3" t="s">
        <v>22</v>
      </c>
      <c r="N144" s="16">
        <f t="shared" si="2"/>
        <v>9.2634518149573619</v>
      </c>
      <c r="O144" s="4">
        <f>SUM(Table2[[#This Row],[Likes]],Table2[[#This Row],[Shares]],Table2[[#This Row],[Comments]])</f>
        <v>4910</v>
      </c>
      <c r="P14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44" s="20">
        <f>Table2[[#This Row],[Net_Engagement]]/Table2[[#This Row],[Total_Budget]]</f>
        <v>3.06875E-2</v>
      </c>
      <c r="R14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4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45" spans="1:19" ht="15.75" customHeight="1">
      <c r="A145" s="3" t="s">
        <v>184</v>
      </c>
      <c r="B145" s="3" t="s">
        <v>14</v>
      </c>
      <c r="C145" s="5">
        <v>45702</v>
      </c>
      <c r="D145" s="3" t="s">
        <v>15</v>
      </c>
      <c r="E145" s="3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3" t="s">
        <v>17</v>
      </c>
      <c r="M145" s="3" t="s">
        <v>18</v>
      </c>
      <c r="N145" s="16">
        <f t="shared" si="2"/>
        <v>6.0370736430199488</v>
      </c>
      <c r="O145" s="4">
        <f>SUM(Table2[[#This Row],[Likes]],Table2[[#This Row],[Shares]],Table2[[#This Row],[Comments]])</f>
        <v>2993</v>
      </c>
      <c r="P14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45" s="20">
        <f>Table2[[#This Row],[Net_Engagement]]/Table2[[#This Row],[Total_Budget]]</f>
        <v>1.4964999999999999E-2</v>
      </c>
      <c r="R14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4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46" spans="1:19" ht="15.75" customHeight="1">
      <c r="A146" s="3" t="s">
        <v>185</v>
      </c>
      <c r="B146" s="3" t="s">
        <v>24</v>
      </c>
      <c r="C146" s="5">
        <v>45805</v>
      </c>
      <c r="D146" s="3" t="s">
        <v>25</v>
      </c>
      <c r="E146" s="3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3" t="s">
        <v>27</v>
      </c>
      <c r="M146" s="3" t="s">
        <v>18</v>
      </c>
      <c r="N146" s="16">
        <f t="shared" si="2"/>
        <v>11.477740733477154</v>
      </c>
      <c r="O146" s="4">
        <f>SUM(Table2[[#This Row],[Likes]],Table2[[#This Row],[Shares]],Table2[[#This Row],[Comments]])</f>
        <v>4682</v>
      </c>
      <c r="P14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46" s="20">
        <f>Table2[[#This Row],[Net_Engagement]]/Table2[[#This Row],[Total_Budget]]</f>
        <v>2.341E-2</v>
      </c>
      <c r="R14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4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47" spans="1:19" ht="15.75" customHeight="1">
      <c r="A147" s="3" t="s">
        <v>186</v>
      </c>
      <c r="B147" s="3" t="s">
        <v>14</v>
      </c>
      <c r="C147" s="5">
        <v>45799</v>
      </c>
      <c r="D147" s="3" t="s">
        <v>15</v>
      </c>
      <c r="E147" s="3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3" t="s">
        <v>21</v>
      </c>
      <c r="M147" s="3" t="s">
        <v>22</v>
      </c>
      <c r="N147" s="16">
        <f t="shared" si="2"/>
        <v>8.1504318676747669</v>
      </c>
      <c r="O147" s="4">
        <f>SUM(Table2[[#This Row],[Likes]],Table2[[#This Row],[Shares]],Table2[[#This Row],[Comments]])</f>
        <v>3331</v>
      </c>
      <c r="P14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47" s="20">
        <f>Table2[[#This Row],[Net_Engagement]]/Table2[[#This Row],[Total_Budget]]</f>
        <v>2.081875E-2</v>
      </c>
      <c r="R14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4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48" spans="1:19" ht="15.75" customHeight="1">
      <c r="A148" s="3" t="s">
        <v>187</v>
      </c>
      <c r="B148" s="3" t="s">
        <v>24</v>
      </c>
      <c r="C148" s="5">
        <v>45312</v>
      </c>
      <c r="D148" s="3" t="s">
        <v>25</v>
      </c>
      <c r="E148" s="3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3" t="s">
        <v>27</v>
      </c>
      <c r="M148" s="3" t="s">
        <v>18</v>
      </c>
      <c r="N148" s="16">
        <f t="shared" si="2"/>
        <v>7.1988159338556148</v>
      </c>
      <c r="O148" s="4">
        <f>SUM(Table2[[#This Row],[Likes]],Table2[[#This Row],[Shares]],Table2[[#This Row],[Comments]])</f>
        <v>2821</v>
      </c>
      <c r="P14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48" s="20">
        <f>Table2[[#This Row],[Net_Engagement]]/Table2[[#This Row],[Total_Budget]]</f>
        <v>1.4104999999999999E-2</v>
      </c>
      <c r="R14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4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49" spans="1:19" ht="15.75" customHeight="1">
      <c r="A149" s="3" t="s">
        <v>188</v>
      </c>
      <c r="B149" s="3" t="s">
        <v>24</v>
      </c>
      <c r="C149" s="5">
        <v>45696</v>
      </c>
      <c r="D149" s="3" t="s">
        <v>25</v>
      </c>
      <c r="E149" s="3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3" t="s">
        <v>39</v>
      </c>
      <c r="M149" s="3" t="s">
        <v>18</v>
      </c>
      <c r="N149" s="16">
        <f t="shared" si="2"/>
        <v>10.708707332819627</v>
      </c>
      <c r="O149" s="4">
        <f>SUM(Table2[[#This Row],[Likes]],Table2[[#This Row],[Shares]],Table2[[#This Row],[Comments]])</f>
        <v>5142</v>
      </c>
      <c r="P14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49" s="20">
        <f>Table2[[#This Row],[Net_Engagement]]/Table2[[#This Row],[Total_Budget]]</f>
        <v>2.571E-2</v>
      </c>
      <c r="R14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4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50" spans="1:19" ht="15.75" customHeight="1">
      <c r="A150" s="3" t="s">
        <v>189</v>
      </c>
      <c r="B150" s="3" t="s">
        <v>24</v>
      </c>
      <c r="C150" s="5">
        <v>45760</v>
      </c>
      <c r="D150" s="3" t="s">
        <v>15</v>
      </c>
      <c r="E150" s="3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3" t="s">
        <v>45</v>
      </c>
      <c r="M150" s="3" t="s">
        <v>22</v>
      </c>
      <c r="N150" s="16">
        <f t="shared" si="2"/>
        <v>8.1341895638137345</v>
      </c>
      <c r="O150" s="4">
        <f>SUM(Table2[[#This Row],[Likes]],Table2[[#This Row],[Shares]],Table2[[#This Row],[Comments]])</f>
        <v>4636</v>
      </c>
      <c r="P15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50" s="20">
        <f>Table2[[#This Row],[Net_Engagement]]/Table2[[#This Row],[Total_Budget]]</f>
        <v>2.8975000000000001E-2</v>
      </c>
      <c r="R15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5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51" spans="1:19" ht="15.75" customHeight="1">
      <c r="A151" s="3" t="s">
        <v>190</v>
      </c>
      <c r="B151" s="3" t="s">
        <v>24</v>
      </c>
      <c r="C151" s="5">
        <v>45442</v>
      </c>
      <c r="D151" s="3" t="s">
        <v>25</v>
      </c>
      <c r="E151" s="3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3" t="s">
        <v>27</v>
      </c>
      <c r="M151" s="3" t="s">
        <v>18</v>
      </c>
      <c r="N151" s="16">
        <f t="shared" si="2"/>
        <v>9.4928992718046725</v>
      </c>
      <c r="O151" s="4">
        <f>SUM(Table2[[#This Row],[Likes]],Table2[[#This Row],[Shares]],Table2[[#This Row],[Comments]])</f>
        <v>2881</v>
      </c>
      <c r="P15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51" s="20">
        <f>Table2[[#This Row],[Net_Engagement]]/Table2[[#This Row],[Total_Budget]]</f>
        <v>1.4404999999999999E-2</v>
      </c>
      <c r="R15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5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52" spans="1:19" ht="15.75" customHeight="1">
      <c r="A152" s="3" t="s">
        <v>191</v>
      </c>
      <c r="B152" s="3" t="s">
        <v>14</v>
      </c>
      <c r="C152" s="5">
        <v>45516</v>
      </c>
      <c r="D152" s="3" t="s">
        <v>25</v>
      </c>
      <c r="E152" s="3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3" t="s">
        <v>42</v>
      </c>
      <c r="M152" s="3" t="s">
        <v>55</v>
      </c>
      <c r="N152" s="16">
        <f t="shared" si="2"/>
        <v>6.9360859297630837</v>
      </c>
      <c r="O152" s="4">
        <f>SUM(Table2[[#This Row],[Likes]],Table2[[#This Row],[Shares]],Table2[[#This Row],[Comments]])</f>
        <v>3642</v>
      </c>
      <c r="P15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52" s="20">
        <f>Table2[[#This Row],[Net_Engagement]]/Table2[[#This Row],[Total_Budget]]</f>
        <v>1.6186666666666665E-2</v>
      </c>
      <c r="R15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5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53" spans="1:19" ht="15.75" customHeight="1">
      <c r="A153" s="3" t="s">
        <v>192</v>
      </c>
      <c r="B153" s="3" t="s">
        <v>14</v>
      </c>
      <c r="C153" s="5">
        <v>45562</v>
      </c>
      <c r="D153" s="3" t="s">
        <v>15</v>
      </c>
      <c r="E153" s="3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3" t="s">
        <v>21</v>
      </c>
      <c r="M153" s="3" t="s">
        <v>22</v>
      </c>
      <c r="N153" s="16">
        <f t="shared" si="2"/>
        <v>9.2425876010781671</v>
      </c>
      <c r="O153" s="4">
        <f>SUM(Table2[[#This Row],[Likes]],Table2[[#This Row],[Shares]],Table2[[#This Row],[Comments]])</f>
        <v>3429</v>
      </c>
      <c r="P15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53" s="20">
        <f>Table2[[#This Row],[Net_Engagement]]/Table2[[#This Row],[Total_Budget]]</f>
        <v>2.1431249999999999E-2</v>
      </c>
      <c r="R15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5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54" spans="1:19" ht="15.75" customHeight="1">
      <c r="A154" s="3" t="s">
        <v>193</v>
      </c>
      <c r="B154" s="3" t="s">
        <v>24</v>
      </c>
      <c r="C154" s="5">
        <v>45819</v>
      </c>
      <c r="D154" s="3" t="s">
        <v>25</v>
      </c>
      <c r="E154" s="3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3" t="s">
        <v>39</v>
      </c>
      <c r="M154" s="3" t="s">
        <v>18</v>
      </c>
      <c r="N154" s="16">
        <f t="shared" si="2"/>
        <v>8.2469701307376653</v>
      </c>
      <c r="O154" s="4">
        <f>SUM(Table2[[#This Row],[Likes]],Table2[[#This Row],[Shares]],Table2[[#This Row],[Comments]])</f>
        <v>4321</v>
      </c>
      <c r="P15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54" s="20">
        <f>Table2[[#This Row],[Net_Engagement]]/Table2[[#This Row],[Total_Budget]]</f>
        <v>2.1604999999999999E-2</v>
      </c>
      <c r="R15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5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55" spans="1:19" ht="15.75" customHeight="1">
      <c r="A155" s="3" t="s">
        <v>194</v>
      </c>
      <c r="B155" s="3" t="s">
        <v>14</v>
      </c>
      <c r="C155" s="5">
        <v>45615</v>
      </c>
      <c r="D155" s="3" t="s">
        <v>15</v>
      </c>
      <c r="E155" s="3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3" t="s">
        <v>21</v>
      </c>
      <c r="M155" s="3" t="s">
        <v>22</v>
      </c>
      <c r="N155" s="16">
        <f t="shared" si="2"/>
        <v>5.9585542168674701</v>
      </c>
      <c r="O155" s="4">
        <f>SUM(Table2[[#This Row],[Likes]],Table2[[#This Row],[Shares]],Table2[[#This Row],[Comments]])</f>
        <v>3091</v>
      </c>
      <c r="P15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55" s="20">
        <f>Table2[[#This Row],[Net_Engagement]]/Table2[[#This Row],[Total_Budget]]</f>
        <v>1.9318749999999999E-2</v>
      </c>
      <c r="R15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5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56" spans="1:19" ht="15.75" customHeight="1">
      <c r="A156" s="3" t="s">
        <v>195</v>
      </c>
      <c r="B156" s="3" t="s">
        <v>14</v>
      </c>
      <c r="C156" s="5">
        <v>45407</v>
      </c>
      <c r="D156" s="3" t="s">
        <v>15</v>
      </c>
      <c r="E156" s="3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3" t="s">
        <v>17</v>
      </c>
      <c r="M156" s="3" t="s">
        <v>18</v>
      </c>
      <c r="N156" s="16">
        <f t="shared" si="2"/>
        <v>10.400389436534015</v>
      </c>
      <c r="O156" s="4">
        <f>SUM(Table2[[#This Row],[Likes]],Table2[[#This Row],[Shares]],Table2[[#This Row],[Comments]])</f>
        <v>4273</v>
      </c>
      <c r="P15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56" s="20">
        <f>Table2[[#This Row],[Net_Engagement]]/Table2[[#This Row],[Total_Budget]]</f>
        <v>2.1364999999999999E-2</v>
      </c>
      <c r="R15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5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57" spans="1:19" ht="15.75" customHeight="1">
      <c r="A157" s="3" t="s">
        <v>196</v>
      </c>
      <c r="B157" s="3" t="s">
        <v>31</v>
      </c>
      <c r="C157" s="5">
        <v>45538</v>
      </c>
      <c r="D157" s="3" t="s">
        <v>57</v>
      </c>
      <c r="E157" s="3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3" t="s">
        <v>58</v>
      </c>
      <c r="M157" s="3" t="s">
        <v>59</v>
      </c>
      <c r="N157" s="16">
        <f t="shared" si="2"/>
        <v>3.8832755240536874</v>
      </c>
      <c r="O157" s="4">
        <f>SUM(Table2[[#This Row],[Likes]],Table2[[#This Row],[Shares]],Table2[[#This Row],[Comments]])</f>
        <v>2060</v>
      </c>
      <c r="P15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57" s="20">
        <f>Table2[[#This Row],[Net_Engagement]]/Table2[[#This Row],[Total_Budget]]</f>
        <v>1.1771428571428572E-2</v>
      </c>
      <c r="R15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5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58" spans="1:19" ht="15.75" customHeight="1">
      <c r="A158" s="3" t="s">
        <v>197</v>
      </c>
      <c r="B158" s="3" t="s">
        <v>31</v>
      </c>
      <c r="C158" s="5">
        <v>45718</v>
      </c>
      <c r="D158" s="3" t="s">
        <v>15</v>
      </c>
      <c r="E158" s="3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3" t="s">
        <v>33</v>
      </c>
      <c r="M158" s="3" t="s">
        <v>22</v>
      </c>
      <c r="N158" s="16">
        <f t="shared" si="2"/>
        <v>19.390491670052825</v>
      </c>
      <c r="O158" s="4">
        <f>SUM(Table2[[#This Row],[Likes]],Table2[[#This Row],[Shares]],Table2[[#This Row],[Comments]])</f>
        <v>4772</v>
      </c>
      <c r="P15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58" s="20">
        <f>Table2[[#This Row],[Net_Engagement]]/Table2[[#This Row],[Total_Budget]]</f>
        <v>2.9825000000000001E-2</v>
      </c>
      <c r="R15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5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59" spans="1:19" ht="15.75" customHeight="1">
      <c r="A159" s="3" t="s">
        <v>198</v>
      </c>
      <c r="B159" s="3" t="s">
        <v>24</v>
      </c>
      <c r="C159" s="5">
        <v>45737</v>
      </c>
      <c r="D159" s="3" t="s">
        <v>25</v>
      </c>
      <c r="E159" s="3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3" t="s">
        <v>39</v>
      </c>
      <c r="M159" s="3" t="s">
        <v>18</v>
      </c>
      <c r="N159" s="16">
        <f t="shared" si="2"/>
        <v>16.116683482699269</v>
      </c>
      <c r="O159" s="4">
        <f>SUM(Table2[[#This Row],[Likes]],Table2[[#This Row],[Shares]],Table2[[#This Row],[Comments]])</f>
        <v>5431</v>
      </c>
      <c r="P15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59" s="20">
        <f>Table2[[#This Row],[Net_Engagement]]/Table2[[#This Row],[Total_Budget]]</f>
        <v>2.7154999999999999E-2</v>
      </c>
      <c r="R15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5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60" spans="1:19" ht="15.75" customHeight="1">
      <c r="A160" s="3" t="s">
        <v>199</v>
      </c>
      <c r="B160" s="3" t="s">
        <v>14</v>
      </c>
      <c r="C160" s="5">
        <v>45394</v>
      </c>
      <c r="D160" s="3" t="s">
        <v>25</v>
      </c>
      <c r="E160" s="3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3" t="s">
        <v>42</v>
      </c>
      <c r="M160" s="3" t="s">
        <v>55</v>
      </c>
      <c r="N160" s="16">
        <f t="shared" si="2"/>
        <v>8.3133241487896079</v>
      </c>
      <c r="O160" s="4">
        <f>SUM(Table2[[#This Row],[Likes]],Table2[[#This Row],[Shares]],Table2[[#This Row],[Comments]])</f>
        <v>2112</v>
      </c>
      <c r="P16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60" s="20">
        <f>Table2[[#This Row],[Net_Engagement]]/Table2[[#This Row],[Total_Budget]]</f>
        <v>9.3866666666666664E-3</v>
      </c>
      <c r="R16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6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61" spans="1:19" ht="15.75" customHeight="1">
      <c r="A161" s="3" t="s">
        <v>200</v>
      </c>
      <c r="B161" s="3" t="s">
        <v>31</v>
      </c>
      <c r="C161" s="5">
        <v>45330</v>
      </c>
      <c r="D161" s="3" t="s">
        <v>57</v>
      </c>
      <c r="E161" s="3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3" t="s">
        <v>58</v>
      </c>
      <c r="M161" s="3" t="s">
        <v>59</v>
      </c>
      <c r="N161" s="16">
        <f t="shared" si="2"/>
        <v>4.9951325040562464</v>
      </c>
      <c r="O161" s="4">
        <f>SUM(Table2[[#This Row],[Likes]],Table2[[#This Row],[Shares]],Table2[[#This Row],[Comments]])</f>
        <v>2309</v>
      </c>
      <c r="P16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61" s="20">
        <f>Table2[[#This Row],[Net_Engagement]]/Table2[[#This Row],[Total_Budget]]</f>
        <v>1.3194285714285714E-2</v>
      </c>
      <c r="R16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6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62" spans="1:19" ht="15.75" customHeight="1">
      <c r="A162" s="3" t="s">
        <v>201</v>
      </c>
      <c r="B162" s="3" t="s">
        <v>14</v>
      </c>
      <c r="C162" s="5">
        <v>45803</v>
      </c>
      <c r="D162" s="3" t="s">
        <v>15</v>
      </c>
      <c r="E162" s="3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3" t="s">
        <v>21</v>
      </c>
      <c r="M162" s="3" t="s">
        <v>22</v>
      </c>
      <c r="N162" s="16">
        <f t="shared" si="2"/>
        <v>15.527514896600071</v>
      </c>
      <c r="O162" s="4">
        <f>SUM(Table2[[#This Row],[Likes]],Table2[[#This Row],[Shares]],Table2[[#This Row],[Comments]])</f>
        <v>3544</v>
      </c>
      <c r="P16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62" s="20">
        <f>Table2[[#This Row],[Net_Engagement]]/Table2[[#This Row],[Total_Budget]]</f>
        <v>2.215E-2</v>
      </c>
      <c r="R16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6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63" spans="1:19" ht="15.75" customHeight="1">
      <c r="A163" s="3" t="s">
        <v>202</v>
      </c>
      <c r="B163" s="3" t="s">
        <v>14</v>
      </c>
      <c r="C163" s="5">
        <v>45610</v>
      </c>
      <c r="D163" s="3" t="s">
        <v>15</v>
      </c>
      <c r="E163" s="3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3" t="s">
        <v>17</v>
      </c>
      <c r="M163" s="3" t="s">
        <v>18</v>
      </c>
      <c r="N163" s="16">
        <f t="shared" si="2"/>
        <v>11.258173796580792</v>
      </c>
      <c r="O163" s="4">
        <f>SUM(Table2[[#This Row],[Likes]],Table2[[#This Row],[Shares]],Table2[[#This Row],[Comments]])</f>
        <v>2858</v>
      </c>
      <c r="P16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63" s="20">
        <f>Table2[[#This Row],[Net_Engagement]]/Table2[[#This Row],[Total_Budget]]</f>
        <v>1.4290000000000001E-2</v>
      </c>
      <c r="R16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6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64" spans="1:19" ht="15.75" customHeight="1">
      <c r="A164" s="3" t="s">
        <v>203</v>
      </c>
      <c r="B164" s="3" t="s">
        <v>31</v>
      </c>
      <c r="C164" s="5">
        <v>45513</v>
      </c>
      <c r="D164" s="3" t="s">
        <v>57</v>
      </c>
      <c r="E164" s="3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3" t="s">
        <v>58</v>
      </c>
      <c r="M164" s="3" t="s">
        <v>59</v>
      </c>
      <c r="N164" s="16">
        <f t="shared" si="2"/>
        <v>11.046681895390382</v>
      </c>
      <c r="O164" s="4">
        <f>SUM(Table2[[#This Row],[Likes]],Table2[[#This Row],[Shares]],Table2[[#This Row],[Comments]])</f>
        <v>3772</v>
      </c>
      <c r="P16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64" s="20">
        <f>Table2[[#This Row],[Net_Engagement]]/Table2[[#This Row],[Total_Budget]]</f>
        <v>2.1554285714285713E-2</v>
      </c>
      <c r="R16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6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65" spans="1:19" ht="15.75" customHeight="1">
      <c r="A165" s="3" t="s">
        <v>204</v>
      </c>
      <c r="B165" s="3" t="s">
        <v>14</v>
      </c>
      <c r="C165" s="5">
        <v>45835</v>
      </c>
      <c r="D165" s="3" t="s">
        <v>25</v>
      </c>
      <c r="E165" s="3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3" t="s">
        <v>42</v>
      </c>
      <c r="M165" s="3" t="s">
        <v>55</v>
      </c>
      <c r="N165" s="16">
        <f t="shared" si="2"/>
        <v>3.5523669554455446</v>
      </c>
      <c r="O165" s="4">
        <f>SUM(Table2[[#This Row],[Likes]],Table2[[#This Row],[Shares]],Table2[[#This Row],[Comments]])</f>
        <v>1837</v>
      </c>
      <c r="P16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65" s="20">
        <f>Table2[[#This Row],[Net_Engagement]]/Table2[[#This Row],[Total_Budget]]</f>
        <v>8.1644444444444447E-3</v>
      </c>
      <c r="R16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6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66" spans="1:19" ht="15.75" customHeight="1">
      <c r="A166" s="3" t="s">
        <v>205</v>
      </c>
      <c r="B166" s="3" t="s">
        <v>14</v>
      </c>
      <c r="C166" s="5">
        <v>45420</v>
      </c>
      <c r="D166" s="3" t="s">
        <v>25</v>
      </c>
      <c r="E166" s="3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3" t="s">
        <v>42</v>
      </c>
      <c r="M166" s="3" t="s">
        <v>55</v>
      </c>
      <c r="N166" s="16">
        <f t="shared" si="2"/>
        <v>10.652531529884847</v>
      </c>
      <c r="O166" s="4">
        <f>SUM(Table2[[#This Row],[Likes]],Table2[[#This Row],[Shares]],Table2[[#This Row],[Comments]])</f>
        <v>2914</v>
      </c>
      <c r="P16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66" s="20">
        <f>Table2[[#This Row],[Net_Engagement]]/Table2[[#This Row],[Total_Budget]]</f>
        <v>1.2951111111111111E-2</v>
      </c>
      <c r="R16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6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67" spans="1:19" ht="15.75" customHeight="1">
      <c r="A167" s="3" t="s">
        <v>206</v>
      </c>
      <c r="B167" s="3" t="s">
        <v>14</v>
      </c>
      <c r="C167" s="5">
        <v>45387</v>
      </c>
      <c r="D167" s="3" t="s">
        <v>15</v>
      </c>
      <c r="E167" s="3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3" t="s">
        <v>21</v>
      </c>
      <c r="M167" s="3" t="s">
        <v>22</v>
      </c>
      <c r="N167" s="16">
        <f t="shared" si="2"/>
        <v>9.2244407295403743</v>
      </c>
      <c r="O167" s="4">
        <f>SUM(Table2[[#This Row],[Likes]],Table2[[#This Row],[Shares]],Table2[[#This Row],[Comments]])</f>
        <v>4911</v>
      </c>
      <c r="P16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67" s="20">
        <f>Table2[[#This Row],[Net_Engagement]]/Table2[[#This Row],[Total_Budget]]</f>
        <v>3.0693749999999999E-2</v>
      </c>
      <c r="R16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6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68" spans="1:19" ht="15.75" customHeight="1">
      <c r="A168" s="3" t="s">
        <v>207</v>
      </c>
      <c r="B168" s="3" t="s">
        <v>31</v>
      </c>
      <c r="C168" s="5">
        <v>45684</v>
      </c>
      <c r="D168" s="3" t="s">
        <v>15</v>
      </c>
      <c r="E168" s="3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3" t="s">
        <v>33</v>
      </c>
      <c r="M168" s="3" t="s">
        <v>22</v>
      </c>
      <c r="N168" s="16">
        <f t="shared" si="2"/>
        <v>16.125787850341961</v>
      </c>
      <c r="O168" s="4">
        <f>SUM(Table2[[#This Row],[Likes]],Table2[[#This Row],[Shares]],Table2[[#This Row],[Comments]])</f>
        <v>4810</v>
      </c>
      <c r="P16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68" s="20">
        <f>Table2[[#This Row],[Net_Engagement]]/Table2[[#This Row],[Total_Budget]]</f>
        <v>3.0062499999999999E-2</v>
      </c>
      <c r="R16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6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69" spans="1:19" ht="15.75" customHeight="1">
      <c r="A169" s="3" t="s">
        <v>208</v>
      </c>
      <c r="B169" s="3" t="s">
        <v>14</v>
      </c>
      <c r="C169" s="5">
        <v>45385</v>
      </c>
      <c r="D169" s="3" t="s">
        <v>15</v>
      </c>
      <c r="E169" s="3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3" t="s">
        <v>17</v>
      </c>
      <c r="M169" s="3" t="s">
        <v>18</v>
      </c>
      <c r="N169" s="16">
        <f t="shared" si="2"/>
        <v>10.143081434961637</v>
      </c>
      <c r="O169" s="4">
        <f>SUM(Table2[[#This Row],[Likes]],Table2[[#This Row],[Shares]],Table2[[#This Row],[Comments]])</f>
        <v>3424</v>
      </c>
      <c r="P16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69" s="20">
        <f>Table2[[#This Row],[Net_Engagement]]/Table2[[#This Row],[Total_Budget]]</f>
        <v>1.712E-2</v>
      </c>
      <c r="R16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6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70" spans="1:19" ht="15.75" customHeight="1">
      <c r="A170" s="3" t="s">
        <v>209</v>
      </c>
      <c r="B170" s="3" t="s">
        <v>31</v>
      </c>
      <c r="C170" s="5">
        <v>45660</v>
      </c>
      <c r="D170" s="3" t="s">
        <v>15</v>
      </c>
      <c r="E170" s="3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3" t="s">
        <v>33</v>
      </c>
      <c r="M170" s="3" t="s">
        <v>22</v>
      </c>
      <c r="N170" s="16">
        <f t="shared" si="2"/>
        <v>8.4528099363643339</v>
      </c>
      <c r="O170" s="4">
        <f>SUM(Table2[[#This Row],[Likes]],Table2[[#This Row],[Shares]],Table2[[#This Row],[Comments]])</f>
        <v>4410</v>
      </c>
      <c r="P17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70" s="20">
        <f>Table2[[#This Row],[Net_Engagement]]/Table2[[#This Row],[Total_Budget]]</f>
        <v>2.75625E-2</v>
      </c>
      <c r="R17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7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71" spans="1:19" ht="15.75" customHeight="1">
      <c r="A171" s="3" t="s">
        <v>210</v>
      </c>
      <c r="B171" s="3" t="s">
        <v>24</v>
      </c>
      <c r="C171" s="5">
        <v>45619</v>
      </c>
      <c r="D171" s="3" t="s">
        <v>15</v>
      </c>
      <c r="E171" s="3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3" t="s">
        <v>45</v>
      </c>
      <c r="M171" s="3" t="s">
        <v>22</v>
      </c>
      <c r="N171" s="16">
        <f t="shared" si="2"/>
        <v>15.513030574705535</v>
      </c>
      <c r="O171" s="4">
        <f>SUM(Table2[[#This Row],[Likes]],Table2[[#This Row],[Shares]],Table2[[#This Row],[Comments]])</f>
        <v>5018</v>
      </c>
      <c r="P17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71" s="20">
        <f>Table2[[#This Row],[Net_Engagement]]/Table2[[#This Row],[Total_Budget]]</f>
        <v>3.1362500000000001E-2</v>
      </c>
      <c r="R17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7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72" spans="1:19" ht="15.75" customHeight="1">
      <c r="A172" s="3" t="s">
        <v>211</v>
      </c>
      <c r="B172" s="3" t="s">
        <v>14</v>
      </c>
      <c r="C172" s="5">
        <v>45536</v>
      </c>
      <c r="D172" s="3" t="s">
        <v>25</v>
      </c>
      <c r="E172" s="3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3" t="s">
        <v>42</v>
      </c>
      <c r="M172" s="3" t="s">
        <v>55</v>
      </c>
      <c r="N172" s="16">
        <f t="shared" si="2"/>
        <v>9.8031707130274945</v>
      </c>
      <c r="O172" s="4">
        <f>SUM(Table2[[#This Row],[Likes]],Table2[[#This Row],[Shares]],Table2[[#This Row],[Comments]])</f>
        <v>2560</v>
      </c>
      <c r="P17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72" s="20">
        <f>Table2[[#This Row],[Net_Engagement]]/Table2[[#This Row],[Total_Budget]]</f>
        <v>1.1377777777777778E-2</v>
      </c>
      <c r="R17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7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73" spans="1:19" ht="15.75" customHeight="1">
      <c r="A173" s="3" t="s">
        <v>212</v>
      </c>
      <c r="B173" s="3" t="s">
        <v>31</v>
      </c>
      <c r="C173" s="5">
        <v>45400</v>
      </c>
      <c r="D173" s="3" t="s">
        <v>15</v>
      </c>
      <c r="E173" s="3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3" t="s">
        <v>33</v>
      </c>
      <c r="M173" s="3" t="s">
        <v>22</v>
      </c>
      <c r="N173" s="16">
        <f t="shared" si="2"/>
        <v>16.447098339242398</v>
      </c>
      <c r="O173" s="4">
        <f>SUM(Table2[[#This Row],[Likes]],Table2[[#This Row],[Shares]],Table2[[#This Row],[Comments]])</f>
        <v>4407</v>
      </c>
      <c r="P17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73" s="20">
        <f>Table2[[#This Row],[Net_Engagement]]/Table2[[#This Row],[Total_Budget]]</f>
        <v>2.7543749999999999E-2</v>
      </c>
      <c r="R17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7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74" spans="1:19" ht="15.75" customHeight="1">
      <c r="A174" s="3" t="s">
        <v>213</v>
      </c>
      <c r="B174" s="3" t="s">
        <v>14</v>
      </c>
      <c r="C174" s="5">
        <v>45447</v>
      </c>
      <c r="D174" s="3" t="s">
        <v>15</v>
      </c>
      <c r="E174" s="3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3" t="s">
        <v>21</v>
      </c>
      <c r="M174" s="3" t="s">
        <v>22</v>
      </c>
      <c r="N174" s="16">
        <f t="shared" si="2"/>
        <v>10.077178019329269</v>
      </c>
      <c r="O174" s="4">
        <f>SUM(Table2[[#This Row],[Likes]],Table2[[#This Row],[Shares]],Table2[[#This Row],[Comments]])</f>
        <v>4348</v>
      </c>
      <c r="P17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74" s="20">
        <f>Table2[[#This Row],[Net_Engagement]]/Table2[[#This Row],[Total_Budget]]</f>
        <v>2.7175000000000001E-2</v>
      </c>
      <c r="R17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7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75" spans="1:19" ht="15.75" customHeight="1">
      <c r="A175" s="3" t="s">
        <v>214</v>
      </c>
      <c r="B175" s="3" t="s">
        <v>31</v>
      </c>
      <c r="C175" s="5">
        <v>45749</v>
      </c>
      <c r="D175" s="3" t="s">
        <v>15</v>
      </c>
      <c r="E175" s="3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3" t="s">
        <v>33</v>
      </c>
      <c r="M175" s="3" t="s">
        <v>22</v>
      </c>
      <c r="N175" s="16">
        <f t="shared" si="2"/>
        <v>10.256458679558845</v>
      </c>
      <c r="O175" s="4">
        <f>SUM(Table2[[#This Row],[Likes]],Table2[[#This Row],[Shares]],Table2[[#This Row],[Comments]])</f>
        <v>5431</v>
      </c>
      <c r="P17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75" s="20">
        <f>Table2[[#This Row],[Net_Engagement]]/Table2[[#This Row],[Total_Budget]]</f>
        <v>3.3943750000000002E-2</v>
      </c>
      <c r="R17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7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76" spans="1:19" ht="15.75" customHeight="1">
      <c r="A176" s="3" t="s">
        <v>215</v>
      </c>
      <c r="B176" s="3" t="s">
        <v>24</v>
      </c>
      <c r="C176" s="5">
        <v>45748</v>
      </c>
      <c r="D176" s="3" t="s">
        <v>25</v>
      </c>
      <c r="E176" s="3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3" t="s">
        <v>39</v>
      </c>
      <c r="M176" s="3" t="s">
        <v>18</v>
      </c>
      <c r="N176" s="16">
        <f t="shared" si="2"/>
        <v>5.6980732739746021</v>
      </c>
      <c r="O176" s="4">
        <f>SUM(Table2[[#This Row],[Likes]],Table2[[#This Row],[Shares]],Table2[[#This Row],[Comments]])</f>
        <v>3123</v>
      </c>
      <c r="P17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76" s="20">
        <f>Table2[[#This Row],[Net_Engagement]]/Table2[[#This Row],[Total_Budget]]</f>
        <v>1.5615E-2</v>
      </c>
      <c r="R17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7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77" spans="1:19" ht="15.75" customHeight="1">
      <c r="A177" s="3" t="s">
        <v>216</v>
      </c>
      <c r="B177" s="3" t="s">
        <v>14</v>
      </c>
      <c r="C177" s="5">
        <v>45475</v>
      </c>
      <c r="D177" s="3" t="s">
        <v>15</v>
      </c>
      <c r="E177" s="3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3" t="s">
        <v>17</v>
      </c>
      <c r="M177" s="3" t="s">
        <v>18</v>
      </c>
      <c r="N177" s="16">
        <f t="shared" si="2"/>
        <v>8.4227733207149456</v>
      </c>
      <c r="O177" s="4">
        <f>SUM(Table2[[#This Row],[Likes]],Table2[[#This Row],[Shares]],Table2[[#This Row],[Comments]])</f>
        <v>3916</v>
      </c>
      <c r="P17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77" s="20">
        <f>Table2[[#This Row],[Net_Engagement]]/Table2[[#This Row],[Total_Budget]]</f>
        <v>1.958E-2</v>
      </c>
      <c r="R17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7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78" spans="1:19" ht="15.75" customHeight="1">
      <c r="A178" s="3" t="s">
        <v>217</v>
      </c>
      <c r="B178" s="3" t="s">
        <v>24</v>
      </c>
      <c r="C178" s="5">
        <v>45606</v>
      </c>
      <c r="D178" s="3" t="s">
        <v>15</v>
      </c>
      <c r="E178" s="3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3" t="s">
        <v>45</v>
      </c>
      <c r="M178" s="3" t="s">
        <v>22</v>
      </c>
      <c r="N178" s="16">
        <f t="shared" si="2"/>
        <v>17.289805974745921</v>
      </c>
      <c r="O178" s="4">
        <f>SUM(Table2[[#This Row],[Likes]],Table2[[#This Row],[Shares]],Table2[[#This Row],[Comments]])</f>
        <v>5614</v>
      </c>
      <c r="P17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78" s="20">
        <f>Table2[[#This Row],[Net_Engagement]]/Table2[[#This Row],[Total_Budget]]</f>
        <v>3.5087500000000001E-2</v>
      </c>
      <c r="R17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7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79" spans="1:19" ht="15.75" customHeight="1">
      <c r="A179" s="3" t="s">
        <v>218</v>
      </c>
      <c r="B179" s="3" t="s">
        <v>14</v>
      </c>
      <c r="C179" s="5">
        <v>45640</v>
      </c>
      <c r="D179" s="3" t="s">
        <v>25</v>
      </c>
      <c r="E179" s="3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3" t="s">
        <v>42</v>
      </c>
      <c r="M179" s="3" t="s">
        <v>55</v>
      </c>
      <c r="N179" s="16">
        <f t="shared" si="2"/>
        <v>7.3899528727564414</v>
      </c>
      <c r="O179" s="4">
        <f>SUM(Table2[[#This Row],[Likes]],Table2[[#This Row],[Shares]],Table2[[#This Row],[Comments]])</f>
        <v>4422</v>
      </c>
      <c r="P17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179" s="20">
        <f>Table2[[#This Row],[Net_Engagement]]/Table2[[#This Row],[Total_Budget]]</f>
        <v>1.9653333333333332E-2</v>
      </c>
      <c r="R17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17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180" spans="1:19" ht="15.75" customHeight="1">
      <c r="A180" s="3" t="s">
        <v>219</v>
      </c>
      <c r="B180" s="3" t="s">
        <v>24</v>
      </c>
      <c r="C180" s="5">
        <v>45615</v>
      </c>
      <c r="D180" s="3" t="s">
        <v>15</v>
      </c>
      <c r="E180" s="3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3" t="s">
        <v>45</v>
      </c>
      <c r="M180" s="3" t="s">
        <v>22</v>
      </c>
      <c r="N180" s="16">
        <f t="shared" si="2"/>
        <v>7.0902000251603976</v>
      </c>
      <c r="O180" s="4">
        <f>SUM(Table2[[#This Row],[Likes]],Table2[[#This Row],[Shares]],Table2[[#This Row],[Comments]])</f>
        <v>2818</v>
      </c>
      <c r="P18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80" s="20">
        <f>Table2[[#This Row],[Net_Engagement]]/Table2[[#This Row],[Total_Budget]]</f>
        <v>1.76125E-2</v>
      </c>
      <c r="R18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8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81" spans="1:19" ht="15.75" customHeight="1">
      <c r="A181" s="3" t="s">
        <v>220</v>
      </c>
      <c r="B181" s="3" t="s">
        <v>24</v>
      </c>
      <c r="C181" s="5">
        <v>45777</v>
      </c>
      <c r="D181" s="3" t="s">
        <v>25</v>
      </c>
      <c r="E181" s="3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3" t="s">
        <v>27</v>
      </c>
      <c r="M181" s="3" t="s">
        <v>18</v>
      </c>
      <c r="N181" s="16">
        <f t="shared" si="2"/>
        <v>7.773148862486928</v>
      </c>
      <c r="O181" s="4">
        <f>SUM(Table2[[#This Row],[Likes]],Table2[[#This Row],[Shares]],Table2[[#This Row],[Comments]])</f>
        <v>4534</v>
      </c>
      <c r="P18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81" s="20">
        <f>Table2[[#This Row],[Net_Engagement]]/Table2[[#This Row],[Total_Budget]]</f>
        <v>2.2669999999999999E-2</v>
      </c>
      <c r="R18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8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82" spans="1:19" ht="15.75" customHeight="1">
      <c r="A182" s="3" t="s">
        <v>221</v>
      </c>
      <c r="B182" s="3" t="s">
        <v>24</v>
      </c>
      <c r="C182" s="5">
        <v>45370</v>
      </c>
      <c r="D182" s="3" t="s">
        <v>15</v>
      </c>
      <c r="E182" s="3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3" t="s">
        <v>45</v>
      </c>
      <c r="M182" s="3" t="s">
        <v>22</v>
      </c>
      <c r="N182" s="16">
        <f t="shared" si="2"/>
        <v>4.2982250109049422</v>
      </c>
      <c r="O182" s="4">
        <f>SUM(Table2[[#This Row],[Likes]],Table2[[#This Row],[Shares]],Table2[[#This Row],[Comments]])</f>
        <v>2562</v>
      </c>
      <c r="P18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82" s="20">
        <f>Table2[[#This Row],[Net_Engagement]]/Table2[[#This Row],[Total_Budget]]</f>
        <v>1.6012499999999999E-2</v>
      </c>
      <c r="R18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8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83" spans="1:19" ht="15.75" customHeight="1">
      <c r="A183" s="3" t="s">
        <v>222</v>
      </c>
      <c r="B183" s="3" t="s">
        <v>14</v>
      </c>
      <c r="C183" s="5">
        <v>45370</v>
      </c>
      <c r="D183" s="3" t="s">
        <v>15</v>
      </c>
      <c r="E183" s="3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3" t="s">
        <v>17</v>
      </c>
      <c r="M183" s="3" t="s">
        <v>18</v>
      </c>
      <c r="N183" s="16">
        <f t="shared" si="2"/>
        <v>7.2213401079707848</v>
      </c>
      <c r="O183" s="4">
        <f>SUM(Table2[[#This Row],[Likes]],Table2[[#This Row],[Shares]],Table2[[#This Row],[Comments]])</f>
        <v>3411</v>
      </c>
      <c r="P18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83" s="20">
        <f>Table2[[#This Row],[Net_Engagement]]/Table2[[#This Row],[Total_Budget]]</f>
        <v>1.7055000000000001E-2</v>
      </c>
      <c r="R18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8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84" spans="1:19" ht="15.75" customHeight="1">
      <c r="A184" s="3" t="s">
        <v>223</v>
      </c>
      <c r="B184" s="3" t="s">
        <v>24</v>
      </c>
      <c r="C184" s="5">
        <v>45496</v>
      </c>
      <c r="D184" s="3" t="s">
        <v>15</v>
      </c>
      <c r="E184" s="3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3" t="s">
        <v>45</v>
      </c>
      <c r="M184" s="3" t="s">
        <v>22</v>
      </c>
      <c r="N184" s="16">
        <f t="shared" si="2"/>
        <v>16.743869209809265</v>
      </c>
      <c r="O184" s="4">
        <f>SUM(Table2[[#This Row],[Likes]],Table2[[#This Row],[Shares]],Table2[[#This Row],[Comments]])</f>
        <v>3687</v>
      </c>
      <c r="P18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84" s="20">
        <f>Table2[[#This Row],[Net_Engagement]]/Table2[[#This Row],[Total_Budget]]</f>
        <v>2.3043750000000002E-2</v>
      </c>
      <c r="R18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8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85" spans="1:19" ht="15.75" customHeight="1">
      <c r="A185" s="3" t="s">
        <v>224</v>
      </c>
      <c r="B185" s="3" t="s">
        <v>24</v>
      </c>
      <c r="C185" s="5">
        <v>45486</v>
      </c>
      <c r="D185" s="3" t="s">
        <v>25</v>
      </c>
      <c r="E185" s="3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3" t="s">
        <v>27</v>
      </c>
      <c r="M185" s="3" t="s">
        <v>18</v>
      </c>
      <c r="N185" s="16">
        <f t="shared" si="2"/>
        <v>6.2648374965860638</v>
      </c>
      <c r="O185" s="4">
        <f>SUM(Table2[[#This Row],[Likes]],Table2[[#This Row],[Shares]],Table2[[#This Row],[Comments]])</f>
        <v>2982</v>
      </c>
      <c r="P18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85" s="20">
        <f>Table2[[#This Row],[Net_Engagement]]/Table2[[#This Row],[Total_Budget]]</f>
        <v>1.491E-2</v>
      </c>
      <c r="R18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8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86" spans="1:19" ht="15.75" customHeight="1">
      <c r="A186" s="3" t="s">
        <v>225</v>
      </c>
      <c r="B186" s="3" t="s">
        <v>31</v>
      </c>
      <c r="C186" s="5">
        <v>45769</v>
      </c>
      <c r="D186" s="3" t="s">
        <v>57</v>
      </c>
      <c r="E186" s="3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3" t="s">
        <v>58</v>
      </c>
      <c r="M186" s="3" t="s">
        <v>59</v>
      </c>
      <c r="N186" s="16">
        <f t="shared" si="2"/>
        <v>8.5966298051606103</v>
      </c>
      <c r="O186" s="4">
        <f>SUM(Table2[[#This Row],[Likes]],Table2[[#This Row],[Shares]],Table2[[#This Row],[Comments]])</f>
        <v>3265</v>
      </c>
      <c r="P18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86" s="20">
        <f>Table2[[#This Row],[Net_Engagement]]/Table2[[#This Row],[Total_Budget]]</f>
        <v>1.8657142857142858E-2</v>
      </c>
      <c r="R18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8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87" spans="1:19" ht="15.75" customHeight="1">
      <c r="A187" s="3" t="s">
        <v>226</v>
      </c>
      <c r="B187" s="3" t="s">
        <v>24</v>
      </c>
      <c r="C187" s="5">
        <v>45459</v>
      </c>
      <c r="D187" s="3" t="s">
        <v>25</v>
      </c>
      <c r="E187" s="3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3" t="s">
        <v>27</v>
      </c>
      <c r="M187" s="3" t="s">
        <v>18</v>
      </c>
      <c r="N187" s="16">
        <f t="shared" si="2"/>
        <v>22.967524699836073</v>
      </c>
      <c r="O187" s="4">
        <f>SUM(Table2[[#This Row],[Likes]],Table2[[#This Row],[Shares]],Table2[[#This Row],[Comments]])</f>
        <v>5184</v>
      </c>
      <c r="P18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87" s="20">
        <f>Table2[[#This Row],[Net_Engagement]]/Table2[[#This Row],[Total_Budget]]</f>
        <v>2.5919999999999999E-2</v>
      </c>
      <c r="R18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8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88" spans="1:19" ht="15.75" customHeight="1">
      <c r="A188" s="3" t="s">
        <v>227</v>
      </c>
      <c r="B188" s="3" t="s">
        <v>31</v>
      </c>
      <c r="C188" s="5">
        <v>45795</v>
      </c>
      <c r="D188" s="3" t="s">
        <v>57</v>
      </c>
      <c r="E188" s="3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3" t="s">
        <v>58</v>
      </c>
      <c r="M188" s="3" t="s">
        <v>59</v>
      </c>
      <c r="N188" s="16">
        <f t="shared" si="2"/>
        <v>12.920396165457337</v>
      </c>
      <c r="O188" s="4">
        <f>SUM(Table2[[#This Row],[Likes]],Table2[[#This Row],[Shares]],Table2[[#This Row],[Comments]])</f>
        <v>4879</v>
      </c>
      <c r="P18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88" s="20">
        <f>Table2[[#This Row],[Net_Engagement]]/Table2[[#This Row],[Total_Budget]]</f>
        <v>2.7879999999999999E-2</v>
      </c>
      <c r="R18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8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89" spans="1:19" ht="15.75" customHeight="1">
      <c r="A189" s="3" t="s">
        <v>228</v>
      </c>
      <c r="B189" s="3" t="s">
        <v>14</v>
      </c>
      <c r="C189" s="5">
        <v>45814</v>
      </c>
      <c r="D189" s="3" t="s">
        <v>15</v>
      </c>
      <c r="E189" s="3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3" t="s">
        <v>21</v>
      </c>
      <c r="M189" s="3" t="s">
        <v>22</v>
      </c>
      <c r="N189" s="16">
        <f t="shared" si="2"/>
        <v>9.8222596516111871</v>
      </c>
      <c r="O189" s="4">
        <f>SUM(Table2[[#This Row],[Likes]],Table2[[#This Row],[Shares]],Table2[[#This Row],[Comments]])</f>
        <v>4432</v>
      </c>
      <c r="P18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89" s="20">
        <f>Table2[[#This Row],[Net_Engagement]]/Table2[[#This Row],[Total_Budget]]</f>
        <v>2.7699999999999999E-2</v>
      </c>
      <c r="R18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8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90" spans="1:19" ht="15.75" customHeight="1">
      <c r="A190" s="3" t="s">
        <v>229</v>
      </c>
      <c r="B190" s="3" t="s">
        <v>31</v>
      </c>
      <c r="C190" s="5">
        <v>45708</v>
      </c>
      <c r="D190" s="3" t="s">
        <v>57</v>
      </c>
      <c r="E190" s="3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3" t="s">
        <v>58</v>
      </c>
      <c r="M190" s="3" t="s">
        <v>59</v>
      </c>
      <c r="N190" s="16">
        <f t="shared" si="2"/>
        <v>11.349824183418363</v>
      </c>
      <c r="O190" s="4">
        <f>SUM(Table2[[#This Row],[Likes]],Table2[[#This Row],[Shares]],Table2[[#This Row],[Comments]])</f>
        <v>5584</v>
      </c>
      <c r="P19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90" s="20">
        <f>Table2[[#This Row],[Net_Engagement]]/Table2[[#This Row],[Total_Budget]]</f>
        <v>3.1908571428571432E-2</v>
      </c>
      <c r="R19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9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91" spans="1:19" ht="15.75" customHeight="1">
      <c r="A191" s="3" t="s">
        <v>230</v>
      </c>
      <c r="B191" s="3" t="s">
        <v>14</v>
      </c>
      <c r="C191" s="5">
        <v>45673</v>
      </c>
      <c r="D191" s="3" t="s">
        <v>15</v>
      </c>
      <c r="E191" s="3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3" t="s">
        <v>17</v>
      </c>
      <c r="M191" s="3" t="s">
        <v>18</v>
      </c>
      <c r="N191" s="16">
        <f t="shared" si="2"/>
        <v>9.4251731312692151</v>
      </c>
      <c r="O191" s="4">
        <f>SUM(Table2[[#This Row],[Likes]],Table2[[#This Row],[Shares]],Table2[[#This Row],[Comments]])</f>
        <v>3035</v>
      </c>
      <c r="P19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91" s="20">
        <f>Table2[[#This Row],[Net_Engagement]]/Table2[[#This Row],[Total_Budget]]</f>
        <v>1.5174999999999999E-2</v>
      </c>
      <c r="R19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9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92" spans="1:19" ht="15.75" customHeight="1">
      <c r="A192" s="3" t="s">
        <v>231</v>
      </c>
      <c r="B192" s="3" t="s">
        <v>31</v>
      </c>
      <c r="C192" s="5">
        <v>45346</v>
      </c>
      <c r="D192" s="3" t="s">
        <v>57</v>
      </c>
      <c r="E192" s="3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3" t="s">
        <v>58</v>
      </c>
      <c r="M192" s="3" t="s">
        <v>59</v>
      </c>
      <c r="N192" s="16">
        <f t="shared" si="2"/>
        <v>10.173025732031943</v>
      </c>
      <c r="O192" s="4">
        <f>SUM(Table2[[#This Row],[Likes]],Table2[[#This Row],[Shares]],Table2[[#This Row],[Comments]])</f>
        <v>4586</v>
      </c>
      <c r="P19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92" s="20">
        <f>Table2[[#This Row],[Net_Engagement]]/Table2[[#This Row],[Total_Budget]]</f>
        <v>2.6205714285714287E-2</v>
      </c>
      <c r="R19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9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93" spans="1:19" ht="15.75" customHeight="1">
      <c r="A193" s="3" t="s">
        <v>232</v>
      </c>
      <c r="B193" s="3" t="s">
        <v>24</v>
      </c>
      <c r="C193" s="5">
        <v>45551</v>
      </c>
      <c r="D193" s="3" t="s">
        <v>25</v>
      </c>
      <c r="E193" s="3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3" t="s">
        <v>39</v>
      </c>
      <c r="M193" s="3" t="s">
        <v>18</v>
      </c>
      <c r="N193" s="16">
        <f t="shared" si="2"/>
        <v>8.9237069349238851</v>
      </c>
      <c r="O193" s="4">
        <f>SUM(Table2[[#This Row],[Likes]],Table2[[#This Row],[Shares]],Table2[[#This Row],[Comments]])</f>
        <v>5012</v>
      </c>
      <c r="P19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93" s="20">
        <f>Table2[[#This Row],[Net_Engagement]]/Table2[[#This Row],[Total_Budget]]</f>
        <v>2.5059999999999999E-2</v>
      </c>
      <c r="R19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9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94" spans="1:19" ht="15.75" customHeight="1">
      <c r="A194" s="3" t="s">
        <v>233</v>
      </c>
      <c r="B194" s="3" t="s">
        <v>31</v>
      </c>
      <c r="C194" s="5">
        <v>45447</v>
      </c>
      <c r="D194" s="3" t="s">
        <v>57</v>
      </c>
      <c r="E194" s="3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3" t="s">
        <v>58</v>
      </c>
      <c r="M194" s="3" t="s">
        <v>59</v>
      </c>
      <c r="N194" s="16">
        <f t="shared" si="2"/>
        <v>6.5015829941203069</v>
      </c>
      <c r="O194" s="4">
        <f>SUM(Table2[[#This Row],[Likes]],Table2[[#This Row],[Shares]],Table2[[#This Row],[Comments]])</f>
        <v>1725</v>
      </c>
      <c r="P19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194" s="20">
        <f>Table2[[#This Row],[Net_Engagement]]/Table2[[#This Row],[Total_Budget]]</f>
        <v>9.8571428571428577E-3</v>
      </c>
      <c r="R19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19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195" spans="1:19" ht="15.75" customHeight="1">
      <c r="A195" s="3" t="s">
        <v>234</v>
      </c>
      <c r="B195" s="3" t="s">
        <v>24</v>
      </c>
      <c r="C195" s="5">
        <v>45422</v>
      </c>
      <c r="D195" s="3" t="s">
        <v>25</v>
      </c>
      <c r="E195" s="3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3" t="s">
        <v>27</v>
      </c>
      <c r="M195" s="3" t="s">
        <v>18</v>
      </c>
      <c r="N195" s="16">
        <f t="shared" ref="N195:N258" si="3">((F195+G195+H195)/I195)*100</f>
        <v>5.6436966727204192</v>
      </c>
      <c r="O195" s="4">
        <f>SUM(Table2[[#This Row],[Likes]],Table2[[#This Row],[Shares]],Table2[[#This Row],[Comments]])</f>
        <v>3294</v>
      </c>
      <c r="P19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95" s="20">
        <f>Table2[[#This Row],[Net_Engagement]]/Table2[[#This Row],[Total_Budget]]</f>
        <v>1.6469999999999999E-2</v>
      </c>
      <c r="R19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9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96" spans="1:19" ht="15.75" customHeight="1">
      <c r="A196" s="3" t="s">
        <v>235</v>
      </c>
      <c r="B196" s="3" t="s">
        <v>31</v>
      </c>
      <c r="C196" s="5">
        <v>45305</v>
      </c>
      <c r="D196" s="3" t="s">
        <v>15</v>
      </c>
      <c r="E196" s="3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3" t="s">
        <v>33</v>
      </c>
      <c r="M196" s="3" t="s">
        <v>22</v>
      </c>
      <c r="N196" s="16">
        <f t="shared" si="3"/>
        <v>10.713930842607313</v>
      </c>
      <c r="O196" s="4">
        <f>SUM(Table2[[#This Row],[Likes]],Table2[[#This Row],[Shares]],Table2[[#This Row],[Comments]])</f>
        <v>4313</v>
      </c>
      <c r="P19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96" s="20">
        <f>Table2[[#This Row],[Net_Engagement]]/Table2[[#This Row],[Total_Budget]]</f>
        <v>2.6956250000000001E-2</v>
      </c>
      <c r="R19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9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97" spans="1:19" ht="15.75" customHeight="1">
      <c r="A197" s="3" t="s">
        <v>236</v>
      </c>
      <c r="B197" s="3" t="s">
        <v>14</v>
      </c>
      <c r="C197" s="5">
        <v>45669</v>
      </c>
      <c r="D197" s="3" t="s">
        <v>15</v>
      </c>
      <c r="E197" s="3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3" t="s">
        <v>17</v>
      </c>
      <c r="M197" s="3" t="s">
        <v>18</v>
      </c>
      <c r="N197" s="16">
        <f t="shared" si="3"/>
        <v>5.1833640647408314</v>
      </c>
      <c r="O197" s="4">
        <f>SUM(Table2[[#This Row],[Likes]],Table2[[#This Row],[Shares]],Table2[[#This Row],[Comments]])</f>
        <v>2530</v>
      </c>
      <c r="P19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97" s="20">
        <f>Table2[[#This Row],[Net_Engagement]]/Table2[[#This Row],[Total_Budget]]</f>
        <v>1.265E-2</v>
      </c>
      <c r="R19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9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198" spans="1:19" ht="15.75" customHeight="1">
      <c r="A198" s="3" t="s">
        <v>237</v>
      </c>
      <c r="B198" s="3" t="s">
        <v>31</v>
      </c>
      <c r="C198" s="5">
        <v>45634</v>
      </c>
      <c r="D198" s="3" t="s">
        <v>15</v>
      </c>
      <c r="E198" s="3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3" t="s">
        <v>33</v>
      </c>
      <c r="M198" s="3" t="s">
        <v>22</v>
      </c>
      <c r="N198" s="16">
        <f t="shared" si="3"/>
        <v>3.5821698002251456</v>
      </c>
      <c r="O198" s="4">
        <f>SUM(Table2[[#This Row],[Likes]],Table2[[#This Row],[Shares]],Table2[[#This Row],[Comments]])</f>
        <v>2132</v>
      </c>
      <c r="P19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198" s="20">
        <f>Table2[[#This Row],[Net_Engagement]]/Table2[[#This Row],[Total_Budget]]</f>
        <v>1.3325E-2</v>
      </c>
      <c r="R19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19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199" spans="1:19" ht="15.75" customHeight="1">
      <c r="A199" s="3" t="s">
        <v>238</v>
      </c>
      <c r="B199" s="3" t="s">
        <v>24</v>
      </c>
      <c r="C199" s="5">
        <v>45689</v>
      </c>
      <c r="D199" s="3" t="s">
        <v>25</v>
      </c>
      <c r="E199" s="3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3" t="s">
        <v>17</v>
      </c>
      <c r="M199" s="3" t="s">
        <v>18</v>
      </c>
      <c r="N199" s="16">
        <f t="shared" si="3"/>
        <v>3.5034029141734799</v>
      </c>
      <c r="O199" s="4">
        <f>SUM(Table2[[#This Row],[Likes]],Table2[[#This Row],[Shares]],Table2[[#This Row],[Comments]])</f>
        <v>1534</v>
      </c>
      <c r="P19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199" s="20">
        <f>Table2[[#This Row],[Net_Engagement]]/Table2[[#This Row],[Total_Budget]]</f>
        <v>7.6699999999999997E-3</v>
      </c>
      <c r="R19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19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00" spans="1:19" ht="15.75" customHeight="1">
      <c r="A200" s="3" t="s">
        <v>239</v>
      </c>
      <c r="B200" s="3" t="s">
        <v>24</v>
      </c>
      <c r="C200" s="5">
        <v>45484</v>
      </c>
      <c r="D200" s="3" t="s">
        <v>25</v>
      </c>
      <c r="E200" s="3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3" t="s">
        <v>17</v>
      </c>
      <c r="M200" s="3" t="s">
        <v>18</v>
      </c>
      <c r="N200" s="16">
        <f t="shared" si="3"/>
        <v>13.946227759085811</v>
      </c>
      <c r="O200" s="4">
        <f>SUM(Table2[[#This Row],[Likes]],Table2[[#This Row],[Shares]],Table2[[#This Row],[Comments]])</f>
        <v>4601</v>
      </c>
      <c r="P20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00" s="20">
        <f>Table2[[#This Row],[Net_Engagement]]/Table2[[#This Row],[Total_Budget]]</f>
        <v>2.3005000000000001E-2</v>
      </c>
      <c r="R20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0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01" spans="1:19" ht="15.75" customHeight="1">
      <c r="A201" s="3" t="s">
        <v>240</v>
      </c>
      <c r="B201" s="3" t="s">
        <v>24</v>
      </c>
      <c r="C201" s="5">
        <v>45369</v>
      </c>
      <c r="D201" s="3" t="s">
        <v>15</v>
      </c>
      <c r="E201" s="3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3" t="s">
        <v>42</v>
      </c>
      <c r="M201" s="3" t="s">
        <v>18</v>
      </c>
      <c r="N201" s="16">
        <f t="shared" si="3"/>
        <v>4.5247823769763729</v>
      </c>
      <c r="O201" s="4">
        <f>SUM(Table2[[#This Row],[Likes]],Table2[[#This Row],[Shares]],Table2[[#This Row],[Comments]])</f>
        <v>2547</v>
      </c>
      <c r="P20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01" s="20">
        <f>Table2[[#This Row],[Net_Engagement]]/Table2[[#This Row],[Total_Budget]]</f>
        <v>1.2735E-2</v>
      </c>
      <c r="R20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0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02" spans="1:19" ht="15.75" customHeight="1">
      <c r="A202" s="3" t="s">
        <v>241</v>
      </c>
      <c r="B202" s="3" t="s">
        <v>24</v>
      </c>
      <c r="C202" s="5">
        <v>45547</v>
      </c>
      <c r="D202" s="3" t="s">
        <v>25</v>
      </c>
      <c r="E202" s="3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3" t="s">
        <v>27</v>
      </c>
      <c r="M202" s="3" t="s">
        <v>18</v>
      </c>
      <c r="N202" s="16">
        <f t="shared" si="3"/>
        <v>6.2974139146620036</v>
      </c>
      <c r="O202" s="4">
        <f>SUM(Table2[[#This Row],[Likes]],Table2[[#This Row],[Shares]],Table2[[#This Row],[Comments]])</f>
        <v>2233</v>
      </c>
      <c r="P20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02" s="20">
        <f>Table2[[#This Row],[Net_Engagement]]/Table2[[#This Row],[Total_Budget]]</f>
        <v>1.1165E-2</v>
      </c>
      <c r="R20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0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03" spans="1:19" ht="15.75" customHeight="1">
      <c r="A203" s="3" t="s">
        <v>242</v>
      </c>
      <c r="B203" s="3" t="s">
        <v>24</v>
      </c>
      <c r="C203" s="5">
        <v>45302</v>
      </c>
      <c r="D203" s="3" t="s">
        <v>25</v>
      </c>
      <c r="E203" s="3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3" t="s">
        <v>17</v>
      </c>
      <c r="M203" s="3" t="s">
        <v>18</v>
      </c>
      <c r="N203" s="16">
        <f t="shared" si="3"/>
        <v>10.784235029699792</v>
      </c>
      <c r="O203" s="4">
        <f>SUM(Table2[[#This Row],[Likes]],Table2[[#This Row],[Shares]],Table2[[#This Row],[Comments]])</f>
        <v>2687</v>
      </c>
      <c r="P20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03" s="20">
        <f>Table2[[#This Row],[Net_Engagement]]/Table2[[#This Row],[Total_Budget]]</f>
        <v>1.3435000000000001E-2</v>
      </c>
      <c r="R20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0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04" spans="1:19" ht="15.75" customHeight="1">
      <c r="A204" s="3" t="s">
        <v>243</v>
      </c>
      <c r="B204" s="3" t="s">
        <v>14</v>
      </c>
      <c r="C204" s="5">
        <v>45571</v>
      </c>
      <c r="D204" s="3" t="s">
        <v>15</v>
      </c>
      <c r="E204" s="3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3" t="s">
        <v>21</v>
      </c>
      <c r="M204" s="3" t="s">
        <v>22</v>
      </c>
      <c r="N204" s="16">
        <f t="shared" si="3"/>
        <v>8.269025862904007</v>
      </c>
      <c r="O204" s="4">
        <f>SUM(Table2[[#This Row],[Likes]],Table2[[#This Row],[Shares]],Table2[[#This Row],[Comments]])</f>
        <v>2561</v>
      </c>
      <c r="P20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04" s="20">
        <f>Table2[[#This Row],[Net_Engagement]]/Table2[[#This Row],[Total_Budget]]</f>
        <v>1.600625E-2</v>
      </c>
      <c r="R20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0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05" spans="1:19" ht="15.75" customHeight="1">
      <c r="A205" s="3" t="s">
        <v>244</v>
      </c>
      <c r="B205" s="3" t="s">
        <v>24</v>
      </c>
      <c r="C205" s="5">
        <v>45656</v>
      </c>
      <c r="D205" s="3" t="s">
        <v>15</v>
      </c>
      <c r="E205" s="3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3" t="s">
        <v>42</v>
      </c>
      <c r="M205" s="3" t="s">
        <v>18</v>
      </c>
      <c r="N205" s="16">
        <f t="shared" si="3"/>
        <v>9.7836889180216957</v>
      </c>
      <c r="O205" s="4">
        <f>SUM(Table2[[#This Row],[Likes]],Table2[[#This Row],[Shares]],Table2[[#This Row],[Comments]])</f>
        <v>4627</v>
      </c>
      <c r="P20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05" s="20">
        <f>Table2[[#This Row],[Net_Engagement]]/Table2[[#This Row],[Total_Budget]]</f>
        <v>2.3134999999999999E-2</v>
      </c>
      <c r="R20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0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06" spans="1:19" ht="15.75" customHeight="1">
      <c r="A206" s="3" t="s">
        <v>245</v>
      </c>
      <c r="B206" s="3" t="s">
        <v>24</v>
      </c>
      <c r="C206" s="5">
        <v>45763</v>
      </c>
      <c r="D206" s="3" t="s">
        <v>15</v>
      </c>
      <c r="E206" s="3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3" t="s">
        <v>45</v>
      </c>
      <c r="M206" s="3" t="s">
        <v>22</v>
      </c>
      <c r="N206" s="16">
        <f t="shared" si="3"/>
        <v>7.7428927315357567</v>
      </c>
      <c r="O206" s="4">
        <f>SUM(Table2[[#This Row],[Likes]],Table2[[#This Row],[Shares]],Table2[[#This Row],[Comments]])</f>
        <v>4227</v>
      </c>
      <c r="P20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06" s="20">
        <f>Table2[[#This Row],[Net_Engagement]]/Table2[[#This Row],[Total_Budget]]</f>
        <v>2.6418750000000001E-2</v>
      </c>
      <c r="R20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0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07" spans="1:19" ht="15.75" customHeight="1">
      <c r="A207" s="3" t="s">
        <v>246</v>
      </c>
      <c r="B207" s="3" t="s">
        <v>24</v>
      </c>
      <c r="C207" s="5">
        <v>45525</v>
      </c>
      <c r="D207" s="3" t="s">
        <v>25</v>
      </c>
      <c r="E207" s="3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3" t="s">
        <v>39</v>
      </c>
      <c r="M207" s="3" t="s">
        <v>18</v>
      </c>
      <c r="N207" s="16">
        <f t="shared" si="3"/>
        <v>7.9782521843353189</v>
      </c>
      <c r="O207" s="4">
        <f>SUM(Table2[[#This Row],[Likes]],Table2[[#This Row],[Shares]],Table2[[#This Row],[Comments]])</f>
        <v>4593</v>
      </c>
      <c r="P20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07" s="20">
        <f>Table2[[#This Row],[Net_Engagement]]/Table2[[#This Row],[Total_Budget]]</f>
        <v>2.2964999999999999E-2</v>
      </c>
      <c r="R20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0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08" spans="1:19" ht="15.75" customHeight="1">
      <c r="A208" s="3" t="s">
        <v>247</v>
      </c>
      <c r="B208" s="3" t="s">
        <v>24</v>
      </c>
      <c r="C208" s="5">
        <v>45387</v>
      </c>
      <c r="D208" s="3" t="s">
        <v>25</v>
      </c>
      <c r="E208" s="3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3" t="s">
        <v>17</v>
      </c>
      <c r="M208" s="3" t="s">
        <v>18</v>
      </c>
      <c r="N208" s="16">
        <f t="shared" si="3"/>
        <v>7.102234127215203</v>
      </c>
      <c r="O208" s="4">
        <f>SUM(Table2[[#This Row],[Likes]],Table2[[#This Row],[Shares]],Table2[[#This Row],[Comments]])</f>
        <v>3659</v>
      </c>
      <c r="P20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08" s="20">
        <f>Table2[[#This Row],[Net_Engagement]]/Table2[[#This Row],[Total_Budget]]</f>
        <v>1.8294999999999999E-2</v>
      </c>
      <c r="R20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0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09" spans="1:19" ht="15.75" customHeight="1">
      <c r="A209" s="3" t="s">
        <v>248</v>
      </c>
      <c r="B209" s="3" t="s">
        <v>24</v>
      </c>
      <c r="C209" s="5">
        <v>45754</v>
      </c>
      <c r="D209" s="3" t="s">
        <v>15</v>
      </c>
      <c r="E209" s="3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3" t="s">
        <v>45</v>
      </c>
      <c r="M209" s="3" t="s">
        <v>22</v>
      </c>
      <c r="N209" s="16">
        <f t="shared" si="3"/>
        <v>3.9319108127547353</v>
      </c>
      <c r="O209" s="4">
        <f>SUM(Table2[[#This Row],[Likes]],Table2[[#This Row],[Shares]],Table2[[#This Row],[Comments]])</f>
        <v>2132</v>
      </c>
      <c r="P20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09" s="20">
        <f>Table2[[#This Row],[Net_Engagement]]/Table2[[#This Row],[Total_Budget]]</f>
        <v>1.3325E-2</v>
      </c>
      <c r="R20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0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10" spans="1:19" ht="15.75" customHeight="1">
      <c r="A210" s="3" t="s">
        <v>249</v>
      </c>
      <c r="B210" s="3" t="s">
        <v>24</v>
      </c>
      <c r="C210" s="5">
        <v>45492</v>
      </c>
      <c r="D210" s="3" t="s">
        <v>25</v>
      </c>
      <c r="E210" s="3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3" t="s">
        <v>39</v>
      </c>
      <c r="M210" s="3" t="s">
        <v>18</v>
      </c>
      <c r="N210" s="16">
        <f t="shared" si="3"/>
        <v>7.7181741758116917</v>
      </c>
      <c r="O210" s="4">
        <f>SUM(Table2[[#This Row],[Likes]],Table2[[#This Row],[Shares]],Table2[[#This Row],[Comments]])</f>
        <v>3397</v>
      </c>
      <c r="P21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10" s="20">
        <f>Table2[[#This Row],[Net_Engagement]]/Table2[[#This Row],[Total_Budget]]</f>
        <v>1.6985E-2</v>
      </c>
      <c r="R21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1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11" spans="1:19" ht="15.75" customHeight="1">
      <c r="A211" s="3" t="s">
        <v>250</v>
      </c>
      <c r="B211" s="3" t="s">
        <v>24</v>
      </c>
      <c r="C211" s="5">
        <v>45780</v>
      </c>
      <c r="D211" s="3" t="s">
        <v>25</v>
      </c>
      <c r="E211" s="3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3" t="s">
        <v>17</v>
      </c>
      <c r="M211" s="3" t="s">
        <v>18</v>
      </c>
      <c r="N211" s="16">
        <f t="shared" si="3"/>
        <v>3.4110398272247981</v>
      </c>
      <c r="O211" s="4">
        <f>SUM(Table2[[#This Row],[Likes]],Table2[[#This Row],[Shares]],Table2[[#This Row],[Comments]])</f>
        <v>1611</v>
      </c>
      <c r="P21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11" s="20">
        <f>Table2[[#This Row],[Net_Engagement]]/Table2[[#This Row],[Total_Budget]]</f>
        <v>8.0549999999999997E-3</v>
      </c>
      <c r="R21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1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12" spans="1:19" ht="15.75" customHeight="1">
      <c r="A212" s="3" t="s">
        <v>251</v>
      </c>
      <c r="B212" s="3" t="s">
        <v>24</v>
      </c>
      <c r="C212" s="5">
        <v>45396</v>
      </c>
      <c r="D212" s="3" t="s">
        <v>25</v>
      </c>
      <c r="E212" s="3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3" t="s">
        <v>39</v>
      </c>
      <c r="M212" s="3" t="s">
        <v>18</v>
      </c>
      <c r="N212" s="16">
        <f t="shared" si="3"/>
        <v>3.1623578076525334</v>
      </c>
      <c r="O212" s="4">
        <f>SUM(Table2[[#This Row],[Likes]],Table2[[#This Row],[Shares]],Table2[[#This Row],[Comments]])</f>
        <v>1529</v>
      </c>
      <c r="P21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12" s="20">
        <f>Table2[[#This Row],[Net_Engagement]]/Table2[[#This Row],[Total_Budget]]</f>
        <v>7.6449999999999999E-3</v>
      </c>
      <c r="R21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1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13" spans="1:19" ht="15.75" customHeight="1">
      <c r="A213" s="3" t="s">
        <v>252</v>
      </c>
      <c r="B213" s="3" t="s">
        <v>24</v>
      </c>
      <c r="C213" s="5">
        <v>45827</v>
      </c>
      <c r="D213" s="3" t="s">
        <v>25</v>
      </c>
      <c r="E213" s="3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3" t="s">
        <v>39</v>
      </c>
      <c r="M213" s="3" t="s">
        <v>18</v>
      </c>
      <c r="N213" s="16">
        <f t="shared" si="3"/>
        <v>4.0153279184466735</v>
      </c>
      <c r="O213" s="4">
        <f>SUM(Table2[[#This Row],[Likes]],Table2[[#This Row],[Shares]],Table2[[#This Row],[Comments]])</f>
        <v>2190</v>
      </c>
      <c r="P21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13" s="20">
        <f>Table2[[#This Row],[Net_Engagement]]/Table2[[#This Row],[Total_Budget]]</f>
        <v>1.095E-2</v>
      </c>
      <c r="R21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1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14" spans="1:19" ht="15.75" customHeight="1">
      <c r="A214" s="3" t="s">
        <v>253</v>
      </c>
      <c r="B214" s="3" t="s">
        <v>14</v>
      </c>
      <c r="C214" s="5">
        <v>45832</v>
      </c>
      <c r="D214" s="3" t="s">
        <v>25</v>
      </c>
      <c r="E214" s="3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3" t="s">
        <v>42</v>
      </c>
      <c r="M214" s="3" t="s">
        <v>55</v>
      </c>
      <c r="N214" s="16">
        <f t="shared" si="3"/>
        <v>17.995832544042432</v>
      </c>
      <c r="O214" s="4">
        <f>SUM(Table2[[#This Row],[Likes]],Table2[[#This Row],[Shares]],Table2[[#This Row],[Comments]])</f>
        <v>5700</v>
      </c>
      <c r="P21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214" s="20">
        <f>Table2[[#This Row],[Net_Engagement]]/Table2[[#This Row],[Total_Budget]]</f>
        <v>2.5333333333333333E-2</v>
      </c>
      <c r="R21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21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215" spans="1:19" ht="15.75" customHeight="1">
      <c r="A215" s="3" t="s">
        <v>254</v>
      </c>
      <c r="B215" s="3" t="s">
        <v>24</v>
      </c>
      <c r="C215" s="5">
        <v>45574</v>
      </c>
      <c r="D215" s="3" t="s">
        <v>15</v>
      </c>
      <c r="E215" s="3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3" t="s">
        <v>45</v>
      </c>
      <c r="M215" s="3" t="s">
        <v>22</v>
      </c>
      <c r="N215" s="16">
        <f t="shared" si="3"/>
        <v>12.555218709398009</v>
      </c>
      <c r="O215" s="4">
        <f>SUM(Table2[[#This Row],[Likes]],Table2[[#This Row],[Shares]],Table2[[#This Row],[Comments]])</f>
        <v>2899</v>
      </c>
      <c r="P21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15" s="20">
        <f>Table2[[#This Row],[Net_Engagement]]/Table2[[#This Row],[Total_Budget]]</f>
        <v>1.8118749999999999E-2</v>
      </c>
      <c r="R21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1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16" spans="1:19" ht="15.75" customHeight="1">
      <c r="A216" s="3" t="s">
        <v>255</v>
      </c>
      <c r="B216" s="3" t="s">
        <v>31</v>
      </c>
      <c r="C216" s="5">
        <v>45672</v>
      </c>
      <c r="D216" s="3" t="s">
        <v>15</v>
      </c>
      <c r="E216" s="3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3" t="s">
        <v>33</v>
      </c>
      <c r="M216" s="3" t="s">
        <v>22</v>
      </c>
      <c r="N216" s="16">
        <f t="shared" si="3"/>
        <v>8.2744836775483019</v>
      </c>
      <c r="O216" s="4">
        <f>SUM(Table2[[#This Row],[Likes]],Table2[[#This Row],[Shares]],Table2[[#This Row],[Comments]])</f>
        <v>3105</v>
      </c>
      <c r="P21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16" s="20">
        <f>Table2[[#This Row],[Net_Engagement]]/Table2[[#This Row],[Total_Budget]]</f>
        <v>1.940625E-2</v>
      </c>
      <c r="R21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1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17" spans="1:19" ht="15.75" customHeight="1">
      <c r="A217" s="3" t="s">
        <v>256</v>
      </c>
      <c r="B217" s="3" t="s">
        <v>24</v>
      </c>
      <c r="C217" s="5">
        <v>45669</v>
      </c>
      <c r="D217" s="3" t="s">
        <v>15</v>
      </c>
      <c r="E217" s="3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3" t="s">
        <v>45</v>
      </c>
      <c r="M217" s="3" t="s">
        <v>22</v>
      </c>
      <c r="N217" s="16">
        <f t="shared" si="3"/>
        <v>5.2041730205988426</v>
      </c>
      <c r="O217" s="4">
        <f>SUM(Table2[[#This Row],[Likes]],Table2[[#This Row],[Shares]],Table2[[#This Row],[Comments]])</f>
        <v>2150</v>
      </c>
      <c r="P21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17" s="20">
        <f>Table2[[#This Row],[Net_Engagement]]/Table2[[#This Row],[Total_Budget]]</f>
        <v>1.34375E-2</v>
      </c>
      <c r="R21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1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18" spans="1:19" ht="15.75" customHeight="1">
      <c r="A218" s="3" t="s">
        <v>257</v>
      </c>
      <c r="B218" s="3" t="s">
        <v>14</v>
      </c>
      <c r="C218" s="5">
        <v>45808</v>
      </c>
      <c r="D218" s="3" t="s">
        <v>15</v>
      </c>
      <c r="E218" s="3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3" t="s">
        <v>17</v>
      </c>
      <c r="M218" s="3" t="s">
        <v>18</v>
      </c>
      <c r="N218" s="16">
        <f t="shared" si="3"/>
        <v>9.4450189589796612</v>
      </c>
      <c r="O218" s="4">
        <f>SUM(Table2[[#This Row],[Likes]],Table2[[#This Row],[Shares]],Table2[[#This Row],[Comments]])</f>
        <v>2466</v>
      </c>
      <c r="P21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18" s="20">
        <f>Table2[[#This Row],[Net_Engagement]]/Table2[[#This Row],[Total_Budget]]</f>
        <v>1.2330000000000001E-2</v>
      </c>
      <c r="R21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1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19" spans="1:19" ht="15.75" customHeight="1">
      <c r="A219" s="3" t="s">
        <v>258</v>
      </c>
      <c r="B219" s="3" t="s">
        <v>24</v>
      </c>
      <c r="C219" s="5">
        <v>45579</v>
      </c>
      <c r="D219" s="3" t="s">
        <v>25</v>
      </c>
      <c r="E219" s="3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3" t="s">
        <v>39</v>
      </c>
      <c r="M219" s="3" t="s">
        <v>18</v>
      </c>
      <c r="N219" s="16">
        <f t="shared" si="3"/>
        <v>12.409349336702464</v>
      </c>
      <c r="O219" s="4">
        <f>SUM(Table2[[#This Row],[Likes]],Table2[[#This Row],[Shares]],Table2[[#This Row],[Comments]])</f>
        <v>4911</v>
      </c>
      <c r="P21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19" s="20">
        <f>Table2[[#This Row],[Net_Engagement]]/Table2[[#This Row],[Total_Budget]]</f>
        <v>2.4555E-2</v>
      </c>
      <c r="R21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1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20" spans="1:19" ht="15.75" customHeight="1">
      <c r="A220" s="3" t="s">
        <v>259</v>
      </c>
      <c r="B220" s="3" t="s">
        <v>24</v>
      </c>
      <c r="C220" s="5">
        <v>45332</v>
      </c>
      <c r="D220" s="3" t="s">
        <v>15</v>
      </c>
      <c r="E220" s="3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3" t="s">
        <v>45</v>
      </c>
      <c r="M220" s="3" t="s">
        <v>22</v>
      </c>
      <c r="N220" s="16">
        <f t="shared" si="3"/>
        <v>4.5610431884675746</v>
      </c>
      <c r="O220" s="4">
        <f>SUM(Table2[[#This Row],[Likes]],Table2[[#This Row],[Shares]],Table2[[#This Row],[Comments]])</f>
        <v>2354</v>
      </c>
      <c r="P22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20" s="20">
        <f>Table2[[#This Row],[Net_Engagement]]/Table2[[#This Row],[Total_Budget]]</f>
        <v>1.47125E-2</v>
      </c>
      <c r="R22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2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21" spans="1:19" ht="15.75" customHeight="1">
      <c r="A221" s="3" t="s">
        <v>260</v>
      </c>
      <c r="B221" s="3" t="s">
        <v>31</v>
      </c>
      <c r="C221" s="5">
        <v>45636</v>
      </c>
      <c r="D221" s="3" t="s">
        <v>15</v>
      </c>
      <c r="E221" s="3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3" t="s">
        <v>33</v>
      </c>
      <c r="M221" s="3" t="s">
        <v>22</v>
      </c>
      <c r="N221" s="16">
        <f t="shared" si="3"/>
        <v>8.0371103929948919</v>
      </c>
      <c r="O221" s="4">
        <f>SUM(Table2[[#This Row],[Likes]],Table2[[#This Row],[Shares]],Table2[[#This Row],[Comments]])</f>
        <v>3084</v>
      </c>
      <c r="P22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21" s="20">
        <f>Table2[[#This Row],[Net_Engagement]]/Table2[[#This Row],[Total_Budget]]</f>
        <v>1.9275E-2</v>
      </c>
      <c r="R22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2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22" spans="1:19" ht="15.75" customHeight="1">
      <c r="A222" s="3" t="s">
        <v>261</v>
      </c>
      <c r="B222" s="3" t="s">
        <v>24</v>
      </c>
      <c r="C222" s="5">
        <v>45786</v>
      </c>
      <c r="D222" s="3" t="s">
        <v>25</v>
      </c>
      <c r="E222" s="3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3" t="s">
        <v>27</v>
      </c>
      <c r="M222" s="3" t="s">
        <v>18</v>
      </c>
      <c r="N222" s="16">
        <f t="shared" si="3"/>
        <v>12.71002400274317</v>
      </c>
      <c r="O222" s="4">
        <f>SUM(Table2[[#This Row],[Likes]],Table2[[#This Row],[Shares]],Table2[[#This Row],[Comments]])</f>
        <v>3336</v>
      </c>
      <c r="P22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22" s="20">
        <f>Table2[[#This Row],[Net_Engagement]]/Table2[[#This Row],[Total_Budget]]</f>
        <v>1.668E-2</v>
      </c>
      <c r="R22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2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23" spans="1:19" ht="15.75" customHeight="1">
      <c r="A223" s="3" t="s">
        <v>262</v>
      </c>
      <c r="B223" s="3" t="s">
        <v>24</v>
      </c>
      <c r="C223" s="5">
        <v>45829</v>
      </c>
      <c r="D223" s="3" t="s">
        <v>15</v>
      </c>
      <c r="E223" s="3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3" t="s">
        <v>42</v>
      </c>
      <c r="M223" s="3" t="s">
        <v>18</v>
      </c>
      <c r="N223" s="16">
        <f t="shared" si="3"/>
        <v>8.6602037169406714</v>
      </c>
      <c r="O223" s="4">
        <f>SUM(Table2[[#This Row],[Likes]],Table2[[#This Row],[Shares]],Table2[[#This Row],[Comments]])</f>
        <v>3877</v>
      </c>
      <c r="P22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23" s="20">
        <f>Table2[[#This Row],[Net_Engagement]]/Table2[[#This Row],[Total_Budget]]</f>
        <v>1.9384999999999999E-2</v>
      </c>
      <c r="R22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2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24" spans="1:19" ht="15.75" customHeight="1">
      <c r="A224" s="3" t="s">
        <v>263</v>
      </c>
      <c r="B224" s="3" t="s">
        <v>24</v>
      </c>
      <c r="C224" s="5">
        <v>45462</v>
      </c>
      <c r="D224" s="3" t="s">
        <v>15</v>
      </c>
      <c r="E224" s="3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3" t="s">
        <v>45</v>
      </c>
      <c r="M224" s="3" t="s">
        <v>22</v>
      </c>
      <c r="N224" s="16">
        <f t="shared" si="3"/>
        <v>2.9336922849977873</v>
      </c>
      <c r="O224" s="4">
        <f>SUM(Table2[[#This Row],[Likes]],Table2[[#This Row],[Shares]],Table2[[#This Row],[Comments]])</f>
        <v>1591</v>
      </c>
      <c r="P22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24" s="20">
        <f>Table2[[#This Row],[Net_Engagement]]/Table2[[#This Row],[Total_Budget]]</f>
        <v>9.9437499999999995E-3</v>
      </c>
      <c r="R22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2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25" spans="1:19" ht="15.75" customHeight="1">
      <c r="A225" s="3" t="s">
        <v>264</v>
      </c>
      <c r="B225" s="3" t="s">
        <v>24</v>
      </c>
      <c r="C225" s="5">
        <v>45636</v>
      </c>
      <c r="D225" s="3" t="s">
        <v>15</v>
      </c>
      <c r="E225" s="3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3" t="s">
        <v>42</v>
      </c>
      <c r="M225" s="3" t="s">
        <v>18</v>
      </c>
      <c r="N225" s="16">
        <f t="shared" si="3"/>
        <v>11.126822801590809</v>
      </c>
      <c r="O225" s="4">
        <f>SUM(Table2[[#This Row],[Likes]],Table2[[#This Row],[Shares]],Table2[[#This Row],[Comments]])</f>
        <v>5036</v>
      </c>
      <c r="P22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25" s="20">
        <f>Table2[[#This Row],[Net_Engagement]]/Table2[[#This Row],[Total_Budget]]</f>
        <v>2.5180000000000001E-2</v>
      </c>
      <c r="R22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2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26" spans="1:19" ht="15.75" customHeight="1">
      <c r="A226" s="3" t="s">
        <v>265</v>
      </c>
      <c r="B226" s="3" t="s">
        <v>31</v>
      </c>
      <c r="C226" s="5">
        <v>45323</v>
      </c>
      <c r="D226" s="3" t="s">
        <v>15</v>
      </c>
      <c r="E226" s="3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3" t="s">
        <v>33</v>
      </c>
      <c r="M226" s="3" t="s">
        <v>22</v>
      </c>
      <c r="N226" s="16">
        <f t="shared" si="3"/>
        <v>5.2566815966924256</v>
      </c>
      <c r="O226" s="4">
        <f>SUM(Table2[[#This Row],[Likes]],Table2[[#This Row],[Shares]],Table2[[#This Row],[Comments]])</f>
        <v>2136</v>
      </c>
      <c r="P22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26" s="20">
        <f>Table2[[#This Row],[Net_Engagement]]/Table2[[#This Row],[Total_Budget]]</f>
        <v>1.3350000000000001E-2</v>
      </c>
      <c r="R22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2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27" spans="1:19" ht="15.75" customHeight="1">
      <c r="A227" s="3" t="s">
        <v>266</v>
      </c>
      <c r="B227" s="3" t="s">
        <v>24</v>
      </c>
      <c r="C227" s="5">
        <v>45308</v>
      </c>
      <c r="D227" s="3" t="s">
        <v>25</v>
      </c>
      <c r="E227" s="3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3" t="s">
        <v>27</v>
      </c>
      <c r="M227" s="3" t="s">
        <v>18</v>
      </c>
      <c r="N227" s="16">
        <f t="shared" si="3"/>
        <v>5.2513742764570974</v>
      </c>
      <c r="O227" s="4">
        <f>SUM(Table2[[#This Row],[Likes]],Table2[[#This Row],[Shares]],Table2[[#This Row],[Comments]])</f>
        <v>2885</v>
      </c>
      <c r="P22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27" s="20">
        <f>Table2[[#This Row],[Net_Engagement]]/Table2[[#This Row],[Total_Budget]]</f>
        <v>1.4425E-2</v>
      </c>
      <c r="R22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2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28" spans="1:19" ht="15.75" customHeight="1">
      <c r="A228" s="3" t="s">
        <v>267</v>
      </c>
      <c r="B228" s="3" t="s">
        <v>31</v>
      </c>
      <c r="C228" s="5">
        <v>45738</v>
      </c>
      <c r="D228" s="3" t="s">
        <v>15</v>
      </c>
      <c r="E228" s="3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3" t="s">
        <v>33</v>
      </c>
      <c r="M228" s="3" t="s">
        <v>22</v>
      </c>
      <c r="N228" s="16">
        <f t="shared" si="3"/>
        <v>12.406981463942634</v>
      </c>
      <c r="O228" s="4">
        <f>SUM(Table2[[#This Row],[Likes]],Table2[[#This Row],[Shares]],Table2[[#This Row],[Comments]])</f>
        <v>4585</v>
      </c>
      <c r="P22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28" s="20">
        <f>Table2[[#This Row],[Net_Engagement]]/Table2[[#This Row],[Total_Budget]]</f>
        <v>2.8656250000000001E-2</v>
      </c>
      <c r="R22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2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29" spans="1:19" ht="15.75" customHeight="1">
      <c r="A229" s="3" t="s">
        <v>268</v>
      </c>
      <c r="B229" s="3" t="s">
        <v>31</v>
      </c>
      <c r="C229" s="5">
        <v>45442</v>
      </c>
      <c r="D229" s="3" t="s">
        <v>57</v>
      </c>
      <c r="E229" s="3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3" t="s">
        <v>58</v>
      </c>
      <c r="M229" s="3" t="s">
        <v>59</v>
      </c>
      <c r="N229" s="16">
        <f t="shared" si="3"/>
        <v>3.1839004091338254</v>
      </c>
      <c r="O229" s="4">
        <f>SUM(Table2[[#This Row],[Likes]],Table2[[#This Row],[Shares]],Table2[[#This Row],[Comments]])</f>
        <v>1821</v>
      </c>
      <c r="P22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29" s="20">
        <f>Table2[[#This Row],[Net_Engagement]]/Table2[[#This Row],[Total_Budget]]</f>
        <v>1.0405714285714285E-2</v>
      </c>
      <c r="R22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2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30" spans="1:19" ht="15.75" customHeight="1">
      <c r="A230" s="3" t="s">
        <v>269</v>
      </c>
      <c r="B230" s="3" t="s">
        <v>31</v>
      </c>
      <c r="C230" s="5">
        <v>45346</v>
      </c>
      <c r="D230" s="3" t="s">
        <v>15</v>
      </c>
      <c r="E230" s="3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3" t="s">
        <v>33</v>
      </c>
      <c r="M230" s="3" t="s">
        <v>22</v>
      </c>
      <c r="N230" s="16">
        <f t="shared" si="3"/>
        <v>9.1919262958013928</v>
      </c>
      <c r="O230" s="4">
        <f>SUM(Table2[[#This Row],[Likes]],Table2[[#This Row],[Shares]],Table2[[#This Row],[Comments]])</f>
        <v>5228</v>
      </c>
      <c r="P23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30" s="20">
        <f>Table2[[#This Row],[Net_Engagement]]/Table2[[#This Row],[Total_Budget]]</f>
        <v>3.2675000000000003E-2</v>
      </c>
      <c r="R23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3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31" spans="1:19" ht="15.75" customHeight="1">
      <c r="A231" s="3" t="s">
        <v>270</v>
      </c>
      <c r="B231" s="3" t="s">
        <v>31</v>
      </c>
      <c r="C231" s="5">
        <v>45791</v>
      </c>
      <c r="D231" s="3" t="s">
        <v>15</v>
      </c>
      <c r="E231" s="3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3" t="s">
        <v>33</v>
      </c>
      <c r="M231" s="3" t="s">
        <v>22</v>
      </c>
      <c r="N231" s="16">
        <f t="shared" si="3"/>
        <v>4.9646286003031834</v>
      </c>
      <c r="O231" s="4">
        <f>SUM(Table2[[#This Row],[Likes]],Table2[[#This Row],[Shares]],Table2[[#This Row],[Comments]])</f>
        <v>2358</v>
      </c>
      <c r="P23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31" s="20">
        <f>Table2[[#This Row],[Net_Engagement]]/Table2[[#This Row],[Total_Budget]]</f>
        <v>1.4737500000000001E-2</v>
      </c>
      <c r="R23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3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32" spans="1:19" ht="15.75" customHeight="1">
      <c r="A232" s="3" t="s">
        <v>271</v>
      </c>
      <c r="B232" s="3" t="s">
        <v>14</v>
      </c>
      <c r="C232" s="5">
        <v>45379</v>
      </c>
      <c r="D232" s="3" t="s">
        <v>15</v>
      </c>
      <c r="E232" s="3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3" t="s">
        <v>17</v>
      </c>
      <c r="M232" s="3" t="s">
        <v>18</v>
      </c>
      <c r="N232" s="16">
        <f t="shared" si="3"/>
        <v>6.7678493650953202</v>
      </c>
      <c r="O232" s="4">
        <f>SUM(Table2[[#This Row],[Likes]],Table2[[#This Row],[Shares]],Table2[[#This Row],[Comments]])</f>
        <v>2020</v>
      </c>
      <c r="P23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32" s="20">
        <f>Table2[[#This Row],[Net_Engagement]]/Table2[[#This Row],[Total_Budget]]</f>
        <v>1.01E-2</v>
      </c>
      <c r="R23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3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33" spans="1:19" ht="15.75" customHeight="1">
      <c r="A233" s="3" t="s">
        <v>272</v>
      </c>
      <c r="B233" s="3" t="s">
        <v>31</v>
      </c>
      <c r="C233" s="5">
        <v>45723</v>
      </c>
      <c r="D233" s="3" t="s">
        <v>15</v>
      </c>
      <c r="E233" s="3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3" t="s">
        <v>33</v>
      </c>
      <c r="M233" s="3" t="s">
        <v>22</v>
      </c>
      <c r="N233" s="16">
        <f t="shared" si="3"/>
        <v>10.985069273191947</v>
      </c>
      <c r="O233" s="4">
        <f>SUM(Table2[[#This Row],[Likes]],Table2[[#This Row],[Shares]],Table2[[#This Row],[Comments]])</f>
        <v>4900</v>
      </c>
      <c r="P23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33" s="20">
        <f>Table2[[#This Row],[Net_Engagement]]/Table2[[#This Row],[Total_Budget]]</f>
        <v>3.0624999999999999E-2</v>
      </c>
      <c r="R23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3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34" spans="1:19" ht="15.75" customHeight="1">
      <c r="A234" s="3" t="s">
        <v>273</v>
      </c>
      <c r="B234" s="3" t="s">
        <v>24</v>
      </c>
      <c r="C234" s="5">
        <v>45585</v>
      </c>
      <c r="D234" s="3" t="s">
        <v>15</v>
      </c>
      <c r="E234" s="3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3" t="s">
        <v>42</v>
      </c>
      <c r="M234" s="3" t="s">
        <v>18</v>
      </c>
      <c r="N234" s="16">
        <f t="shared" si="3"/>
        <v>8.0741841282852604</v>
      </c>
      <c r="O234" s="4">
        <f>SUM(Table2[[#This Row],[Likes]],Table2[[#This Row],[Shares]],Table2[[#This Row],[Comments]])</f>
        <v>3152</v>
      </c>
      <c r="P23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34" s="20">
        <f>Table2[[#This Row],[Net_Engagement]]/Table2[[#This Row],[Total_Budget]]</f>
        <v>1.576E-2</v>
      </c>
      <c r="R23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3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35" spans="1:19" ht="15.75" customHeight="1">
      <c r="A235" s="3" t="s">
        <v>274</v>
      </c>
      <c r="B235" s="3" t="s">
        <v>24</v>
      </c>
      <c r="C235" s="5">
        <v>45324</v>
      </c>
      <c r="D235" s="3" t="s">
        <v>15</v>
      </c>
      <c r="E235" s="3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3" t="s">
        <v>42</v>
      </c>
      <c r="M235" s="3" t="s">
        <v>18</v>
      </c>
      <c r="N235" s="16">
        <f t="shared" si="3"/>
        <v>16.790703227603775</v>
      </c>
      <c r="O235" s="4">
        <f>SUM(Table2[[#This Row],[Likes]],Table2[[#This Row],[Shares]],Table2[[#This Row],[Comments]])</f>
        <v>4219</v>
      </c>
      <c r="P23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35" s="20">
        <f>Table2[[#This Row],[Net_Engagement]]/Table2[[#This Row],[Total_Budget]]</f>
        <v>2.1094999999999999E-2</v>
      </c>
      <c r="R23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3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36" spans="1:19" ht="15.75" customHeight="1">
      <c r="A236" s="3" t="s">
        <v>275</v>
      </c>
      <c r="B236" s="3" t="s">
        <v>31</v>
      </c>
      <c r="C236" s="5">
        <v>45542</v>
      </c>
      <c r="D236" s="3" t="s">
        <v>15</v>
      </c>
      <c r="E236" s="3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3" t="s">
        <v>33</v>
      </c>
      <c r="M236" s="3" t="s">
        <v>22</v>
      </c>
      <c r="N236" s="16">
        <f t="shared" si="3"/>
        <v>6.4655069273288515</v>
      </c>
      <c r="O236" s="4">
        <f>SUM(Table2[[#This Row],[Likes]],Table2[[#This Row],[Shares]],Table2[[#This Row],[Comments]])</f>
        <v>2702</v>
      </c>
      <c r="P23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36" s="20">
        <f>Table2[[#This Row],[Net_Engagement]]/Table2[[#This Row],[Total_Budget]]</f>
        <v>1.68875E-2</v>
      </c>
      <c r="R23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3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37" spans="1:19" ht="15.75" customHeight="1">
      <c r="A237" s="3" t="s">
        <v>276</v>
      </c>
      <c r="B237" s="3" t="s">
        <v>14</v>
      </c>
      <c r="C237" s="5">
        <v>45646</v>
      </c>
      <c r="D237" s="3" t="s">
        <v>15</v>
      </c>
      <c r="E237" s="3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3" t="s">
        <v>21</v>
      </c>
      <c r="M237" s="3" t="s">
        <v>22</v>
      </c>
      <c r="N237" s="16">
        <f t="shared" si="3"/>
        <v>8.166643674989654</v>
      </c>
      <c r="O237" s="4">
        <f>SUM(Table2[[#This Row],[Likes]],Table2[[#This Row],[Shares]],Table2[[#This Row],[Comments]])</f>
        <v>2960</v>
      </c>
      <c r="P23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37" s="20">
        <f>Table2[[#This Row],[Net_Engagement]]/Table2[[#This Row],[Total_Budget]]</f>
        <v>1.8499999999999999E-2</v>
      </c>
      <c r="R23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3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38" spans="1:19" ht="15.75" customHeight="1">
      <c r="A238" s="3" t="s">
        <v>277</v>
      </c>
      <c r="B238" s="3" t="s">
        <v>31</v>
      </c>
      <c r="C238" s="5">
        <v>45305</v>
      </c>
      <c r="D238" s="3" t="s">
        <v>15</v>
      </c>
      <c r="E238" s="3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3" t="s">
        <v>33</v>
      </c>
      <c r="M238" s="3" t="s">
        <v>22</v>
      </c>
      <c r="N238" s="16">
        <f t="shared" si="3"/>
        <v>13.077197816215113</v>
      </c>
      <c r="O238" s="4">
        <f>SUM(Table2[[#This Row],[Likes]],Table2[[#This Row],[Shares]],Table2[[#This Row],[Comments]])</f>
        <v>5126</v>
      </c>
      <c r="P23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38" s="20">
        <f>Table2[[#This Row],[Net_Engagement]]/Table2[[#This Row],[Total_Budget]]</f>
        <v>3.2037499999999997E-2</v>
      </c>
      <c r="R23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3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39" spans="1:19" ht="15.75" customHeight="1">
      <c r="A239" s="3" t="s">
        <v>278</v>
      </c>
      <c r="B239" s="3" t="s">
        <v>14</v>
      </c>
      <c r="C239" s="5">
        <v>45823</v>
      </c>
      <c r="D239" s="3" t="s">
        <v>15</v>
      </c>
      <c r="E239" s="3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3" t="s">
        <v>17</v>
      </c>
      <c r="M239" s="3" t="s">
        <v>18</v>
      </c>
      <c r="N239" s="16">
        <f t="shared" si="3"/>
        <v>5.3094209744904841</v>
      </c>
      <c r="O239" s="4">
        <f>SUM(Table2[[#This Row],[Likes]],Table2[[#This Row],[Shares]],Table2[[#This Row],[Comments]])</f>
        <v>3147</v>
      </c>
      <c r="P23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39" s="20">
        <f>Table2[[#This Row],[Net_Engagement]]/Table2[[#This Row],[Total_Budget]]</f>
        <v>1.5734999999999999E-2</v>
      </c>
      <c r="R23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3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40" spans="1:19" ht="15.75" customHeight="1">
      <c r="A240" s="3" t="s">
        <v>279</v>
      </c>
      <c r="B240" s="3" t="s">
        <v>24</v>
      </c>
      <c r="C240" s="5">
        <v>45639</v>
      </c>
      <c r="D240" s="3" t="s">
        <v>25</v>
      </c>
      <c r="E240" s="3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3" t="s">
        <v>27</v>
      </c>
      <c r="M240" s="3" t="s">
        <v>18</v>
      </c>
      <c r="N240" s="16">
        <f t="shared" si="3"/>
        <v>17.088145896656535</v>
      </c>
      <c r="O240" s="4">
        <f>SUM(Table2[[#This Row],[Likes]],Table2[[#This Row],[Shares]],Table2[[#This Row],[Comments]])</f>
        <v>5622</v>
      </c>
      <c r="P24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40" s="20">
        <f>Table2[[#This Row],[Net_Engagement]]/Table2[[#This Row],[Total_Budget]]</f>
        <v>2.811E-2</v>
      </c>
      <c r="R24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4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41" spans="1:19" ht="15.75" customHeight="1">
      <c r="A241" s="3" t="s">
        <v>280</v>
      </c>
      <c r="B241" s="3" t="s">
        <v>31</v>
      </c>
      <c r="C241" s="5">
        <v>45533</v>
      </c>
      <c r="D241" s="3" t="s">
        <v>15</v>
      </c>
      <c r="E241" s="3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3" t="s">
        <v>33</v>
      </c>
      <c r="M241" s="3" t="s">
        <v>22</v>
      </c>
      <c r="N241" s="16">
        <f t="shared" si="3"/>
        <v>10.547128720437092</v>
      </c>
      <c r="O241" s="4">
        <f>SUM(Table2[[#This Row],[Likes]],Table2[[#This Row],[Shares]],Table2[[#This Row],[Comments]])</f>
        <v>5521</v>
      </c>
      <c r="P24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41" s="20">
        <f>Table2[[#This Row],[Net_Engagement]]/Table2[[#This Row],[Total_Budget]]</f>
        <v>3.4506250000000002E-2</v>
      </c>
      <c r="R24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4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42" spans="1:19" ht="15.75" customHeight="1">
      <c r="A242" s="3" t="s">
        <v>281</v>
      </c>
      <c r="B242" s="3" t="s">
        <v>24</v>
      </c>
      <c r="C242" s="5">
        <v>45550</v>
      </c>
      <c r="D242" s="3" t="s">
        <v>15</v>
      </c>
      <c r="E242" s="3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3" t="s">
        <v>42</v>
      </c>
      <c r="M242" s="3" t="s">
        <v>18</v>
      </c>
      <c r="N242" s="16">
        <f t="shared" si="3"/>
        <v>4.8196838137389122</v>
      </c>
      <c r="O242" s="4">
        <f>SUM(Table2[[#This Row],[Likes]],Table2[[#This Row],[Shares]],Table2[[#This Row],[Comments]])</f>
        <v>2570</v>
      </c>
      <c r="P24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42" s="20">
        <f>Table2[[#This Row],[Net_Engagement]]/Table2[[#This Row],[Total_Budget]]</f>
        <v>1.285E-2</v>
      </c>
      <c r="R24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4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43" spans="1:19" ht="15.75" customHeight="1">
      <c r="A243" s="3" t="s">
        <v>282</v>
      </c>
      <c r="B243" s="3" t="s">
        <v>24</v>
      </c>
      <c r="C243" s="5">
        <v>45759</v>
      </c>
      <c r="D243" s="3" t="s">
        <v>25</v>
      </c>
      <c r="E243" s="3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3" t="s">
        <v>39</v>
      </c>
      <c r="M243" s="3" t="s">
        <v>18</v>
      </c>
      <c r="N243" s="16">
        <f t="shared" si="3"/>
        <v>13.404136389044158</v>
      </c>
      <c r="O243" s="4">
        <f>SUM(Table2[[#This Row],[Likes]],Table2[[#This Row],[Shares]],Table2[[#This Row],[Comments]])</f>
        <v>4796</v>
      </c>
      <c r="P24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43" s="20">
        <f>Table2[[#This Row],[Net_Engagement]]/Table2[[#This Row],[Total_Budget]]</f>
        <v>2.3980000000000001E-2</v>
      </c>
      <c r="R24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4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44" spans="1:19" ht="15.75" customHeight="1">
      <c r="A244" s="3" t="s">
        <v>283</v>
      </c>
      <c r="B244" s="3" t="s">
        <v>24</v>
      </c>
      <c r="C244" s="5">
        <v>45636</v>
      </c>
      <c r="D244" s="3" t="s">
        <v>25</v>
      </c>
      <c r="E244" s="3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3" t="s">
        <v>39</v>
      </c>
      <c r="M244" s="3" t="s">
        <v>18</v>
      </c>
      <c r="N244" s="16">
        <f t="shared" si="3"/>
        <v>9.8193807339449553</v>
      </c>
      <c r="O244" s="4">
        <f>SUM(Table2[[#This Row],[Likes]],Table2[[#This Row],[Shares]],Table2[[#This Row],[Comments]])</f>
        <v>2740</v>
      </c>
      <c r="P24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44" s="20">
        <f>Table2[[#This Row],[Net_Engagement]]/Table2[[#This Row],[Total_Budget]]</f>
        <v>1.37E-2</v>
      </c>
      <c r="R24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4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45" spans="1:19" ht="15.75" customHeight="1">
      <c r="A245" s="3" t="s">
        <v>284</v>
      </c>
      <c r="B245" s="3" t="s">
        <v>31</v>
      </c>
      <c r="C245" s="5">
        <v>45816</v>
      </c>
      <c r="D245" s="3" t="s">
        <v>15</v>
      </c>
      <c r="E245" s="3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3" t="s">
        <v>33</v>
      </c>
      <c r="M245" s="3" t="s">
        <v>22</v>
      </c>
      <c r="N245" s="16">
        <f t="shared" si="3"/>
        <v>8.6517714206166918</v>
      </c>
      <c r="O245" s="4">
        <f>SUM(Table2[[#This Row],[Likes]],Table2[[#This Row],[Shares]],Table2[[#This Row],[Comments]])</f>
        <v>4972</v>
      </c>
      <c r="P24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45" s="20">
        <f>Table2[[#This Row],[Net_Engagement]]/Table2[[#This Row],[Total_Budget]]</f>
        <v>3.1074999999999998E-2</v>
      </c>
      <c r="R24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4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46" spans="1:19" ht="15.75" customHeight="1">
      <c r="A246" s="3" t="s">
        <v>285</v>
      </c>
      <c r="B246" s="3" t="s">
        <v>24</v>
      </c>
      <c r="C246" s="5">
        <v>45666</v>
      </c>
      <c r="D246" s="3" t="s">
        <v>25</v>
      </c>
      <c r="E246" s="3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3" t="s">
        <v>27</v>
      </c>
      <c r="M246" s="3" t="s">
        <v>18</v>
      </c>
      <c r="N246" s="16">
        <f t="shared" si="3"/>
        <v>9.271223672309084</v>
      </c>
      <c r="O246" s="4">
        <f>SUM(Table2[[#This Row],[Likes]],Table2[[#This Row],[Shares]],Table2[[#This Row],[Comments]])</f>
        <v>4305</v>
      </c>
      <c r="P24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46" s="20">
        <f>Table2[[#This Row],[Net_Engagement]]/Table2[[#This Row],[Total_Budget]]</f>
        <v>2.1524999999999999E-2</v>
      </c>
      <c r="R24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4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47" spans="1:19" ht="15.75" customHeight="1">
      <c r="A247" s="3" t="s">
        <v>286</v>
      </c>
      <c r="B247" s="3" t="s">
        <v>24</v>
      </c>
      <c r="C247" s="5">
        <v>45481</v>
      </c>
      <c r="D247" s="3" t="s">
        <v>25</v>
      </c>
      <c r="E247" s="3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3" t="s">
        <v>17</v>
      </c>
      <c r="M247" s="3" t="s">
        <v>18</v>
      </c>
      <c r="N247" s="16">
        <f t="shared" si="3"/>
        <v>16.477245248343568</v>
      </c>
      <c r="O247" s="4">
        <f>SUM(Table2[[#This Row],[Likes]],Table2[[#This Row],[Shares]],Table2[[#This Row],[Comments]])</f>
        <v>3407</v>
      </c>
      <c r="P24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47" s="20">
        <f>Table2[[#This Row],[Net_Engagement]]/Table2[[#This Row],[Total_Budget]]</f>
        <v>1.7035000000000002E-2</v>
      </c>
      <c r="R24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4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48" spans="1:19" ht="15.75" customHeight="1">
      <c r="A248" s="3" t="s">
        <v>287</v>
      </c>
      <c r="B248" s="3" t="s">
        <v>24</v>
      </c>
      <c r="C248" s="5">
        <v>45551</v>
      </c>
      <c r="D248" s="3" t="s">
        <v>25</v>
      </c>
      <c r="E248" s="3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3" t="s">
        <v>39</v>
      </c>
      <c r="M248" s="3" t="s">
        <v>18</v>
      </c>
      <c r="N248" s="16">
        <f t="shared" si="3"/>
        <v>7.1354340971940893</v>
      </c>
      <c r="O248" s="4">
        <f>SUM(Table2[[#This Row],[Likes]],Table2[[#This Row],[Shares]],Table2[[#This Row],[Comments]])</f>
        <v>4051</v>
      </c>
      <c r="P24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48" s="20">
        <f>Table2[[#This Row],[Net_Engagement]]/Table2[[#This Row],[Total_Budget]]</f>
        <v>2.0254999999999999E-2</v>
      </c>
      <c r="R24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4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49" spans="1:19" ht="15.75" customHeight="1">
      <c r="A249" s="3" t="s">
        <v>288</v>
      </c>
      <c r="B249" s="3" t="s">
        <v>31</v>
      </c>
      <c r="C249" s="5">
        <v>45457</v>
      </c>
      <c r="D249" s="3" t="s">
        <v>57</v>
      </c>
      <c r="E249" s="3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3" t="s">
        <v>58</v>
      </c>
      <c r="M249" s="3" t="s">
        <v>59</v>
      </c>
      <c r="N249" s="16">
        <f t="shared" si="3"/>
        <v>19.261223173659133</v>
      </c>
      <c r="O249" s="4">
        <f>SUM(Table2[[#This Row],[Likes]],Table2[[#This Row],[Shares]],Table2[[#This Row],[Comments]])</f>
        <v>5376</v>
      </c>
      <c r="P24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49" s="20">
        <f>Table2[[#This Row],[Net_Engagement]]/Table2[[#This Row],[Total_Budget]]</f>
        <v>3.0720000000000001E-2</v>
      </c>
      <c r="R24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4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50" spans="1:19" ht="15.75" customHeight="1">
      <c r="A250" s="3" t="s">
        <v>289</v>
      </c>
      <c r="B250" s="3" t="s">
        <v>14</v>
      </c>
      <c r="C250" s="5">
        <v>45357</v>
      </c>
      <c r="D250" s="3" t="s">
        <v>15</v>
      </c>
      <c r="E250" s="3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3" t="s">
        <v>21</v>
      </c>
      <c r="M250" s="3" t="s">
        <v>22</v>
      </c>
      <c r="N250" s="16">
        <f t="shared" si="3"/>
        <v>14.674444862627023</v>
      </c>
      <c r="O250" s="4">
        <f>SUM(Table2[[#This Row],[Likes]],Table2[[#This Row],[Shares]],Table2[[#This Row],[Comments]])</f>
        <v>3899</v>
      </c>
      <c r="P25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50" s="20">
        <f>Table2[[#This Row],[Net_Engagement]]/Table2[[#This Row],[Total_Budget]]</f>
        <v>2.4368750000000002E-2</v>
      </c>
      <c r="R25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5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51" spans="1:19" ht="15.75" customHeight="1">
      <c r="A251" s="3" t="s">
        <v>290</v>
      </c>
      <c r="B251" s="3" t="s">
        <v>24</v>
      </c>
      <c r="C251" s="5">
        <v>45792</v>
      </c>
      <c r="D251" s="3" t="s">
        <v>15</v>
      </c>
      <c r="E251" s="3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3" t="s">
        <v>42</v>
      </c>
      <c r="M251" s="3" t="s">
        <v>18</v>
      </c>
      <c r="N251" s="16">
        <f t="shared" si="3"/>
        <v>17.79948310005706</v>
      </c>
      <c r="O251" s="4">
        <f>SUM(Table2[[#This Row],[Likes]],Table2[[#This Row],[Shares]],Table2[[#This Row],[Comments]])</f>
        <v>5303</v>
      </c>
      <c r="P25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51" s="20">
        <f>Table2[[#This Row],[Net_Engagement]]/Table2[[#This Row],[Total_Budget]]</f>
        <v>2.6515E-2</v>
      </c>
      <c r="R25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5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52" spans="1:19" ht="15.75" customHeight="1">
      <c r="A252" s="3" t="s">
        <v>291</v>
      </c>
      <c r="B252" s="3" t="s">
        <v>24</v>
      </c>
      <c r="C252" s="5">
        <v>45480</v>
      </c>
      <c r="D252" s="3" t="s">
        <v>15</v>
      </c>
      <c r="E252" s="3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3" t="s">
        <v>45</v>
      </c>
      <c r="M252" s="3" t="s">
        <v>22</v>
      </c>
      <c r="N252" s="16">
        <f t="shared" si="3"/>
        <v>4.4258807658382189</v>
      </c>
      <c r="O252" s="4">
        <f>SUM(Table2[[#This Row],[Likes]],Table2[[#This Row],[Shares]],Table2[[#This Row],[Comments]])</f>
        <v>2559</v>
      </c>
      <c r="P25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52" s="20">
        <f>Table2[[#This Row],[Net_Engagement]]/Table2[[#This Row],[Total_Budget]]</f>
        <v>1.5993750000000001E-2</v>
      </c>
      <c r="R25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5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53" spans="1:19" ht="15.75" customHeight="1">
      <c r="A253" s="3" t="s">
        <v>292</v>
      </c>
      <c r="B253" s="3" t="s">
        <v>31</v>
      </c>
      <c r="C253" s="5">
        <v>45591</v>
      </c>
      <c r="D253" s="3" t="s">
        <v>15</v>
      </c>
      <c r="E253" s="3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3" t="s">
        <v>33</v>
      </c>
      <c r="M253" s="3" t="s">
        <v>22</v>
      </c>
      <c r="N253" s="16">
        <f t="shared" si="3"/>
        <v>10.762898272970794</v>
      </c>
      <c r="O253" s="4">
        <f>SUM(Table2[[#This Row],[Likes]],Table2[[#This Row],[Shares]],Table2[[#This Row],[Comments]])</f>
        <v>4942</v>
      </c>
      <c r="P25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53" s="20">
        <f>Table2[[#This Row],[Net_Engagement]]/Table2[[#This Row],[Total_Budget]]</f>
        <v>3.0887499999999998E-2</v>
      </c>
      <c r="R25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5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54" spans="1:19" ht="15.75" customHeight="1">
      <c r="A254" s="3" t="s">
        <v>293</v>
      </c>
      <c r="B254" s="3" t="s">
        <v>31</v>
      </c>
      <c r="C254" s="5">
        <v>45512</v>
      </c>
      <c r="D254" s="3" t="s">
        <v>15</v>
      </c>
      <c r="E254" s="3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3" t="s">
        <v>33</v>
      </c>
      <c r="M254" s="3" t="s">
        <v>22</v>
      </c>
      <c r="N254" s="16">
        <f t="shared" si="3"/>
        <v>5.0121212121212118</v>
      </c>
      <c r="O254" s="4">
        <f>SUM(Table2[[#This Row],[Likes]],Table2[[#This Row],[Shares]],Table2[[#This Row],[Comments]])</f>
        <v>2481</v>
      </c>
      <c r="P25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54" s="20">
        <f>Table2[[#This Row],[Net_Engagement]]/Table2[[#This Row],[Total_Budget]]</f>
        <v>1.5506249999999999E-2</v>
      </c>
      <c r="R25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5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55" spans="1:19" ht="15.75" customHeight="1">
      <c r="A255" s="3" t="s">
        <v>294</v>
      </c>
      <c r="B255" s="3" t="s">
        <v>24</v>
      </c>
      <c r="C255" s="5">
        <v>45691</v>
      </c>
      <c r="D255" s="3" t="s">
        <v>15</v>
      </c>
      <c r="E255" s="3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3" t="s">
        <v>42</v>
      </c>
      <c r="M255" s="3" t="s">
        <v>18</v>
      </c>
      <c r="N255" s="16">
        <f t="shared" si="3"/>
        <v>15.451192239551567</v>
      </c>
      <c r="O255" s="4">
        <f>SUM(Table2[[#This Row],[Likes]],Table2[[#This Row],[Shares]],Table2[[#This Row],[Comments]])</f>
        <v>5320</v>
      </c>
      <c r="P25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55" s="20">
        <f>Table2[[#This Row],[Net_Engagement]]/Table2[[#This Row],[Total_Budget]]</f>
        <v>2.6599999999999999E-2</v>
      </c>
      <c r="R25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5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56" spans="1:19" ht="15.75" customHeight="1">
      <c r="A256" s="3" t="s">
        <v>295</v>
      </c>
      <c r="B256" s="3" t="s">
        <v>24</v>
      </c>
      <c r="C256" s="5">
        <v>45385</v>
      </c>
      <c r="D256" s="3" t="s">
        <v>25</v>
      </c>
      <c r="E256" s="3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3" t="s">
        <v>39</v>
      </c>
      <c r="M256" s="3" t="s">
        <v>18</v>
      </c>
      <c r="N256" s="16">
        <f t="shared" si="3"/>
        <v>5.750319349540745</v>
      </c>
      <c r="O256" s="4">
        <f>SUM(Table2[[#This Row],[Likes]],Table2[[#This Row],[Shares]],Table2[[#This Row],[Comments]])</f>
        <v>2836</v>
      </c>
      <c r="P25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56" s="20">
        <f>Table2[[#This Row],[Net_Engagement]]/Table2[[#This Row],[Total_Budget]]</f>
        <v>1.418E-2</v>
      </c>
      <c r="R25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5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57" spans="1:19" ht="15.75" customHeight="1">
      <c r="A257" s="3" t="s">
        <v>296</v>
      </c>
      <c r="B257" s="3" t="s">
        <v>24</v>
      </c>
      <c r="C257" s="5">
        <v>45481</v>
      </c>
      <c r="D257" s="3" t="s">
        <v>25</v>
      </c>
      <c r="E257" s="3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3" t="s">
        <v>27</v>
      </c>
      <c r="M257" s="3" t="s">
        <v>18</v>
      </c>
      <c r="N257" s="16">
        <f t="shared" si="3"/>
        <v>5.2312660271630733</v>
      </c>
      <c r="O257" s="4">
        <f>SUM(Table2[[#This Row],[Likes]],Table2[[#This Row],[Shares]],Table2[[#This Row],[Comments]])</f>
        <v>2754</v>
      </c>
      <c r="P25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57" s="20">
        <f>Table2[[#This Row],[Net_Engagement]]/Table2[[#This Row],[Total_Budget]]</f>
        <v>1.3769999999999999E-2</v>
      </c>
      <c r="R25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5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58" spans="1:19" ht="15.75" customHeight="1">
      <c r="A258" s="3" t="s">
        <v>297</v>
      </c>
      <c r="B258" s="3" t="s">
        <v>24</v>
      </c>
      <c r="C258" s="5">
        <v>45451</v>
      </c>
      <c r="D258" s="3" t="s">
        <v>25</v>
      </c>
      <c r="E258" s="3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3" t="s">
        <v>39</v>
      </c>
      <c r="M258" s="3" t="s">
        <v>18</v>
      </c>
      <c r="N258" s="16">
        <f t="shared" si="3"/>
        <v>8.5608773500447626</v>
      </c>
      <c r="O258" s="4">
        <f>SUM(Table2[[#This Row],[Likes]],Table2[[#This Row],[Shares]],Table2[[#This Row],[Comments]])</f>
        <v>3825</v>
      </c>
      <c r="P25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58" s="20">
        <f>Table2[[#This Row],[Net_Engagement]]/Table2[[#This Row],[Total_Budget]]</f>
        <v>1.9125E-2</v>
      </c>
      <c r="R25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5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59" spans="1:19" ht="15.75" customHeight="1">
      <c r="A259" s="3" t="s">
        <v>298</v>
      </c>
      <c r="B259" s="3" t="s">
        <v>31</v>
      </c>
      <c r="C259" s="5">
        <v>45736</v>
      </c>
      <c r="D259" s="3" t="s">
        <v>57</v>
      </c>
      <c r="E259" s="3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3" t="s">
        <v>58</v>
      </c>
      <c r="M259" s="3" t="s">
        <v>59</v>
      </c>
      <c r="N259" s="16">
        <f t="shared" ref="N259:N301" si="4">((F259+G259+H259)/I259)*100</f>
        <v>3.3729709324273314</v>
      </c>
      <c r="O259" s="4">
        <f>SUM(Table2[[#This Row],[Likes]],Table2[[#This Row],[Shares]],Table2[[#This Row],[Comments]])</f>
        <v>1787</v>
      </c>
      <c r="P25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59" s="20">
        <f>Table2[[#This Row],[Net_Engagement]]/Table2[[#This Row],[Total_Budget]]</f>
        <v>1.0211428571428571E-2</v>
      </c>
      <c r="R25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5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60" spans="1:19" ht="15.75" customHeight="1">
      <c r="A260" s="3" t="s">
        <v>299</v>
      </c>
      <c r="B260" s="3" t="s">
        <v>24</v>
      </c>
      <c r="C260" s="5">
        <v>45676</v>
      </c>
      <c r="D260" s="3" t="s">
        <v>25</v>
      </c>
      <c r="E260" s="3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3" t="s">
        <v>17</v>
      </c>
      <c r="M260" s="3" t="s">
        <v>18</v>
      </c>
      <c r="N260" s="16">
        <f t="shared" si="4"/>
        <v>7.5077784691972624</v>
      </c>
      <c r="O260" s="4">
        <f>SUM(Table2[[#This Row],[Likes]],Table2[[#This Row],[Shares]],Table2[[#This Row],[Comments]])</f>
        <v>2413</v>
      </c>
      <c r="P26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60" s="20">
        <f>Table2[[#This Row],[Net_Engagement]]/Table2[[#This Row],[Total_Budget]]</f>
        <v>1.2064999999999999E-2</v>
      </c>
      <c r="R26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6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61" spans="1:19" ht="15.75" customHeight="1">
      <c r="A261" s="3" t="s">
        <v>300</v>
      </c>
      <c r="B261" s="3" t="s">
        <v>24</v>
      </c>
      <c r="C261" s="5">
        <v>45662</v>
      </c>
      <c r="D261" s="3" t="s">
        <v>25</v>
      </c>
      <c r="E261" s="3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3" t="s">
        <v>27</v>
      </c>
      <c r="M261" s="3" t="s">
        <v>18</v>
      </c>
      <c r="N261" s="16">
        <f t="shared" si="4"/>
        <v>8.3423643616408025</v>
      </c>
      <c r="O261" s="4">
        <f>SUM(Table2[[#This Row],[Likes]],Table2[[#This Row],[Shares]],Table2[[#This Row],[Comments]])</f>
        <v>3618</v>
      </c>
      <c r="P26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61" s="20">
        <f>Table2[[#This Row],[Net_Engagement]]/Table2[[#This Row],[Total_Budget]]</f>
        <v>1.8089999999999998E-2</v>
      </c>
      <c r="R26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6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62" spans="1:19" ht="15.75" customHeight="1">
      <c r="A262" s="3" t="s">
        <v>301</v>
      </c>
      <c r="B262" s="3" t="s">
        <v>24</v>
      </c>
      <c r="C262" s="5">
        <v>45612</v>
      </c>
      <c r="D262" s="3" t="s">
        <v>15</v>
      </c>
      <c r="E262" s="3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3" t="s">
        <v>45</v>
      </c>
      <c r="M262" s="3" t="s">
        <v>22</v>
      </c>
      <c r="N262" s="16">
        <f t="shared" si="4"/>
        <v>6.8477000386548124</v>
      </c>
      <c r="O262" s="4">
        <f>SUM(Table2[[#This Row],[Likes]],Table2[[#This Row],[Shares]],Table2[[#This Row],[Comments]])</f>
        <v>3543</v>
      </c>
      <c r="P26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62" s="20">
        <f>Table2[[#This Row],[Net_Engagement]]/Table2[[#This Row],[Total_Budget]]</f>
        <v>2.214375E-2</v>
      </c>
      <c r="R26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6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63" spans="1:19" ht="15.75" customHeight="1">
      <c r="A263" s="3" t="s">
        <v>302</v>
      </c>
      <c r="B263" s="3" t="s">
        <v>24</v>
      </c>
      <c r="C263" s="5">
        <v>45626</v>
      </c>
      <c r="D263" s="3" t="s">
        <v>25</v>
      </c>
      <c r="E263" s="3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3" t="s">
        <v>27</v>
      </c>
      <c r="M263" s="3" t="s">
        <v>18</v>
      </c>
      <c r="N263" s="16">
        <f t="shared" si="4"/>
        <v>12.190780876853061</v>
      </c>
      <c r="O263" s="4">
        <f>SUM(Table2[[#This Row],[Likes]],Table2[[#This Row],[Shares]],Table2[[#This Row],[Comments]])</f>
        <v>5411</v>
      </c>
      <c r="P26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63" s="20">
        <f>Table2[[#This Row],[Net_Engagement]]/Table2[[#This Row],[Total_Budget]]</f>
        <v>2.7054999999999999E-2</v>
      </c>
      <c r="R26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6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64" spans="1:19" ht="15.75" customHeight="1">
      <c r="A264" s="3" t="s">
        <v>303</v>
      </c>
      <c r="B264" s="3" t="s">
        <v>31</v>
      </c>
      <c r="C264" s="5">
        <v>45378</v>
      </c>
      <c r="D264" s="3" t="s">
        <v>15</v>
      </c>
      <c r="E264" s="3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3" t="s">
        <v>33</v>
      </c>
      <c r="M264" s="3" t="s">
        <v>22</v>
      </c>
      <c r="N264" s="16">
        <f t="shared" si="4"/>
        <v>5.4473577117609437</v>
      </c>
      <c r="O264" s="4">
        <f>SUM(Table2[[#This Row],[Likes]],Table2[[#This Row],[Shares]],Table2[[#This Row],[Comments]])</f>
        <v>2811</v>
      </c>
      <c r="P26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64" s="20">
        <f>Table2[[#This Row],[Net_Engagement]]/Table2[[#This Row],[Total_Budget]]</f>
        <v>1.7568750000000001E-2</v>
      </c>
      <c r="R26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6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65" spans="1:19" ht="15.75" customHeight="1">
      <c r="A265" s="3" t="s">
        <v>304</v>
      </c>
      <c r="B265" s="3" t="s">
        <v>31</v>
      </c>
      <c r="C265" s="5">
        <v>45808</v>
      </c>
      <c r="D265" s="3" t="s">
        <v>57</v>
      </c>
      <c r="E265" s="3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3" t="s">
        <v>58</v>
      </c>
      <c r="M265" s="3" t="s">
        <v>59</v>
      </c>
      <c r="N265" s="16">
        <f t="shared" si="4"/>
        <v>5.4859907104176031</v>
      </c>
      <c r="O265" s="4">
        <f>SUM(Table2[[#This Row],[Likes]],Table2[[#This Row],[Shares]],Table2[[#This Row],[Comments]])</f>
        <v>2563</v>
      </c>
      <c r="P26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65" s="20">
        <f>Table2[[#This Row],[Net_Engagement]]/Table2[[#This Row],[Total_Budget]]</f>
        <v>1.4645714285714286E-2</v>
      </c>
      <c r="R26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6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66" spans="1:19" ht="15.75" customHeight="1">
      <c r="A266" s="3" t="s">
        <v>305</v>
      </c>
      <c r="B266" s="3" t="s">
        <v>24</v>
      </c>
      <c r="C266" s="5">
        <v>45825</v>
      </c>
      <c r="D266" s="3" t="s">
        <v>25</v>
      </c>
      <c r="E266" s="3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3" t="s">
        <v>39</v>
      </c>
      <c r="M266" s="3" t="s">
        <v>18</v>
      </c>
      <c r="N266" s="16">
        <f t="shared" si="4"/>
        <v>9.0752980172121163</v>
      </c>
      <c r="O266" s="4">
        <f>SUM(Table2[[#This Row],[Likes]],Table2[[#This Row],[Shares]],Table2[[#This Row],[Comments]])</f>
        <v>4545</v>
      </c>
      <c r="P26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66" s="20">
        <f>Table2[[#This Row],[Net_Engagement]]/Table2[[#This Row],[Total_Budget]]</f>
        <v>2.2724999999999999E-2</v>
      </c>
      <c r="R26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6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67" spans="1:19" ht="15.75" customHeight="1">
      <c r="A267" s="3" t="s">
        <v>306</v>
      </c>
      <c r="B267" s="3" t="s">
        <v>14</v>
      </c>
      <c r="C267" s="5">
        <v>45442</v>
      </c>
      <c r="D267" s="3" t="s">
        <v>25</v>
      </c>
      <c r="E267" s="3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3" t="s">
        <v>42</v>
      </c>
      <c r="M267" s="3" t="s">
        <v>55</v>
      </c>
      <c r="N267" s="16">
        <f t="shared" si="4"/>
        <v>11.695224773672146</v>
      </c>
      <c r="O267" s="4">
        <f>SUM(Table2[[#This Row],[Likes]],Table2[[#This Row],[Shares]],Table2[[#This Row],[Comments]])</f>
        <v>3010</v>
      </c>
      <c r="P26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267" s="20">
        <f>Table2[[#This Row],[Net_Engagement]]/Table2[[#This Row],[Total_Budget]]</f>
        <v>1.3377777777777778E-2</v>
      </c>
      <c r="R26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26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268" spans="1:19" ht="15.75" customHeight="1">
      <c r="A268" s="3" t="s">
        <v>307</v>
      </c>
      <c r="B268" s="3" t="s">
        <v>31</v>
      </c>
      <c r="C268" s="5">
        <v>45604</v>
      </c>
      <c r="D268" s="3" t="s">
        <v>15</v>
      </c>
      <c r="E268" s="3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3" t="s">
        <v>33</v>
      </c>
      <c r="M268" s="3" t="s">
        <v>22</v>
      </c>
      <c r="N268" s="16">
        <f t="shared" si="4"/>
        <v>6.127989389480665</v>
      </c>
      <c r="O268" s="4">
        <f>SUM(Table2[[#This Row],[Likes]],Table2[[#This Row],[Shares]],Table2[[#This Row],[Comments]])</f>
        <v>2957</v>
      </c>
      <c r="P26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68" s="20">
        <f>Table2[[#This Row],[Net_Engagement]]/Table2[[#This Row],[Total_Budget]]</f>
        <v>1.8481250000000001E-2</v>
      </c>
      <c r="R26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6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69" spans="1:19" ht="15.75" customHeight="1">
      <c r="A269" s="3" t="s">
        <v>308</v>
      </c>
      <c r="B269" s="3" t="s">
        <v>31</v>
      </c>
      <c r="C269" s="5">
        <v>45368</v>
      </c>
      <c r="D269" s="3" t="s">
        <v>57</v>
      </c>
      <c r="E269" s="3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3" t="s">
        <v>58</v>
      </c>
      <c r="M269" s="3" t="s">
        <v>59</v>
      </c>
      <c r="N269" s="16">
        <f t="shared" si="4"/>
        <v>7.3202671439172375</v>
      </c>
      <c r="O269" s="4">
        <f>SUM(Table2[[#This Row],[Likes]],Table2[[#This Row],[Shares]],Table2[[#This Row],[Comments]])</f>
        <v>3354</v>
      </c>
      <c r="P26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69" s="20">
        <f>Table2[[#This Row],[Net_Engagement]]/Table2[[#This Row],[Total_Budget]]</f>
        <v>1.9165714285714286E-2</v>
      </c>
      <c r="R26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6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70" spans="1:19" ht="15.75" customHeight="1">
      <c r="A270" s="3" t="s">
        <v>309</v>
      </c>
      <c r="B270" s="3" t="s">
        <v>31</v>
      </c>
      <c r="C270" s="5">
        <v>45464</v>
      </c>
      <c r="D270" s="3" t="s">
        <v>57</v>
      </c>
      <c r="E270" s="3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3" t="s">
        <v>58</v>
      </c>
      <c r="M270" s="3" t="s">
        <v>59</v>
      </c>
      <c r="N270" s="16">
        <f t="shared" si="4"/>
        <v>9.2893873181347502</v>
      </c>
      <c r="O270" s="4">
        <f>SUM(Table2[[#This Row],[Likes]],Table2[[#This Row],[Shares]],Table2[[#This Row],[Comments]])</f>
        <v>5293</v>
      </c>
      <c r="P27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70" s="20">
        <f>Table2[[#This Row],[Net_Engagement]]/Table2[[#This Row],[Total_Budget]]</f>
        <v>3.0245714285714285E-2</v>
      </c>
      <c r="R27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7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71" spans="1:19" ht="15.75" customHeight="1">
      <c r="A271" s="3" t="s">
        <v>310</v>
      </c>
      <c r="B271" s="3" t="s">
        <v>24</v>
      </c>
      <c r="C271" s="5">
        <v>45609</v>
      </c>
      <c r="D271" s="3" t="s">
        <v>25</v>
      </c>
      <c r="E271" s="3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3" t="s">
        <v>39</v>
      </c>
      <c r="M271" s="3" t="s">
        <v>18</v>
      </c>
      <c r="N271" s="16">
        <f t="shared" si="4"/>
        <v>3.3603177027646249</v>
      </c>
      <c r="O271" s="4">
        <f>SUM(Table2[[#This Row],[Likes]],Table2[[#This Row],[Shares]],Table2[[#This Row],[Comments]])</f>
        <v>1980</v>
      </c>
      <c r="P27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71" s="20">
        <f>Table2[[#This Row],[Net_Engagement]]/Table2[[#This Row],[Total_Budget]]</f>
        <v>9.9000000000000008E-3</v>
      </c>
      <c r="R27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7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72" spans="1:19" ht="15.75" customHeight="1">
      <c r="A272" s="3" t="s">
        <v>311</v>
      </c>
      <c r="B272" s="3" t="s">
        <v>24</v>
      </c>
      <c r="C272" s="5">
        <v>45693</v>
      </c>
      <c r="D272" s="3" t="s">
        <v>25</v>
      </c>
      <c r="E272" s="3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3" t="s">
        <v>39</v>
      </c>
      <c r="M272" s="3" t="s">
        <v>18</v>
      </c>
      <c r="N272" s="16">
        <f t="shared" si="4"/>
        <v>14.843585975225698</v>
      </c>
      <c r="O272" s="4">
        <f>SUM(Table2[[#This Row],[Likes]],Table2[[#This Row],[Shares]],Table2[[#This Row],[Comments]])</f>
        <v>3535</v>
      </c>
      <c r="P27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72" s="20">
        <f>Table2[[#This Row],[Net_Engagement]]/Table2[[#This Row],[Total_Budget]]</f>
        <v>1.7675E-2</v>
      </c>
      <c r="R27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7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73" spans="1:19" ht="15.75" customHeight="1">
      <c r="A273" s="3" t="s">
        <v>312</v>
      </c>
      <c r="B273" s="3" t="s">
        <v>24</v>
      </c>
      <c r="C273" s="5">
        <v>45603</v>
      </c>
      <c r="D273" s="3" t="s">
        <v>15</v>
      </c>
      <c r="E273" s="3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3" t="s">
        <v>45</v>
      </c>
      <c r="M273" s="3" t="s">
        <v>22</v>
      </c>
      <c r="N273" s="16">
        <f t="shared" si="4"/>
        <v>5.1861351697967359</v>
      </c>
      <c r="O273" s="4">
        <f>SUM(Table2[[#This Row],[Likes]],Table2[[#This Row],[Shares]],Table2[[#This Row],[Comments]])</f>
        <v>2952</v>
      </c>
      <c r="P27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73" s="20">
        <f>Table2[[#This Row],[Net_Engagement]]/Table2[[#This Row],[Total_Budget]]</f>
        <v>1.8450000000000001E-2</v>
      </c>
      <c r="R27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7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74" spans="1:19" ht="15.75" customHeight="1">
      <c r="A274" s="3" t="s">
        <v>313</v>
      </c>
      <c r="B274" s="3" t="s">
        <v>24</v>
      </c>
      <c r="C274" s="5">
        <v>45334</v>
      </c>
      <c r="D274" s="3" t="s">
        <v>15</v>
      </c>
      <c r="E274" s="3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3" t="s">
        <v>42</v>
      </c>
      <c r="M274" s="3" t="s">
        <v>18</v>
      </c>
      <c r="N274" s="16">
        <f t="shared" si="4"/>
        <v>6.6160796354604656</v>
      </c>
      <c r="O274" s="4">
        <f>SUM(Table2[[#This Row],[Likes]],Table2[[#This Row],[Shares]],Table2[[#This Row],[Comments]])</f>
        <v>3383</v>
      </c>
      <c r="P27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74" s="20">
        <f>Table2[[#This Row],[Net_Engagement]]/Table2[[#This Row],[Total_Budget]]</f>
        <v>1.6914999999999999E-2</v>
      </c>
      <c r="R27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7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75" spans="1:19" ht="15.75" customHeight="1">
      <c r="A275" s="3" t="s">
        <v>314</v>
      </c>
      <c r="B275" s="3" t="s">
        <v>14</v>
      </c>
      <c r="C275" s="5">
        <v>45573</v>
      </c>
      <c r="D275" s="3" t="s">
        <v>15</v>
      </c>
      <c r="E275" s="3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3" t="s">
        <v>21</v>
      </c>
      <c r="M275" s="3" t="s">
        <v>22</v>
      </c>
      <c r="N275" s="16">
        <f t="shared" si="4"/>
        <v>5.4638246772740917</v>
      </c>
      <c r="O275" s="4">
        <f>SUM(Table2[[#This Row],[Likes]],Table2[[#This Row],[Shares]],Table2[[#This Row],[Comments]])</f>
        <v>2730</v>
      </c>
      <c r="P27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75" s="20">
        <f>Table2[[#This Row],[Net_Engagement]]/Table2[[#This Row],[Total_Budget]]</f>
        <v>1.7062500000000001E-2</v>
      </c>
      <c r="R27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7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76" spans="1:19" ht="15.75" customHeight="1">
      <c r="A276" s="3" t="s">
        <v>315</v>
      </c>
      <c r="B276" s="3" t="s">
        <v>14</v>
      </c>
      <c r="C276" s="5">
        <v>45341</v>
      </c>
      <c r="D276" s="3" t="s">
        <v>15</v>
      </c>
      <c r="E276" s="3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3" t="s">
        <v>21</v>
      </c>
      <c r="M276" s="3" t="s">
        <v>22</v>
      </c>
      <c r="N276" s="16">
        <f t="shared" si="4"/>
        <v>9.413975738937296</v>
      </c>
      <c r="O276" s="4">
        <f>SUM(Table2[[#This Row],[Likes]],Table2[[#This Row],[Shares]],Table2[[#This Row],[Comments]])</f>
        <v>5510</v>
      </c>
      <c r="P27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76" s="20">
        <f>Table2[[#This Row],[Net_Engagement]]/Table2[[#This Row],[Total_Budget]]</f>
        <v>3.4437500000000003E-2</v>
      </c>
      <c r="R27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7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77" spans="1:19" ht="15.75" customHeight="1">
      <c r="A277" s="3" t="s">
        <v>316</v>
      </c>
      <c r="B277" s="3" t="s">
        <v>24</v>
      </c>
      <c r="C277" s="5">
        <v>45720</v>
      </c>
      <c r="D277" s="3" t="s">
        <v>15</v>
      </c>
      <c r="E277" s="3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3" t="s">
        <v>42</v>
      </c>
      <c r="M277" s="3" t="s">
        <v>18</v>
      </c>
      <c r="N277" s="16">
        <f t="shared" si="4"/>
        <v>5.7682545054573149</v>
      </c>
      <c r="O277" s="4">
        <f>SUM(Table2[[#This Row],[Likes]],Table2[[#This Row],[Shares]],Table2[[#This Row],[Comments]])</f>
        <v>2727</v>
      </c>
      <c r="P27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77" s="20">
        <f>Table2[[#This Row],[Net_Engagement]]/Table2[[#This Row],[Total_Budget]]</f>
        <v>1.3635E-2</v>
      </c>
      <c r="R27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7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78" spans="1:19" ht="15.75" customHeight="1">
      <c r="A278" s="3" t="s">
        <v>317</v>
      </c>
      <c r="B278" s="3" t="s">
        <v>14</v>
      </c>
      <c r="C278" s="5">
        <v>45691</v>
      </c>
      <c r="D278" s="3" t="s">
        <v>25</v>
      </c>
      <c r="E278" s="3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3" t="s">
        <v>42</v>
      </c>
      <c r="M278" s="3" t="s">
        <v>55</v>
      </c>
      <c r="N278" s="16">
        <f t="shared" si="4"/>
        <v>8.3972409065592739</v>
      </c>
      <c r="O278" s="4">
        <f>SUM(Table2[[#This Row],[Likes]],Table2[[#This Row],[Shares]],Table2[[#This Row],[Comments]])</f>
        <v>1960</v>
      </c>
      <c r="P27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278" s="20">
        <f>Table2[[#This Row],[Net_Engagement]]/Table2[[#This Row],[Total_Budget]]</f>
        <v>8.7111111111111104E-3</v>
      </c>
      <c r="R27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27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279" spans="1:19" ht="15.75" customHeight="1">
      <c r="A279" s="3" t="s">
        <v>318</v>
      </c>
      <c r="B279" s="3" t="s">
        <v>14</v>
      </c>
      <c r="C279" s="5">
        <v>45628</v>
      </c>
      <c r="D279" s="3" t="s">
        <v>15</v>
      </c>
      <c r="E279" s="3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3" t="s">
        <v>17</v>
      </c>
      <c r="M279" s="3" t="s">
        <v>18</v>
      </c>
      <c r="N279" s="16">
        <f t="shared" si="4"/>
        <v>6.6186514342481058</v>
      </c>
      <c r="O279" s="4">
        <f>SUM(Table2[[#This Row],[Likes]],Table2[[#This Row],[Shares]],Table2[[#This Row],[Comments]])</f>
        <v>3731</v>
      </c>
      <c r="P27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79" s="20">
        <f>Table2[[#This Row],[Net_Engagement]]/Table2[[#This Row],[Total_Budget]]</f>
        <v>1.8655000000000001E-2</v>
      </c>
      <c r="R27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7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80" spans="1:19" ht="15.75" customHeight="1">
      <c r="A280" s="3" t="s">
        <v>319</v>
      </c>
      <c r="B280" s="3" t="s">
        <v>24</v>
      </c>
      <c r="C280" s="5">
        <v>45676</v>
      </c>
      <c r="D280" s="3" t="s">
        <v>25</v>
      </c>
      <c r="E280" s="3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3" t="s">
        <v>17</v>
      </c>
      <c r="M280" s="3" t="s">
        <v>18</v>
      </c>
      <c r="N280" s="16">
        <f t="shared" si="4"/>
        <v>20.445859872611464</v>
      </c>
      <c r="O280" s="4">
        <f>SUM(Table2[[#This Row],[Likes]],Table2[[#This Row],[Shares]],Table2[[#This Row],[Comments]])</f>
        <v>4173</v>
      </c>
      <c r="P28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80" s="20">
        <f>Table2[[#This Row],[Net_Engagement]]/Table2[[#This Row],[Total_Budget]]</f>
        <v>2.0865000000000002E-2</v>
      </c>
      <c r="R28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8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81" spans="1:19" ht="15.75" customHeight="1">
      <c r="A281" s="3" t="s">
        <v>320</v>
      </c>
      <c r="B281" s="3" t="s">
        <v>24</v>
      </c>
      <c r="C281" s="5">
        <v>45563</v>
      </c>
      <c r="D281" s="3" t="s">
        <v>25</v>
      </c>
      <c r="E281" s="3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3" t="s">
        <v>39</v>
      </c>
      <c r="M281" s="3" t="s">
        <v>18</v>
      </c>
      <c r="N281" s="16">
        <f t="shared" si="4"/>
        <v>11.22776514644911</v>
      </c>
      <c r="O281" s="4">
        <f>SUM(Table2[[#This Row],[Likes]],Table2[[#This Row],[Shares]],Table2[[#This Row],[Comments]])</f>
        <v>5037</v>
      </c>
      <c r="P28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81" s="20">
        <f>Table2[[#This Row],[Net_Engagement]]/Table2[[#This Row],[Total_Budget]]</f>
        <v>2.5184999999999999E-2</v>
      </c>
      <c r="R28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8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82" spans="1:19" ht="15.75" customHeight="1">
      <c r="A282" s="3" t="s">
        <v>321</v>
      </c>
      <c r="B282" s="3" t="s">
        <v>14</v>
      </c>
      <c r="C282" s="5">
        <v>45298</v>
      </c>
      <c r="D282" s="3" t="s">
        <v>15</v>
      </c>
      <c r="E282" s="3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3" t="s">
        <v>17</v>
      </c>
      <c r="M282" s="3" t="s">
        <v>18</v>
      </c>
      <c r="N282" s="16">
        <f t="shared" si="4"/>
        <v>9.8640235621946708</v>
      </c>
      <c r="O282" s="4">
        <f>SUM(Table2[[#This Row],[Likes]],Table2[[#This Row],[Shares]],Table2[[#This Row],[Comments]])</f>
        <v>5593</v>
      </c>
      <c r="P28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82" s="20">
        <f>Table2[[#This Row],[Net_Engagement]]/Table2[[#This Row],[Total_Budget]]</f>
        <v>2.7965E-2</v>
      </c>
      <c r="R28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8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83" spans="1:19" ht="15.75" customHeight="1">
      <c r="A283" s="3" t="s">
        <v>322</v>
      </c>
      <c r="B283" s="3" t="s">
        <v>24</v>
      </c>
      <c r="C283" s="5">
        <v>45343</v>
      </c>
      <c r="D283" s="3" t="s">
        <v>25</v>
      </c>
      <c r="E283" s="3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3" t="s">
        <v>27</v>
      </c>
      <c r="M283" s="3" t="s">
        <v>18</v>
      </c>
      <c r="N283" s="16">
        <f t="shared" si="4"/>
        <v>5.4576862557296293</v>
      </c>
      <c r="O283" s="4">
        <f>SUM(Table2[[#This Row],[Likes]],Table2[[#This Row],[Shares]],Table2[[#This Row],[Comments]])</f>
        <v>3191</v>
      </c>
      <c r="P28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83" s="20">
        <f>Table2[[#This Row],[Net_Engagement]]/Table2[[#This Row],[Total_Budget]]</f>
        <v>1.5955E-2</v>
      </c>
      <c r="R28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8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84" spans="1:19" ht="15.75" customHeight="1">
      <c r="A284" s="3" t="s">
        <v>323</v>
      </c>
      <c r="B284" s="3" t="s">
        <v>14</v>
      </c>
      <c r="C284" s="5">
        <v>45531</v>
      </c>
      <c r="D284" s="3" t="s">
        <v>15</v>
      </c>
      <c r="E284" s="3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3" t="s">
        <v>21</v>
      </c>
      <c r="M284" s="3" t="s">
        <v>22</v>
      </c>
      <c r="N284" s="16">
        <f t="shared" si="4"/>
        <v>8.6283185840707954</v>
      </c>
      <c r="O284" s="4">
        <f>SUM(Table2[[#This Row],[Likes]],Table2[[#This Row],[Shares]],Table2[[#This Row],[Comments]])</f>
        <v>4836</v>
      </c>
      <c r="P28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84" s="20">
        <f>Table2[[#This Row],[Net_Engagement]]/Table2[[#This Row],[Total_Budget]]</f>
        <v>3.0224999999999998E-2</v>
      </c>
      <c r="R28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8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85" spans="1:19" ht="15.75" customHeight="1">
      <c r="A285" s="3" t="s">
        <v>324</v>
      </c>
      <c r="B285" s="3" t="s">
        <v>14</v>
      </c>
      <c r="C285" s="5">
        <v>45589</v>
      </c>
      <c r="D285" s="3" t="s">
        <v>25</v>
      </c>
      <c r="E285" s="3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3" t="s">
        <v>42</v>
      </c>
      <c r="M285" s="3" t="s">
        <v>55</v>
      </c>
      <c r="N285" s="16">
        <f t="shared" si="4"/>
        <v>8.405639913232104</v>
      </c>
      <c r="O285" s="4">
        <f>SUM(Table2[[#This Row],[Likes]],Table2[[#This Row],[Shares]],Table2[[#This Row],[Comments]])</f>
        <v>2325</v>
      </c>
      <c r="P28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285" s="20">
        <f>Table2[[#This Row],[Net_Engagement]]/Table2[[#This Row],[Total_Budget]]</f>
        <v>1.0333333333333333E-2</v>
      </c>
      <c r="R28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28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286" spans="1:19" ht="15.75" customHeight="1">
      <c r="A286" s="3" t="s">
        <v>325</v>
      </c>
      <c r="B286" s="3" t="s">
        <v>31</v>
      </c>
      <c r="C286" s="5">
        <v>45686</v>
      </c>
      <c r="D286" s="3" t="s">
        <v>15</v>
      </c>
      <c r="E286" s="3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3" t="s">
        <v>33</v>
      </c>
      <c r="M286" s="3" t="s">
        <v>22</v>
      </c>
      <c r="N286" s="16">
        <f t="shared" si="4"/>
        <v>3.4229485151994381</v>
      </c>
      <c r="O286" s="4">
        <f>SUM(Table2[[#This Row],[Likes]],Table2[[#This Row],[Shares]],Table2[[#This Row],[Comments]])</f>
        <v>1948</v>
      </c>
      <c r="P28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86" s="20">
        <f>Table2[[#This Row],[Net_Engagement]]/Table2[[#This Row],[Total_Budget]]</f>
        <v>1.2175E-2</v>
      </c>
      <c r="R28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8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87" spans="1:19" ht="15.75" customHeight="1">
      <c r="A287" s="3" t="s">
        <v>326</v>
      </c>
      <c r="B287" s="3" t="s">
        <v>14</v>
      </c>
      <c r="C287" s="5">
        <v>45413</v>
      </c>
      <c r="D287" s="3" t="s">
        <v>15</v>
      </c>
      <c r="E287" s="3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3" t="s">
        <v>21</v>
      </c>
      <c r="M287" s="3" t="s">
        <v>22</v>
      </c>
      <c r="N287" s="16">
        <f t="shared" si="4"/>
        <v>11.467469950680725</v>
      </c>
      <c r="O287" s="4">
        <f>SUM(Table2[[#This Row],[Likes]],Table2[[#This Row],[Shares]],Table2[[#This Row],[Comments]])</f>
        <v>3883</v>
      </c>
      <c r="P28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87" s="20">
        <f>Table2[[#This Row],[Net_Engagement]]/Table2[[#This Row],[Total_Budget]]</f>
        <v>2.4268749999999999E-2</v>
      </c>
      <c r="R28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8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88" spans="1:19" ht="15.75" customHeight="1">
      <c r="A288" s="3" t="s">
        <v>327</v>
      </c>
      <c r="B288" s="3" t="s">
        <v>31</v>
      </c>
      <c r="C288" s="5">
        <v>45468</v>
      </c>
      <c r="D288" s="3" t="s">
        <v>15</v>
      </c>
      <c r="E288" s="3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3" t="s">
        <v>33</v>
      </c>
      <c r="M288" s="3" t="s">
        <v>22</v>
      </c>
      <c r="N288" s="16">
        <f t="shared" si="4"/>
        <v>8.4548582664263474</v>
      </c>
      <c r="O288" s="4">
        <f>SUM(Table2[[#This Row],[Likes]],Table2[[#This Row],[Shares]],Table2[[#This Row],[Comments]])</f>
        <v>2580</v>
      </c>
      <c r="P28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88" s="20">
        <f>Table2[[#This Row],[Net_Engagement]]/Table2[[#This Row],[Total_Budget]]</f>
        <v>1.6125E-2</v>
      </c>
      <c r="R28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8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89" spans="1:19" ht="15.75" customHeight="1">
      <c r="A289" s="3" t="s">
        <v>328</v>
      </c>
      <c r="B289" s="3" t="s">
        <v>24</v>
      </c>
      <c r="C289" s="5">
        <v>45513</v>
      </c>
      <c r="D289" s="3" t="s">
        <v>25</v>
      </c>
      <c r="E289" s="3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3" t="s">
        <v>39</v>
      </c>
      <c r="M289" s="3" t="s">
        <v>18</v>
      </c>
      <c r="N289" s="16">
        <f t="shared" si="4"/>
        <v>10.546200140489436</v>
      </c>
      <c r="O289" s="4">
        <f>SUM(Table2[[#This Row],[Likes]],Table2[[#This Row],[Shares]],Table2[[#This Row],[Comments]])</f>
        <v>5555</v>
      </c>
      <c r="P28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89" s="20">
        <f>Table2[[#This Row],[Net_Engagement]]/Table2[[#This Row],[Total_Budget]]</f>
        <v>2.7775000000000001E-2</v>
      </c>
      <c r="R28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8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90" spans="1:19" ht="15.75" customHeight="1">
      <c r="A290" s="3" t="s">
        <v>329</v>
      </c>
      <c r="B290" s="3" t="s">
        <v>14</v>
      </c>
      <c r="C290" s="5">
        <v>45678</v>
      </c>
      <c r="D290" s="3" t="s">
        <v>25</v>
      </c>
      <c r="E290" s="3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3" t="s">
        <v>42</v>
      </c>
      <c r="M290" s="3" t="s">
        <v>55</v>
      </c>
      <c r="N290" s="16">
        <f t="shared" si="4"/>
        <v>10.338095327488784</v>
      </c>
      <c r="O290" s="4">
        <f>SUM(Table2[[#This Row],[Likes]],Table2[[#This Row],[Shares]],Table2[[#This Row],[Comments]])</f>
        <v>5507</v>
      </c>
      <c r="P29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290" s="20">
        <f>Table2[[#This Row],[Net_Engagement]]/Table2[[#This Row],[Total_Budget]]</f>
        <v>2.4475555555555556E-2</v>
      </c>
      <c r="R29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29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291" spans="1:19" ht="15.75" customHeight="1">
      <c r="A291" s="3" t="s">
        <v>330</v>
      </c>
      <c r="B291" s="3" t="s">
        <v>24</v>
      </c>
      <c r="C291" s="5">
        <v>45517</v>
      </c>
      <c r="D291" s="3" t="s">
        <v>15</v>
      </c>
      <c r="E291" s="3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3" t="s">
        <v>45</v>
      </c>
      <c r="M291" s="3" t="s">
        <v>22</v>
      </c>
      <c r="N291" s="16">
        <f t="shared" si="4"/>
        <v>15.65595352530614</v>
      </c>
      <c r="O291" s="4">
        <f>SUM(Table2[[#This Row],[Likes]],Table2[[#This Row],[Shares]],Table2[[#This Row],[Comments]])</f>
        <v>3746</v>
      </c>
      <c r="P29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91" s="20">
        <f>Table2[[#This Row],[Net_Engagement]]/Table2[[#This Row],[Total_Budget]]</f>
        <v>2.3412499999999999E-2</v>
      </c>
      <c r="R29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9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92" spans="1:19" ht="15.75" customHeight="1">
      <c r="A292" s="3" t="s">
        <v>331</v>
      </c>
      <c r="B292" s="3" t="s">
        <v>14</v>
      </c>
      <c r="C292" s="5">
        <v>45472</v>
      </c>
      <c r="D292" s="3" t="s">
        <v>15</v>
      </c>
      <c r="E292" s="3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3" t="s">
        <v>17</v>
      </c>
      <c r="M292" s="3" t="s">
        <v>18</v>
      </c>
      <c r="N292" s="16">
        <f t="shared" si="4"/>
        <v>5.8052595393606046</v>
      </c>
      <c r="O292" s="4">
        <f>SUM(Table2[[#This Row],[Likes]],Table2[[#This Row],[Shares]],Table2[[#This Row],[Comments]])</f>
        <v>2702</v>
      </c>
      <c r="P292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92" s="20">
        <f>Table2[[#This Row],[Net_Engagement]]/Table2[[#This Row],[Total_Budget]]</f>
        <v>1.3509999999999999E-2</v>
      </c>
      <c r="R292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92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93" spans="1:19" ht="15.75" customHeight="1">
      <c r="A293" s="3" t="s">
        <v>332</v>
      </c>
      <c r="B293" s="3" t="s">
        <v>24</v>
      </c>
      <c r="C293" s="5">
        <v>45599</v>
      </c>
      <c r="D293" s="3" t="s">
        <v>25</v>
      </c>
      <c r="E293" s="3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3" t="s">
        <v>27</v>
      </c>
      <c r="M293" s="3" t="s">
        <v>18</v>
      </c>
      <c r="N293" s="16">
        <f t="shared" si="4"/>
        <v>12.976726726726726</v>
      </c>
      <c r="O293" s="4">
        <f>SUM(Table2[[#This Row],[Likes]],Table2[[#This Row],[Shares]],Table2[[#This Row],[Comments]])</f>
        <v>3457</v>
      </c>
      <c r="P293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93" s="20">
        <f>Table2[[#This Row],[Net_Engagement]]/Table2[[#This Row],[Total_Budget]]</f>
        <v>1.7284999999999998E-2</v>
      </c>
      <c r="R293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93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94" spans="1:19" ht="15.75" customHeight="1">
      <c r="A294" s="3" t="s">
        <v>333</v>
      </c>
      <c r="B294" s="3" t="s">
        <v>31</v>
      </c>
      <c r="C294" s="5">
        <v>45765</v>
      </c>
      <c r="D294" s="3" t="s">
        <v>57</v>
      </c>
      <c r="E294" s="3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3" t="s">
        <v>58</v>
      </c>
      <c r="M294" s="3" t="s">
        <v>59</v>
      </c>
      <c r="N294" s="16">
        <f t="shared" si="4"/>
        <v>4.4999031758326877</v>
      </c>
      <c r="O294" s="4">
        <f>SUM(Table2[[#This Row],[Likes]],Table2[[#This Row],[Shares]],Table2[[#This Row],[Comments]])</f>
        <v>1859</v>
      </c>
      <c r="P294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175000</v>
      </c>
      <c r="Q294" s="20">
        <f>Table2[[#This Row],[Net_Engagement]]/Table2[[#This Row],[Total_Budget]]</f>
        <v>1.0622857142857142E-2</v>
      </c>
      <c r="R294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45458</v>
      </c>
      <c r="S294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45488</v>
      </c>
    </row>
    <row r="295" spans="1:19" ht="15.75" customHeight="1">
      <c r="A295" s="3" t="s">
        <v>334</v>
      </c>
      <c r="B295" s="3" t="s">
        <v>14</v>
      </c>
      <c r="C295" s="5">
        <v>45653</v>
      </c>
      <c r="D295" s="3" t="s">
        <v>15</v>
      </c>
      <c r="E295" s="3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3" t="s">
        <v>21</v>
      </c>
      <c r="M295" s="3" t="s">
        <v>22</v>
      </c>
      <c r="N295" s="16">
        <f t="shared" si="4"/>
        <v>3.2211735740664751</v>
      </c>
      <c r="O295" s="4">
        <f>SUM(Table2[[#This Row],[Likes]],Table2[[#This Row],[Shares]],Table2[[#This Row],[Comments]])</f>
        <v>1884</v>
      </c>
      <c r="P295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95" s="20">
        <f>Table2[[#This Row],[Net_Engagement]]/Table2[[#This Row],[Total_Budget]]</f>
        <v>1.1775000000000001E-2</v>
      </c>
      <c r="R295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95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96" spans="1:19" ht="15.75" customHeight="1">
      <c r="A296" s="3" t="s">
        <v>335</v>
      </c>
      <c r="B296" s="3" t="s">
        <v>14</v>
      </c>
      <c r="C296" s="5">
        <v>45724</v>
      </c>
      <c r="D296" s="3" t="s">
        <v>25</v>
      </c>
      <c r="E296" s="3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3" t="s">
        <v>42</v>
      </c>
      <c r="M296" s="3" t="s">
        <v>55</v>
      </c>
      <c r="N296" s="16">
        <f t="shared" si="4"/>
        <v>11.097778121854921</v>
      </c>
      <c r="O296" s="4">
        <f>SUM(Table2[[#This Row],[Likes]],Table2[[#This Row],[Shares]],Table2[[#This Row],[Comments]])</f>
        <v>2867</v>
      </c>
      <c r="P296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225000</v>
      </c>
      <c r="Q296" s="20">
        <f>Table2[[#This Row],[Net_Engagement]]/Table2[[#This Row],[Total_Budget]]</f>
        <v>1.2742222222222222E-2</v>
      </c>
      <c r="R296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45627</v>
      </c>
      <c r="S296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45657</v>
      </c>
    </row>
    <row r="297" spans="1:19" ht="15.75" customHeight="1">
      <c r="A297" s="3" t="s">
        <v>336</v>
      </c>
      <c r="B297" s="3" t="s">
        <v>24</v>
      </c>
      <c r="C297" s="5">
        <v>45736</v>
      </c>
      <c r="D297" s="3" t="s">
        <v>25</v>
      </c>
      <c r="E297" s="3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3" t="s">
        <v>27</v>
      </c>
      <c r="M297" s="3" t="s">
        <v>18</v>
      </c>
      <c r="N297" s="16">
        <f t="shared" si="4"/>
        <v>11.910074937552039</v>
      </c>
      <c r="O297" s="4">
        <f>SUM(Table2[[#This Row],[Likes]],Table2[[#This Row],[Shares]],Table2[[#This Row],[Comments]])</f>
        <v>3576</v>
      </c>
      <c r="P297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97" s="20">
        <f>Table2[[#This Row],[Net_Engagement]]/Table2[[#This Row],[Total_Budget]]</f>
        <v>1.788E-2</v>
      </c>
      <c r="R297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97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298" spans="1:19" ht="15.75" customHeight="1">
      <c r="A298" s="3" t="s">
        <v>337</v>
      </c>
      <c r="B298" s="3" t="s">
        <v>24</v>
      </c>
      <c r="C298" s="5">
        <v>45612</v>
      </c>
      <c r="D298" s="3" t="s">
        <v>15</v>
      </c>
      <c r="E298" s="3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3" t="s">
        <v>45</v>
      </c>
      <c r="M298" s="3" t="s">
        <v>22</v>
      </c>
      <c r="N298" s="16">
        <f t="shared" si="4"/>
        <v>5.9775576027966082</v>
      </c>
      <c r="O298" s="4">
        <f>SUM(Table2[[#This Row],[Likes]],Table2[[#This Row],[Shares]],Table2[[#This Row],[Comments]])</f>
        <v>3095</v>
      </c>
      <c r="P298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160000</v>
      </c>
      <c r="Q298" s="20">
        <f>Table2[[#This Row],[Net_Engagement]]/Table2[[#This Row],[Total_Budget]]</f>
        <v>1.934375E-2</v>
      </c>
      <c r="R298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45717</v>
      </c>
      <c r="S298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45747</v>
      </c>
    </row>
    <row r="299" spans="1:19" ht="15.75" customHeight="1">
      <c r="A299" s="3" t="s">
        <v>338</v>
      </c>
      <c r="B299" s="3" t="s">
        <v>24</v>
      </c>
      <c r="C299" s="5">
        <v>45838</v>
      </c>
      <c r="D299" s="3" t="s">
        <v>15</v>
      </c>
      <c r="E299" s="3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3" t="s">
        <v>42</v>
      </c>
      <c r="M299" s="3" t="s">
        <v>18</v>
      </c>
      <c r="N299" s="16">
        <f t="shared" si="4"/>
        <v>6.1064362065044353</v>
      </c>
      <c r="O299" s="4">
        <f>SUM(Table2[[#This Row],[Likes]],Table2[[#This Row],[Shares]],Table2[[#This Row],[Comments]])</f>
        <v>2685</v>
      </c>
      <c r="P299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299" s="20">
        <f>Table2[[#This Row],[Net_Engagement]]/Table2[[#This Row],[Total_Budget]]</f>
        <v>1.3424999999999999E-2</v>
      </c>
      <c r="R299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299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00" spans="1:19" ht="15.75" customHeight="1">
      <c r="A300" s="3" t="s">
        <v>339</v>
      </c>
      <c r="B300" s="3" t="s">
        <v>24</v>
      </c>
      <c r="C300" s="5">
        <v>45303</v>
      </c>
      <c r="D300" s="3" t="s">
        <v>25</v>
      </c>
      <c r="E300" s="3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3" t="s">
        <v>39</v>
      </c>
      <c r="M300" s="3" t="s">
        <v>18</v>
      </c>
      <c r="N300" s="16">
        <f t="shared" si="4"/>
        <v>5.5797564422760448</v>
      </c>
      <c r="O300" s="4">
        <f>SUM(Table2[[#This Row],[Likes]],Table2[[#This Row],[Shares]],Table2[[#This Row],[Comments]])</f>
        <v>2882</v>
      </c>
      <c r="P300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00" s="20">
        <f>Table2[[#This Row],[Net_Engagement]]/Table2[[#This Row],[Total_Budget]]</f>
        <v>1.4409999999999999E-2</v>
      </c>
      <c r="R300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00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01" spans="1:19" ht="15.75" customHeight="1">
      <c r="A301" s="3" t="s">
        <v>340</v>
      </c>
      <c r="B301" s="3" t="s">
        <v>14</v>
      </c>
      <c r="C301" s="5">
        <v>45329</v>
      </c>
      <c r="D301" s="3" t="s">
        <v>15</v>
      </c>
      <c r="E301" s="3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3" t="s">
        <v>17</v>
      </c>
      <c r="M301" s="3" t="s">
        <v>18</v>
      </c>
      <c r="N301" s="16">
        <f t="shared" si="4"/>
        <v>9.4300914496331583</v>
      </c>
      <c r="O301" s="4">
        <f>SUM(Table2[[#This Row],[Likes]],Table2[[#This Row],[Shares]],Table2[[#This Row],[Comments]])</f>
        <v>2712</v>
      </c>
      <c r="P301" s="4">
        <f>_xlfn.IFS(
    Table2[[#This Row],[Campaign_Name]]="SummerBeats", 175000,
    Table2[[#This Row],[Campaign_Name]]="Wrapped2024", 225000,
    Table2[[#This Row],[Campaign_Name]]="ChillVibes", 200000,
    Table2[[#This Row],[Campaign_Name]]="IndieWave", 160000
)</f>
        <v>200000</v>
      </c>
      <c r="Q301" s="20">
        <f>Table2[[#This Row],[Net_Engagement]]/Table2[[#This Row],[Total_Budget]]</f>
        <v>1.3559999999999999E-2</v>
      </c>
      <c r="R301" s="6">
        <f>_xlfn.IFS(
    Table2[[#This Row],[Campaign_Name]]="SummerBeats", DATE(2024,6,15),
    Table2[[#This Row],[Campaign_Name]]="Wrapped2024", DATE(2024,12,1),
    Table2[[#This Row],[Campaign_Name]]="ChillVibes", DATE(2025,1,10),
    Table2[[#This Row],[Campaign_Name]]="IndieWave", DATE(2025,3,1)
)</f>
        <v>45667</v>
      </c>
      <c r="S301" s="6">
        <f>_xlfn.IFS(
    Table2[[#This Row],[Campaign_Name]]="SummerBeats", DATE(2024,7,15),
    Table2[[#This Row],[Campaign_Name]]="Wrapped2024", DATE(2024,12,31),
    Table2[[#This Row],[Campaign_Name]]="ChillVibes", DATE(2025,2,10),
    Table2[[#This Row],[Campaign_Name]]="IndieWave", DATE(2025,3,31)
)</f>
        <v>45698</v>
      </c>
    </row>
    <row r="302" spans="1:19" ht="15.75" customHeight="1"/>
    <row r="303" spans="1:19" ht="15.75" customHeight="1"/>
    <row r="304" spans="1:1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C1" zoomScale="94" workbookViewId="0">
      <selection activeCell="K3" sqref="K3"/>
    </sheetView>
  </sheetViews>
  <sheetFormatPr defaultColWidth="14.44140625" defaultRowHeight="15" customHeight="1"/>
  <cols>
    <col min="1" max="1" width="23.88671875" style="6" customWidth="1"/>
    <col min="2" max="2" width="23.88671875" style="4" customWidth="1"/>
    <col min="3" max="3" width="25" style="4" customWidth="1"/>
    <col min="4" max="4" width="17" style="4" customWidth="1"/>
    <col min="5" max="5" width="20" style="4" customWidth="1"/>
    <col min="6" max="6" width="24" style="4" customWidth="1"/>
    <col min="7" max="7" width="17.33203125" style="4" customWidth="1"/>
    <col min="8" max="8" width="19.109375" style="4" customWidth="1"/>
    <col min="9" max="9" width="19.88671875" customWidth="1"/>
    <col min="10" max="10" width="8.6640625" customWidth="1"/>
    <col min="11" max="11" width="16.33203125" customWidth="1"/>
    <col min="12" max="26" width="8.6640625" customWidth="1"/>
  </cols>
  <sheetData>
    <row r="1" spans="1:11" ht="14.4">
      <c r="A1" s="5" t="s">
        <v>341</v>
      </c>
      <c r="B1" s="3" t="s">
        <v>1</v>
      </c>
      <c r="C1" s="3" t="s">
        <v>342</v>
      </c>
      <c r="D1" s="3" t="s">
        <v>343</v>
      </c>
      <c r="E1" s="3" t="s">
        <v>344</v>
      </c>
      <c r="F1" s="3" t="s">
        <v>345</v>
      </c>
      <c r="G1" s="3" t="s">
        <v>346</v>
      </c>
      <c r="H1" s="3" t="s">
        <v>373</v>
      </c>
      <c r="I1" s="3" t="s">
        <v>409</v>
      </c>
    </row>
    <row r="2" spans="1:11" ht="14.4">
      <c r="A2" s="5">
        <v>45810</v>
      </c>
      <c r="B2" s="3" t="s">
        <v>31</v>
      </c>
      <c r="C2" s="3">
        <v>637</v>
      </c>
      <c r="D2" s="3">
        <v>68</v>
      </c>
      <c r="E2" s="3">
        <v>115694</v>
      </c>
      <c r="F2" s="3">
        <v>9.99</v>
      </c>
      <c r="G2" s="3">
        <v>12562</v>
      </c>
      <c r="H2" s="4">
        <f t="shared" ref="H2:H33" si="0">C2-D2</f>
        <v>569</v>
      </c>
      <c r="I2" s="3">
        <f>CORREL(Table7[Net_Followers],Table7[Ad_Spend])</f>
        <v>-1.6915989818837348E-2</v>
      </c>
      <c r="K2">
        <f>MAX(H:H)</f>
        <v>1397</v>
      </c>
    </row>
    <row r="3" spans="1:11" ht="14.4">
      <c r="A3" s="5">
        <v>45845</v>
      </c>
      <c r="B3" s="3" t="s">
        <v>14</v>
      </c>
      <c r="C3" s="3">
        <v>974</v>
      </c>
      <c r="D3" s="3">
        <v>143</v>
      </c>
      <c r="E3" s="3">
        <v>247965</v>
      </c>
      <c r="F3" s="3">
        <v>9.98</v>
      </c>
      <c r="G3" s="3">
        <v>12767</v>
      </c>
      <c r="H3" s="4">
        <f t="shared" si="0"/>
        <v>831</v>
      </c>
      <c r="I3" s="3">
        <f>CORREL(Table7[Net_Followers],Table7[Ad_Spend])</f>
        <v>-1.6915989818837348E-2</v>
      </c>
      <c r="K3" t="str">
        <f>INDEX(A:A,MATCH(MAX(C:C),C:C,0))&amp;" - "&amp;INDEX(B:B,MATCH(MAX(C:C),C:C,0))</f>
        <v>45866 - YouTube</v>
      </c>
    </row>
    <row r="4" spans="1:11" ht="14.4">
      <c r="A4" s="5">
        <v>45453</v>
      </c>
      <c r="B4" s="3" t="s">
        <v>31</v>
      </c>
      <c r="C4" s="3">
        <v>545</v>
      </c>
      <c r="D4" s="3">
        <v>93</v>
      </c>
      <c r="E4" s="3">
        <v>391621</v>
      </c>
      <c r="F4" s="3">
        <v>9.9600000000000009</v>
      </c>
      <c r="G4" s="3">
        <v>22029</v>
      </c>
      <c r="H4" s="4">
        <f t="shared" si="0"/>
        <v>452</v>
      </c>
      <c r="I4" s="3">
        <f>CORREL(Table7[Net_Followers],Table7[Ad_Spend])</f>
        <v>-1.6915989818837348E-2</v>
      </c>
      <c r="K4">
        <f>MAX(E:E)</f>
        <v>397607</v>
      </c>
    </row>
    <row r="5" spans="1:11" ht="14.4">
      <c r="A5" s="5">
        <v>45845</v>
      </c>
      <c r="B5" s="3" t="s">
        <v>24</v>
      </c>
      <c r="C5" s="3">
        <v>1155</v>
      </c>
      <c r="D5" s="3">
        <v>122</v>
      </c>
      <c r="E5" s="3">
        <v>387352</v>
      </c>
      <c r="F5" s="3">
        <v>9.93</v>
      </c>
      <c r="G5" s="3">
        <v>12170</v>
      </c>
      <c r="H5" s="4">
        <f t="shared" si="0"/>
        <v>1033</v>
      </c>
      <c r="I5" s="3">
        <f>CORREL(Table7[Net_Followers],Table7[Ad_Spend])</f>
        <v>-1.6915989818837348E-2</v>
      </c>
    </row>
    <row r="6" spans="1:11" ht="14.4">
      <c r="A6" s="5">
        <v>45446</v>
      </c>
      <c r="B6" s="3" t="s">
        <v>14</v>
      </c>
      <c r="C6" s="3">
        <v>1402</v>
      </c>
      <c r="D6" s="3">
        <v>68</v>
      </c>
      <c r="E6" s="3">
        <v>124562</v>
      </c>
      <c r="F6" s="3">
        <v>9.92</v>
      </c>
      <c r="G6" s="3">
        <v>23125</v>
      </c>
      <c r="H6" s="4">
        <f t="shared" si="0"/>
        <v>1334</v>
      </c>
      <c r="I6" s="3">
        <f>CORREL(Table7[Net_Followers],Table7[Ad_Spend])</f>
        <v>-1.6915989818837348E-2</v>
      </c>
    </row>
    <row r="7" spans="1:11" ht="14.4">
      <c r="A7" s="5">
        <v>45509</v>
      </c>
      <c r="B7" s="3" t="s">
        <v>14</v>
      </c>
      <c r="C7" s="3">
        <v>1449</v>
      </c>
      <c r="D7" s="3">
        <v>96</v>
      </c>
      <c r="E7" s="3">
        <v>200636</v>
      </c>
      <c r="F7" s="3">
        <v>9.92</v>
      </c>
      <c r="G7" s="3">
        <v>15613</v>
      </c>
      <c r="H7" s="4">
        <f t="shared" si="0"/>
        <v>1353</v>
      </c>
      <c r="I7" s="3">
        <f>CORREL(Table7[Net_Followers],Table7[Ad_Spend])</f>
        <v>-1.6915989818837348E-2</v>
      </c>
    </row>
    <row r="8" spans="1:11" ht="14.4">
      <c r="A8" s="5">
        <v>45600</v>
      </c>
      <c r="B8" s="3" t="s">
        <v>24</v>
      </c>
      <c r="C8" s="3">
        <v>1463</v>
      </c>
      <c r="D8" s="3">
        <v>73</v>
      </c>
      <c r="E8" s="3">
        <v>348877</v>
      </c>
      <c r="F8" s="3">
        <v>9.91</v>
      </c>
      <c r="G8" s="3">
        <v>26273</v>
      </c>
      <c r="H8" s="4">
        <f t="shared" si="0"/>
        <v>1390</v>
      </c>
      <c r="I8" s="3">
        <f>CORREL(Table7[Net_Followers],Table7[Ad_Spend])</f>
        <v>-1.6915989818837348E-2</v>
      </c>
    </row>
    <row r="9" spans="1:11" ht="14.4">
      <c r="A9" s="5">
        <v>45684</v>
      </c>
      <c r="B9" s="3" t="s">
        <v>14</v>
      </c>
      <c r="C9" s="3">
        <v>566</v>
      </c>
      <c r="D9" s="3">
        <v>225</v>
      </c>
      <c r="E9" s="3">
        <v>368984</v>
      </c>
      <c r="F9" s="3">
        <v>9.82</v>
      </c>
      <c r="G9" s="3">
        <v>9592</v>
      </c>
      <c r="H9" s="4">
        <f t="shared" si="0"/>
        <v>341</v>
      </c>
      <c r="I9" s="3">
        <f>CORREL(Table7[Net_Followers],Table7[Ad_Spend])</f>
        <v>-1.6915989818837348E-2</v>
      </c>
    </row>
    <row r="10" spans="1:11" ht="14.4">
      <c r="A10" s="5">
        <v>45747</v>
      </c>
      <c r="B10" s="3" t="s">
        <v>24</v>
      </c>
      <c r="C10" s="3">
        <v>1232</v>
      </c>
      <c r="D10" s="3">
        <v>254</v>
      </c>
      <c r="E10" s="3">
        <v>107718</v>
      </c>
      <c r="F10" s="3">
        <v>9.7100000000000009</v>
      </c>
      <c r="G10" s="3">
        <v>13740</v>
      </c>
      <c r="H10" s="4">
        <f t="shared" si="0"/>
        <v>978</v>
      </c>
      <c r="I10" s="3">
        <f>CORREL(Table7[Net_Followers],Table7[Ad_Spend])</f>
        <v>-1.6915989818837348E-2</v>
      </c>
    </row>
    <row r="11" spans="1:11" ht="14.4">
      <c r="A11" s="5">
        <v>45621</v>
      </c>
      <c r="B11" s="3" t="s">
        <v>31</v>
      </c>
      <c r="C11" s="3">
        <v>1313</v>
      </c>
      <c r="D11" s="3">
        <v>159</v>
      </c>
      <c r="E11" s="3">
        <v>197183</v>
      </c>
      <c r="F11" s="3">
        <v>9.7100000000000009</v>
      </c>
      <c r="G11" s="3">
        <v>6625</v>
      </c>
      <c r="H11" s="4">
        <f t="shared" si="0"/>
        <v>1154</v>
      </c>
      <c r="I11" s="3">
        <f>CORREL(Table7[Net_Followers],Table7[Ad_Spend])</f>
        <v>-1.6915989818837348E-2</v>
      </c>
    </row>
    <row r="12" spans="1:11" ht="14.4">
      <c r="A12" s="5">
        <v>45467</v>
      </c>
      <c r="B12" s="3" t="s">
        <v>31</v>
      </c>
      <c r="C12" s="3">
        <v>844</v>
      </c>
      <c r="D12" s="3">
        <v>144</v>
      </c>
      <c r="E12" s="3">
        <v>126015</v>
      </c>
      <c r="F12" s="3">
        <v>9.65</v>
      </c>
      <c r="G12" s="3">
        <v>22456</v>
      </c>
      <c r="H12" s="4">
        <f t="shared" si="0"/>
        <v>700</v>
      </c>
      <c r="I12" s="3">
        <f>CORREL(Table7[Net_Followers],Table7[Ad_Spend])</f>
        <v>-1.6915989818837348E-2</v>
      </c>
    </row>
    <row r="13" spans="1:11" ht="14.4">
      <c r="A13" s="5">
        <v>45852</v>
      </c>
      <c r="B13" s="3" t="s">
        <v>24</v>
      </c>
      <c r="C13" s="3">
        <v>670</v>
      </c>
      <c r="D13" s="3">
        <v>242</v>
      </c>
      <c r="E13" s="3">
        <v>281913</v>
      </c>
      <c r="F13" s="3">
        <v>9.6199999999999992</v>
      </c>
      <c r="G13" s="3">
        <v>16377</v>
      </c>
      <c r="H13" s="4">
        <f t="shared" si="0"/>
        <v>428</v>
      </c>
      <c r="I13" s="3">
        <f>CORREL(Table7[Net_Followers],Table7[Ad_Spend])</f>
        <v>-1.6915989818837348E-2</v>
      </c>
    </row>
    <row r="14" spans="1:11" ht="14.4">
      <c r="A14" s="5">
        <v>45740</v>
      </c>
      <c r="B14" s="3" t="s">
        <v>24</v>
      </c>
      <c r="C14" s="3">
        <v>975</v>
      </c>
      <c r="D14" s="3">
        <v>162</v>
      </c>
      <c r="E14" s="3">
        <v>124497</v>
      </c>
      <c r="F14" s="3">
        <v>9.58</v>
      </c>
      <c r="G14" s="3">
        <v>26618</v>
      </c>
      <c r="H14" s="4">
        <f t="shared" si="0"/>
        <v>813</v>
      </c>
      <c r="I14" s="3">
        <f>CORREL(Table7[Net_Followers],Table7[Ad_Spend])</f>
        <v>-1.6915989818837348E-2</v>
      </c>
    </row>
    <row r="15" spans="1:11" ht="14.4">
      <c r="A15" s="5">
        <v>45579</v>
      </c>
      <c r="B15" s="3" t="s">
        <v>31</v>
      </c>
      <c r="C15" s="3">
        <v>1457</v>
      </c>
      <c r="D15" s="3">
        <v>215</v>
      </c>
      <c r="E15" s="3">
        <v>325325</v>
      </c>
      <c r="F15" s="3">
        <v>9.58</v>
      </c>
      <c r="G15" s="3">
        <v>14178</v>
      </c>
      <c r="H15" s="4">
        <f t="shared" si="0"/>
        <v>1242</v>
      </c>
      <c r="I15" s="3">
        <f>CORREL(Table7[Net_Followers],Table7[Ad_Spend])</f>
        <v>-1.6915989818837348E-2</v>
      </c>
    </row>
    <row r="16" spans="1:11" ht="14.4">
      <c r="A16" s="5">
        <v>45565</v>
      </c>
      <c r="B16" s="3" t="s">
        <v>24</v>
      </c>
      <c r="C16" s="3">
        <v>998</v>
      </c>
      <c r="D16" s="3">
        <v>154</v>
      </c>
      <c r="E16" s="3">
        <v>179781</v>
      </c>
      <c r="F16" s="3">
        <v>9.58</v>
      </c>
      <c r="G16" s="3">
        <v>12115</v>
      </c>
      <c r="H16" s="4">
        <f t="shared" si="0"/>
        <v>844</v>
      </c>
      <c r="I16" s="3">
        <f>CORREL(Table7[Net_Followers],Table7[Ad_Spend])</f>
        <v>-1.6915989818837348E-2</v>
      </c>
    </row>
    <row r="17" spans="1:9" ht="14.4">
      <c r="A17" s="5">
        <v>45733</v>
      </c>
      <c r="B17" s="3" t="s">
        <v>31</v>
      </c>
      <c r="C17" s="3">
        <v>1274</v>
      </c>
      <c r="D17" s="3">
        <v>146</v>
      </c>
      <c r="E17" s="3">
        <v>263488</v>
      </c>
      <c r="F17" s="3">
        <v>9.58</v>
      </c>
      <c r="G17" s="3">
        <v>8698</v>
      </c>
      <c r="H17" s="4">
        <f t="shared" si="0"/>
        <v>1128</v>
      </c>
      <c r="I17" s="3">
        <f>CORREL(Table7[Net_Followers],Table7[Ad_Spend])</f>
        <v>-1.6915989818837348E-2</v>
      </c>
    </row>
    <row r="18" spans="1:9" ht="14.4">
      <c r="A18" s="5">
        <v>45551</v>
      </c>
      <c r="B18" s="3" t="s">
        <v>24</v>
      </c>
      <c r="C18" s="3">
        <v>1373</v>
      </c>
      <c r="D18" s="3">
        <v>82</v>
      </c>
      <c r="E18" s="3">
        <v>371015</v>
      </c>
      <c r="F18" s="3">
        <v>9.52</v>
      </c>
      <c r="G18" s="3">
        <v>20306</v>
      </c>
      <c r="H18" s="4">
        <f t="shared" si="0"/>
        <v>1291</v>
      </c>
      <c r="I18" s="3">
        <f>CORREL(Table7[Net_Followers],Table7[Ad_Spend])</f>
        <v>-1.6915989818837348E-2</v>
      </c>
    </row>
    <row r="19" spans="1:9" ht="14.4">
      <c r="A19" s="5">
        <v>45467</v>
      </c>
      <c r="B19" s="3" t="s">
        <v>14</v>
      </c>
      <c r="C19" s="3">
        <v>809</v>
      </c>
      <c r="D19" s="3">
        <v>197</v>
      </c>
      <c r="E19" s="3">
        <v>87186</v>
      </c>
      <c r="F19" s="3">
        <v>9.48</v>
      </c>
      <c r="G19" s="3">
        <v>22619</v>
      </c>
      <c r="H19" s="4">
        <f t="shared" si="0"/>
        <v>612</v>
      </c>
      <c r="I19" s="3">
        <f>CORREL(Table7[Net_Followers],Table7[Ad_Spend])</f>
        <v>-1.6915989818837348E-2</v>
      </c>
    </row>
    <row r="20" spans="1:9" ht="14.4">
      <c r="A20" s="5">
        <v>45453</v>
      </c>
      <c r="B20" s="3" t="s">
        <v>14</v>
      </c>
      <c r="C20" s="3">
        <v>1018</v>
      </c>
      <c r="D20" s="3">
        <v>90</v>
      </c>
      <c r="E20" s="3">
        <v>92474</v>
      </c>
      <c r="F20" s="3">
        <v>9.4</v>
      </c>
      <c r="G20" s="3">
        <v>11966</v>
      </c>
      <c r="H20" s="4">
        <f t="shared" si="0"/>
        <v>928</v>
      </c>
      <c r="I20" s="3">
        <f>CORREL(Table7[Net_Followers],Table7[Ad_Spend])</f>
        <v>-1.6915989818837348E-2</v>
      </c>
    </row>
    <row r="21" spans="1:9" ht="15.75" customHeight="1">
      <c r="A21" s="5">
        <v>45516</v>
      </c>
      <c r="B21" s="3" t="s">
        <v>31</v>
      </c>
      <c r="C21" s="3">
        <v>1109</v>
      </c>
      <c r="D21" s="3">
        <v>205</v>
      </c>
      <c r="E21" s="3">
        <v>276722</v>
      </c>
      <c r="F21" s="3">
        <v>9.3800000000000008</v>
      </c>
      <c r="G21" s="3">
        <v>8274</v>
      </c>
      <c r="H21" s="4">
        <f t="shared" si="0"/>
        <v>904</v>
      </c>
      <c r="I21" s="3">
        <f>CORREL(Table7[Net_Followers],Table7[Ad_Spend])</f>
        <v>-1.6915989818837348E-2</v>
      </c>
    </row>
    <row r="22" spans="1:9" ht="15.75" customHeight="1">
      <c r="A22" s="5">
        <v>45887</v>
      </c>
      <c r="B22" s="3" t="s">
        <v>31</v>
      </c>
      <c r="C22" s="3">
        <v>936</v>
      </c>
      <c r="D22" s="3">
        <v>97</v>
      </c>
      <c r="E22" s="3">
        <v>151799</v>
      </c>
      <c r="F22" s="3">
        <v>9.3699999999999992</v>
      </c>
      <c r="G22" s="3">
        <v>15461</v>
      </c>
      <c r="H22" s="4">
        <f t="shared" si="0"/>
        <v>839</v>
      </c>
      <c r="I22" s="3">
        <f>CORREL(Table7[Net_Followers],Table7[Ad_Spend])</f>
        <v>-1.6915989818837348E-2</v>
      </c>
    </row>
    <row r="23" spans="1:9" ht="15.75" customHeight="1">
      <c r="A23" s="5">
        <v>45495</v>
      </c>
      <c r="B23" s="3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  <c r="H23" s="4">
        <f t="shared" si="0"/>
        <v>792</v>
      </c>
      <c r="I23" s="3">
        <f>CORREL(Table7[Net_Followers],Table7[Ad_Spend])</f>
        <v>-1.6915989818837348E-2</v>
      </c>
    </row>
    <row r="24" spans="1:9" ht="15.75" customHeight="1">
      <c r="A24" s="5">
        <v>45558</v>
      </c>
      <c r="B24" s="3" t="s">
        <v>14</v>
      </c>
      <c r="C24" s="3">
        <v>1290</v>
      </c>
      <c r="D24" s="3">
        <v>177</v>
      </c>
      <c r="E24" s="3">
        <v>80745</v>
      </c>
      <c r="F24" s="3">
        <v>9.2200000000000006</v>
      </c>
      <c r="G24" s="3">
        <v>26872</v>
      </c>
      <c r="H24" s="4">
        <f t="shared" si="0"/>
        <v>1113</v>
      </c>
      <c r="I24" s="3">
        <f>CORREL(Table7[Net_Followers],Table7[Ad_Spend])</f>
        <v>-1.6915989818837348E-2</v>
      </c>
    </row>
    <row r="25" spans="1:9" ht="15.75" customHeight="1">
      <c r="A25" s="5">
        <v>45635</v>
      </c>
      <c r="B25" s="3" t="s">
        <v>14</v>
      </c>
      <c r="C25" s="3">
        <v>875</v>
      </c>
      <c r="D25" s="3">
        <v>264</v>
      </c>
      <c r="E25" s="3">
        <v>345631</v>
      </c>
      <c r="F25" s="3">
        <v>9.18</v>
      </c>
      <c r="G25" s="3">
        <v>25703</v>
      </c>
      <c r="H25" s="4">
        <f t="shared" si="0"/>
        <v>611</v>
      </c>
      <c r="I25" s="3">
        <f>CORREL(Table7[Net_Followers],Table7[Ad_Spend])</f>
        <v>-1.6915989818837348E-2</v>
      </c>
    </row>
    <row r="26" spans="1:9" ht="15.75" customHeight="1">
      <c r="A26" s="5">
        <v>45782</v>
      </c>
      <c r="B26" s="3" t="s">
        <v>31</v>
      </c>
      <c r="C26" s="3">
        <v>622</v>
      </c>
      <c r="D26" s="3">
        <v>163</v>
      </c>
      <c r="E26" s="3">
        <v>231925</v>
      </c>
      <c r="F26" s="3">
        <v>9.18</v>
      </c>
      <c r="G26" s="3">
        <v>13763</v>
      </c>
      <c r="H26" s="4">
        <f t="shared" si="0"/>
        <v>459</v>
      </c>
      <c r="I26" s="3">
        <f>CORREL(Table7[Net_Followers],Table7[Ad_Spend])</f>
        <v>-1.6915989818837348E-2</v>
      </c>
    </row>
    <row r="27" spans="1:9" ht="15.75" customHeight="1">
      <c r="A27" s="5">
        <v>45642</v>
      </c>
      <c r="B27" s="3" t="s">
        <v>24</v>
      </c>
      <c r="C27" s="3">
        <v>632</v>
      </c>
      <c r="D27" s="3">
        <v>155</v>
      </c>
      <c r="E27" s="3">
        <v>170432</v>
      </c>
      <c r="F27" s="3">
        <v>9.17</v>
      </c>
      <c r="G27" s="3">
        <v>12840</v>
      </c>
      <c r="H27" s="4">
        <f t="shared" si="0"/>
        <v>477</v>
      </c>
      <c r="I27" s="3">
        <f>CORREL(Table7[Net_Followers],Table7[Ad_Spend])</f>
        <v>-1.6915989818837348E-2</v>
      </c>
    </row>
    <row r="28" spans="1:9" ht="15.75" customHeight="1">
      <c r="A28" s="5">
        <v>45677</v>
      </c>
      <c r="B28" s="3" t="s">
        <v>24</v>
      </c>
      <c r="C28" s="3">
        <v>841</v>
      </c>
      <c r="D28" s="3">
        <v>295</v>
      </c>
      <c r="E28" s="3">
        <v>271638</v>
      </c>
      <c r="F28" s="3">
        <v>9.15</v>
      </c>
      <c r="G28" s="3">
        <v>5900</v>
      </c>
      <c r="H28" s="4">
        <f t="shared" si="0"/>
        <v>546</v>
      </c>
      <c r="I28" s="3">
        <f>CORREL(Table7[Net_Followers],Table7[Ad_Spend])</f>
        <v>-1.6915989818837348E-2</v>
      </c>
    </row>
    <row r="29" spans="1:9" ht="15.75" customHeight="1">
      <c r="A29" s="5">
        <v>45845</v>
      </c>
      <c r="B29" s="3" t="s">
        <v>31</v>
      </c>
      <c r="C29" s="3">
        <v>1051</v>
      </c>
      <c r="D29" s="3">
        <v>246</v>
      </c>
      <c r="E29" s="3">
        <v>253985</v>
      </c>
      <c r="F29" s="3">
        <v>9.08</v>
      </c>
      <c r="G29" s="3">
        <v>7245</v>
      </c>
      <c r="H29" s="4">
        <f t="shared" si="0"/>
        <v>805</v>
      </c>
      <c r="I29" s="3">
        <f>CORREL(Table7[Net_Followers],Table7[Ad_Spend])</f>
        <v>-1.6915989818837348E-2</v>
      </c>
    </row>
    <row r="30" spans="1:9" ht="15.75" customHeight="1">
      <c r="A30" s="5">
        <v>45663</v>
      </c>
      <c r="B30" s="3" t="s">
        <v>31</v>
      </c>
      <c r="C30" s="3">
        <v>953</v>
      </c>
      <c r="D30" s="3">
        <v>228</v>
      </c>
      <c r="E30" s="3">
        <v>258398</v>
      </c>
      <c r="F30" s="3">
        <v>9.0500000000000007</v>
      </c>
      <c r="G30" s="3">
        <v>13314</v>
      </c>
      <c r="H30" s="4">
        <f t="shared" si="0"/>
        <v>725</v>
      </c>
      <c r="I30" s="3">
        <f>CORREL(Table7[Net_Followers],Table7[Ad_Spend])</f>
        <v>-1.6915989818837348E-2</v>
      </c>
    </row>
    <row r="31" spans="1:9" ht="15.75" customHeight="1">
      <c r="A31" s="5">
        <v>45453</v>
      </c>
      <c r="B31" s="3" t="s">
        <v>24</v>
      </c>
      <c r="C31" s="3">
        <v>1461</v>
      </c>
      <c r="D31" s="3">
        <v>64</v>
      </c>
      <c r="E31" s="3">
        <v>328902</v>
      </c>
      <c r="F31" s="3">
        <v>9.02</v>
      </c>
      <c r="G31" s="3">
        <v>26298</v>
      </c>
      <c r="H31" s="4">
        <f t="shared" si="0"/>
        <v>1397</v>
      </c>
      <c r="I31" s="3">
        <f>CORREL(Table7[Net_Followers],Table7[Ad_Spend])</f>
        <v>-1.6915989818837348E-2</v>
      </c>
    </row>
    <row r="32" spans="1:9" ht="15.75" customHeight="1">
      <c r="A32" s="5">
        <v>45621</v>
      </c>
      <c r="B32" s="3" t="s">
        <v>14</v>
      </c>
      <c r="C32" s="3">
        <v>663</v>
      </c>
      <c r="D32" s="3">
        <v>213</v>
      </c>
      <c r="E32" s="3">
        <v>352677</v>
      </c>
      <c r="F32" s="3">
        <v>9</v>
      </c>
      <c r="G32" s="3">
        <v>20438</v>
      </c>
      <c r="H32" s="4">
        <f t="shared" si="0"/>
        <v>450</v>
      </c>
      <c r="I32" s="3">
        <f>CORREL(Table7[Net_Followers],Table7[Ad_Spend])</f>
        <v>-1.6915989818837348E-2</v>
      </c>
    </row>
    <row r="33" spans="1:9" ht="15.75" customHeight="1">
      <c r="A33" s="5">
        <v>45649</v>
      </c>
      <c r="B33" s="3" t="s">
        <v>31</v>
      </c>
      <c r="C33" s="3">
        <v>935</v>
      </c>
      <c r="D33" s="3">
        <v>85</v>
      </c>
      <c r="E33" s="3">
        <v>326821</v>
      </c>
      <c r="F33" s="3">
        <v>8.89</v>
      </c>
      <c r="G33" s="3">
        <v>13301</v>
      </c>
      <c r="H33" s="4">
        <f t="shared" si="0"/>
        <v>850</v>
      </c>
      <c r="I33" s="3">
        <f>CORREL(Table7[Net_Followers],Table7[Ad_Spend])</f>
        <v>-1.6915989818837348E-2</v>
      </c>
    </row>
    <row r="34" spans="1:9" ht="15.75" customHeight="1">
      <c r="A34" s="5">
        <v>45565</v>
      </c>
      <c r="B34" s="3" t="s">
        <v>31</v>
      </c>
      <c r="C34" s="3">
        <v>1421</v>
      </c>
      <c r="D34" s="3">
        <v>246</v>
      </c>
      <c r="E34" s="3">
        <v>358581</v>
      </c>
      <c r="F34" s="3">
        <v>8.8800000000000008</v>
      </c>
      <c r="G34" s="3">
        <v>24358</v>
      </c>
      <c r="H34" s="4">
        <f t="shared" ref="H34:H65" si="1">C34-D34</f>
        <v>1175</v>
      </c>
      <c r="I34" s="3">
        <f>CORREL(Table7[Net_Followers],Table7[Ad_Spend])</f>
        <v>-1.6915989818837348E-2</v>
      </c>
    </row>
    <row r="35" spans="1:9" ht="15.75" customHeight="1">
      <c r="A35" s="5">
        <v>45621</v>
      </c>
      <c r="B35" s="3" t="s">
        <v>24</v>
      </c>
      <c r="C35" s="3">
        <v>954</v>
      </c>
      <c r="D35" s="3">
        <v>271</v>
      </c>
      <c r="E35" s="3">
        <v>160936</v>
      </c>
      <c r="F35" s="3">
        <v>8.83</v>
      </c>
      <c r="G35" s="3">
        <v>8760</v>
      </c>
      <c r="H35" s="4">
        <f t="shared" si="1"/>
        <v>683</v>
      </c>
      <c r="I35" s="3">
        <f>CORREL(Table7[Net_Followers],Table7[Ad_Spend])</f>
        <v>-1.6915989818837348E-2</v>
      </c>
    </row>
    <row r="36" spans="1:9" ht="15.75" customHeight="1">
      <c r="A36" s="5">
        <v>45551</v>
      </c>
      <c r="B36" s="3" t="s">
        <v>14</v>
      </c>
      <c r="C36" s="3">
        <v>681</v>
      </c>
      <c r="D36" s="3">
        <v>210</v>
      </c>
      <c r="E36" s="3">
        <v>248581</v>
      </c>
      <c r="F36" s="3">
        <v>8.76</v>
      </c>
      <c r="G36" s="3">
        <v>9567</v>
      </c>
      <c r="H36" s="4">
        <f t="shared" si="1"/>
        <v>471</v>
      </c>
      <c r="I36" s="3">
        <f>CORREL(Table7[Net_Followers],Table7[Ad_Spend])</f>
        <v>-1.6915989818837348E-2</v>
      </c>
    </row>
    <row r="37" spans="1:9" ht="15.75" customHeight="1">
      <c r="A37" s="5">
        <v>45670</v>
      </c>
      <c r="B37" s="3" t="s">
        <v>24</v>
      </c>
      <c r="C37" s="3">
        <v>1414</v>
      </c>
      <c r="D37" s="3">
        <v>60</v>
      </c>
      <c r="E37" s="3">
        <v>341856</v>
      </c>
      <c r="F37" s="3">
        <v>8.76</v>
      </c>
      <c r="G37" s="3">
        <v>6868</v>
      </c>
      <c r="H37" s="4">
        <f t="shared" si="1"/>
        <v>1354</v>
      </c>
      <c r="I37" s="3">
        <f>CORREL(Table7[Net_Followers],Table7[Ad_Spend])</f>
        <v>-1.6915989818837348E-2</v>
      </c>
    </row>
    <row r="38" spans="1:9" ht="15.75" customHeight="1">
      <c r="A38" s="5">
        <v>45880</v>
      </c>
      <c r="B38" s="3" t="s">
        <v>24</v>
      </c>
      <c r="C38" s="3">
        <v>938</v>
      </c>
      <c r="D38" s="3">
        <v>236</v>
      </c>
      <c r="E38" s="3">
        <v>116472</v>
      </c>
      <c r="F38" s="3">
        <v>8.7200000000000006</v>
      </c>
      <c r="G38" s="3">
        <v>17460</v>
      </c>
      <c r="H38" s="4">
        <f t="shared" si="1"/>
        <v>702</v>
      </c>
      <c r="I38" s="3">
        <f>CORREL(Table7[Net_Followers],Table7[Ad_Spend])</f>
        <v>-1.6915989818837348E-2</v>
      </c>
    </row>
    <row r="39" spans="1:9" ht="15.75" customHeight="1">
      <c r="A39" s="5">
        <v>45600</v>
      </c>
      <c r="B39" s="3" t="s">
        <v>31</v>
      </c>
      <c r="C39" s="3">
        <v>1208</v>
      </c>
      <c r="D39" s="3">
        <v>224</v>
      </c>
      <c r="E39" s="3">
        <v>122730</v>
      </c>
      <c r="F39" s="3">
        <v>8.7200000000000006</v>
      </c>
      <c r="G39" s="3">
        <v>10858</v>
      </c>
      <c r="H39" s="4">
        <f t="shared" si="1"/>
        <v>984</v>
      </c>
      <c r="I39" s="3">
        <f>CORREL(Table7[Net_Followers],Table7[Ad_Spend])</f>
        <v>-1.6915989818837348E-2</v>
      </c>
    </row>
    <row r="40" spans="1:9" ht="15.75" customHeight="1">
      <c r="A40" s="5">
        <v>45852</v>
      </c>
      <c r="B40" s="3" t="s">
        <v>31</v>
      </c>
      <c r="C40" s="3">
        <v>1111</v>
      </c>
      <c r="D40" s="3">
        <v>159</v>
      </c>
      <c r="E40" s="3">
        <v>360770</v>
      </c>
      <c r="F40" s="3">
        <v>8.7100000000000009</v>
      </c>
      <c r="G40" s="3">
        <v>11453</v>
      </c>
      <c r="H40" s="4">
        <f t="shared" si="1"/>
        <v>952</v>
      </c>
      <c r="I40" s="3">
        <f>CORREL(Table7[Net_Followers],Table7[Ad_Spend])</f>
        <v>-1.6915989818837348E-2</v>
      </c>
    </row>
    <row r="41" spans="1:9" ht="15.75" customHeight="1">
      <c r="A41" s="5">
        <v>45789</v>
      </c>
      <c r="B41" s="3" t="s">
        <v>24</v>
      </c>
      <c r="C41" s="3">
        <v>544</v>
      </c>
      <c r="D41" s="3">
        <v>97</v>
      </c>
      <c r="E41" s="3">
        <v>168375</v>
      </c>
      <c r="F41" s="3">
        <v>8.66</v>
      </c>
      <c r="G41" s="3">
        <v>12774</v>
      </c>
      <c r="H41" s="4">
        <f t="shared" si="1"/>
        <v>447</v>
      </c>
      <c r="I41" s="3">
        <f>CORREL(Table7[Net_Followers],Table7[Ad_Spend])</f>
        <v>-1.6915989818837348E-2</v>
      </c>
    </row>
    <row r="42" spans="1:9" ht="15.75" customHeight="1">
      <c r="A42" s="5">
        <v>45698</v>
      </c>
      <c r="B42" s="3" t="s">
        <v>14</v>
      </c>
      <c r="C42" s="3">
        <v>1066</v>
      </c>
      <c r="D42" s="3">
        <v>151</v>
      </c>
      <c r="E42" s="3">
        <v>297090</v>
      </c>
      <c r="F42" s="3">
        <v>8.6300000000000008</v>
      </c>
      <c r="G42" s="3">
        <v>11235</v>
      </c>
      <c r="H42" s="4">
        <f t="shared" si="1"/>
        <v>915</v>
      </c>
      <c r="I42" s="3">
        <f>CORREL(Table7[Net_Followers],Table7[Ad_Spend])</f>
        <v>-1.6915989818837348E-2</v>
      </c>
    </row>
    <row r="43" spans="1:9" ht="15.75" customHeight="1">
      <c r="A43" s="5">
        <v>45873</v>
      </c>
      <c r="B43" s="3" t="s">
        <v>24</v>
      </c>
      <c r="C43" s="3">
        <v>640</v>
      </c>
      <c r="D43" s="3">
        <v>141</v>
      </c>
      <c r="E43" s="3">
        <v>267546</v>
      </c>
      <c r="F43" s="3">
        <v>8.58</v>
      </c>
      <c r="G43" s="3">
        <v>25058</v>
      </c>
      <c r="H43" s="4">
        <f t="shared" si="1"/>
        <v>499</v>
      </c>
      <c r="I43" s="3">
        <f>CORREL(Table7[Net_Followers],Table7[Ad_Spend])</f>
        <v>-1.6915989818837348E-2</v>
      </c>
    </row>
    <row r="44" spans="1:9" ht="15.75" customHeight="1">
      <c r="A44" s="5">
        <v>45481</v>
      </c>
      <c r="B44" s="3" t="s">
        <v>24</v>
      </c>
      <c r="C44" s="3">
        <v>1471</v>
      </c>
      <c r="D44" s="3">
        <v>100</v>
      </c>
      <c r="E44" s="3">
        <v>76866</v>
      </c>
      <c r="F44" s="3">
        <v>8.5500000000000007</v>
      </c>
      <c r="G44" s="3">
        <v>14412</v>
      </c>
      <c r="H44" s="4">
        <f t="shared" si="1"/>
        <v>1371</v>
      </c>
      <c r="I44" s="3">
        <f>CORREL(Table7[Net_Followers],Table7[Ad_Spend])</f>
        <v>-1.6915989818837348E-2</v>
      </c>
    </row>
    <row r="45" spans="1:9" ht="15.75" customHeight="1">
      <c r="A45" s="5">
        <v>45488</v>
      </c>
      <c r="B45" s="3" t="s">
        <v>24</v>
      </c>
      <c r="C45" s="3">
        <v>1308</v>
      </c>
      <c r="D45" s="3">
        <v>210</v>
      </c>
      <c r="E45" s="3">
        <v>263729</v>
      </c>
      <c r="F45" s="3">
        <v>8.5299999999999994</v>
      </c>
      <c r="G45" s="3">
        <v>25742</v>
      </c>
      <c r="H45" s="4">
        <f t="shared" si="1"/>
        <v>1098</v>
      </c>
      <c r="I45" s="3">
        <f>CORREL(Table7[Net_Followers],Table7[Ad_Spend])</f>
        <v>-1.6915989818837348E-2</v>
      </c>
    </row>
    <row r="46" spans="1:9" ht="15.75" customHeight="1">
      <c r="A46" s="5">
        <v>45481</v>
      </c>
      <c r="B46" s="3" t="s">
        <v>14</v>
      </c>
      <c r="C46" s="3">
        <v>797</v>
      </c>
      <c r="D46" s="3">
        <v>130</v>
      </c>
      <c r="E46" s="3">
        <v>340121</v>
      </c>
      <c r="F46" s="3">
        <v>8.52</v>
      </c>
      <c r="G46" s="3">
        <v>11684</v>
      </c>
      <c r="H46" s="4">
        <f t="shared" si="1"/>
        <v>667</v>
      </c>
      <c r="I46" s="3">
        <f>CORREL(Table7[Net_Followers],Table7[Ad_Spend])</f>
        <v>-1.6915989818837348E-2</v>
      </c>
    </row>
    <row r="47" spans="1:9" ht="15.75" customHeight="1">
      <c r="A47" s="5">
        <v>45873</v>
      </c>
      <c r="B47" s="3" t="s">
        <v>31</v>
      </c>
      <c r="C47" s="3">
        <v>616</v>
      </c>
      <c r="D47" s="3">
        <v>93</v>
      </c>
      <c r="E47" s="3">
        <v>133082</v>
      </c>
      <c r="F47" s="3">
        <v>8.51</v>
      </c>
      <c r="G47" s="3">
        <v>18303</v>
      </c>
      <c r="H47" s="4">
        <f t="shared" si="1"/>
        <v>523</v>
      </c>
      <c r="I47" s="3">
        <f>CORREL(Table7[Net_Followers],Table7[Ad_Spend])</f>
        <v>-1.6915989818837348E-2</v>
      </c>
    </row>
    <row r="48" spans="1:9" ht="15.75" customHeight="1">
      <c r="A48" s="5">
        <v>45572</v>
      </c>
      <c r="B48" s="3" t="s">
        <v>24</v>
      </c>
      <c r="C48" s="3">
        <v>678</v>
      </c>
      <c r="D48" s="3">
        <v>124</v>
      </c>
      <c r="E48" s="3">
        <v>192022</v>
      </c>
      <c r="F48" s="3">
        <v>8.4499999999999993</v>
      </c>
      <c r="G48" s="3">
        <v>17729</v>
      </c>
      <c r="H48" s="4">
        <f t="shared" si="1"/>
        <v>554</v>
      </c>
      <c r="I48" s="3">
        <f>CORREL(Table7[Net_Followers],Table7[Ad_Spend])</f>
        <v>-1.6915989818837348E-2</v>
      </c>
    </row>
    <row r="49" spans="1:9" ht="15.75" customHeight="1">
      <c r="A49" s="5">
        <v>45831</v>
      </c>
      <c r="B49" s="3" t="s">
        <v>14</v>
      </c>
      <c r="C49" s="3">
        <v>564</v>
      </c>
      <c r="D49" s="3">
        <v>244</v>
      </c>
      <c r="E49" s="3">
        <v>279405</v>
      </c>
      <c r="F49" s="3">
        <v>8.43</v>
      </c>
      <c r="G49" s="3">
        <v>26024</v>
      </c>
      <c r="H49" s="4">
        <f t="shared" si="1"/>
        <v>320</v>
      </c>
      <c r="I49" s="3">
        <f>CORREL(Table7[Net_Followers],Table7[Ad_Spend])</f>
        <v>-1.6915989818837348E-2</v>
      </c>
    </row>
    <row r="50" spans="1:9" ht="15.75" customHeight="1">
      <c r="A50" s="5">
        <v>45488</v>
      </c>
      <c r="B50" s="3" t="s">
        <v>31</v>
      </c>
      <c r="C50" s="3">
        <v>981</v>
      </c>
      <c r="D50" s="3">
        <v>69</v>
      </c>
      <c r="E50" s="3">
        <v>206921</v>
      </c>
      <c r="F50" s="3">
        <v>8.42</v>
      </c>
      <c r="G50" s="3">
        <v>10495</v>
      </c>
      <c r="H50" s="4">
        <f t="shared" si="1"/>
        <v>912</v>
      </c>
      <c r="I50" s="3">
        <f>CORREL(Table7[Net_Followers],Table7[Ad_Spend])</f>
        <v>-1.6915989818837348E-2</v>
      </c>
    </row>
    <row r="51" spans="1:9" ht="15.75" customHeight="1">
      <c r="A51" s="5">
        <v>45572</v>
      </c>
      <c r="B51" s="3" t="s">
        <v>31</v>
      </c>
      <c r="C51" s="3">
        <v>1328</v>
      </c>
      <c r="D51" s="3">
        <v>103</v>
      </c>
      <c r="E51" s="3">
        <v>151462</v>
      </c>
      <c r="F51" s="3">
        <v>8.4</v>
      </c>
      <c r="G51" s="3">
        <v>10881</v>
      </c>
      <c r="H51" s="4">
        <f t="shared" si="1"/>
        <v>1225</v>
      </c>
      <c r="I51" s="3">
        <f>CORREL(Table7[Net_Followers],Table7[Ad_Spend])</f>
        <v>-1.6915989818837348E-2</v>
      </c>
    </row>
    <row r="52" spans="1:9" ht="15.75" customHeight="1">
      <c r="A52" s="5">
        <v>45607</v>
      </c>
      <c r="B52" s="3" t="s">
        <v>14</v>
      </c>
      <c r="C52" s="3">
        <v>1391</v>
      </c>
      <c r="D52" s="3">
        <v>187</v>
      </c>
      <c r="E52" s="3">
        <v>306508</v>
      </c>
      <c r="F52" s="3">
        <v>8.3800000000000008</v>
      </c>
      <c r="G52" s="3">
        <v>25038</v>
      </c>
      <c r="H52" s="4">
        <f t="shared" si="1"/>
        <v>1204</v>
      </c>
      <c r="I52" s="3">
        <f>CORREL(Table7[Net_Followers],Table7[Ad_Spend])</f>
        <v>-1.6915989818837348E-2</v>
      </c>
    </row>
    <row r="53" spans="1:9" ht="15.75" customHeight="1">
      <c r="A53" s="5">
        <v>45887</v>
      </c>
      <c r="B53" s="3" t="s">
        <v>14</v>
      </c>
      <c r="C53" s="3">
        <v>541</v>
      </c>
      <c r="D53" s="3">
        <v>208</v>
      </c>
      <c r="E53" s="3">
        <v>157547</v>
      </c>
      <c r="F53" s="3">
        <v>8.35</v>
      </c>
      <c r="G53" s="3">
        <v>20162</v>
      </c>
      <c r="H53" s="4">
        <f t="shared" si="1"/>
        <v>333</v>
      </c>
      <c r="I53" s="3">
        <f>CORREL(Table7[Net_Followers],Table7[Ad_Spend])</f>
        <v>-1.6915989818837348E-2</v>
      </c>
    </row>
    <row r="54" spans="1:9" ht="15.75" customHeight="1">
      <c r="A54" s="5">
        <v>45460</v>
      </c>
      <c r="B54" s="3" t="s">
        <v>24</v>
      </c>
      <c r="C54" s="3">
        <v>1414</v>
      </c>
      <c r="D54" s="3">
        <v>131</v>
      </c>
      <c r="E54" s="3">
        <v>245947</v>
      </c>
      <c r="F54" s="3">
        <v>8.3000000000000007</v>
      </c>
      <c r="G54" s="3">
        <v>14477</v>
      </c>
      <c r="H54" s="4">
        <f t="shared" si="1"/>
        <v>1283</v>
      </c>
      <c r="I54" s="3">
        <f>CORREL(Table7[Net_Followers],Table7[Ad_Spend])</f>
        <v>-1.6915989818837348E-2</v>
      </c>
    </row>
    <row r="55" spans="1:9" ht="15.75" customHeight="1">
      <c r="A55" s="5">
        <v>45719</v>
      </c>
      <c r="B55" s="3" t="s">
        <v>14</v>
      </c>
      <c r="C55" s="3">
        <v>1444</v>
      </c>
      <c r="D55" s="3">
        <v>165</v>
      </c>
      <c r="E55" s="3">
        <v>116436</v>
      </c>
      <c r="F55" s="3">
        <v>8.2200000000000006</v>
      </c>
      <c r="G55" s="3">
        <v>25234</v>
      </c>
      <c r="H55" s="4">
        <f t="shared" si="1"/>
        <v>1279</v>
      </c>
      <c r="I55" s="3">
        <f>CORREL(Table7[Net_Followers],Table7[Ad_Spend])</f>
        <v>-1.6915989818837348E-2</v>
      </c>
    </row>
    <row r="56" spans="1:9" ht="15.75" customHeight="1">
      <c r="A56" s="5">
        <v>45586</v>
      </c>
      <c r="B56" s="3" t="s">
        <v>24</v>
      </c>
      <c r="C56" s="3">
        <v>886</v>
      </c>
      <c r="D56" s="3">
        <v>124</v>
      </c>
      <c r="E56" s="3">
        <v>141161</v>
      </c>
      <c r="F56" s="3">
        <v>8.19</v>
      </c>
      <c r="G56" s="3">
        <v>14215</v>
      </c>
      <c r="H56" s="4">
        <f t="shared" si="1"/>
        <v>762</v>
      </c>
      <c r="I56" s="3">
        <f>CORREL(Table7[Net_Followers],Table7[Ad_Spend])</f>
        <v>-1.6915989818837348E-2</v>
      </c>
    </row>
    <row r="57" spans="1:9" ht="15.75" customHeight="1">
      <c r="A57" s="5">
        <v>45509</v>
      </c>
      <c r="B57" s="3" t="s">
        <v>24</v>
      </c>
      <c r="C57" s="3">
        <v>752</v>
      </c>
      <c r="D57" s="3">
        <v>170</v>
      </c>
      <c r="E57" s="3">
        <v>132756</v>
      </c>
      <c r="F57" s="3">
        <v>8.17</v>
      </c>
      <c r="G57" s="3">
        <v>23900</v>
      </c>
      <c r="H57" s="4">
        <f t="shared" si="1"/>
        <v>582</v>
      </c>
      <c r="I57" s="3">
        <f>CORREL(Table7[Net_Followers],Table7[Ad_Spend])</f>
        <v>-1.6915989818837348E-2</v>
      </c>
    </row>
    <row r="58" spans="1:9" ht="15.75" customHeight="1">
      <c r="A58" s="5">
        <v>45579</v>
      </c>
      <c r="B58" s="3" t="s">
        <v>24</v>
      </c>
      <c r="C58" s="3">
        <v>588</v>
      </c>
      <c r="D58" s="3">
        <v>52</v>
      </c>
      <c r="E58" s="3">
        <v>292040</v>
      </c>
      <c r="F58" s="3">
        <v>8.14</v>
      </c>
      <c r="G58" s="3">
        <v>9383</v>
      </c>
      <c r="H58" s="4">
        <f t="shared" si="1"/>
        <v>536</v>
      </c>
      <c r="I58" s="3">
        <f>CORREL(Table7[Net_Followers],Table7[Ad_Spend])</f>
        <v>-1.6915989818837348E-2</v>
      </c>
    </row>
    <row r="59" spans="1:9" ht="15.75" customHeight="1">
      <c r="A59" s="5">
        <v>45558</v>
      </c>
      <c r="B59" s="3" t="s">
        <v>31</v>
      </c>
      <c r="C59" s="3">
        <v>769</v>
      </c>
      <c r="D59" s="3">
        <v>295</v>
      </c>
      <c r="E59" s="3">
        <v>344771</v>
      </c>
      <c r="F59" s="3">
        <v>8.06</v>
      </c>
      <c r="G59" s="3">
        <v>23963</v>
      </c>
      <c r="H59" s="4">
        <f t="shared" si="1"/>
        <v>474</v>
      </c>
      <c r="I59" s="3">
        <f>CORREL(Table7[Net_Followers],Table7[Ad_Spend])</f>
        <v>-1.6915989818837348E-2</v>
      </c>
    </row>
    <row r="60" spans="1:9" ht="15.75" customHeight="1">
      <c r="A60" s="5">
        <v>45586</v>
      </c>
      <c r="B60" s="3" t="s">
        <v>14</v>
      </c>
      <c r="C60" s="3">
        <v>1190</v>
      </c>
      <c r="D60" s="3">
        <v>242</v>
      </c>
      <c r="E60" s="3">
        <v>86849</v>
      </c>
      <c r="F60" s="3">
        <v>8.06</v>
      </c>
      <c r="G60" s="3">
        <v>21254</v>
      </c>
      <c r="H60" s="4">
        <f t="shared" si="1"/>
        <v>948</v>
      </c>
      <c r="I60" s="3">
        <f>CORREL(Table7[Net_Followers],Table7[Ad_Spend])</f>
        <v>-1.6915989818837348E-2</v>
      </c>
    </row>
    <row r="61" spans="1:9" ht="15.75" customHeight="1">
      <c r="A61" s="5">
        <v>45446</v>
      </c>
      <c r="B61" s="3" t="s">
        <v>24</v>
      </c>
      <c r="C61" s="3">
        <v>995</v>
      </c>
      <c r="D61" s="3">
        <v>86</v>
      </c>
      <c r="E61" s="3">
        <v>227958</v>
      </c>
      <c r="F61" s="3">
        <v>8.0500000000000007</v>
      </c>
      <c r="G61" s="3">
        <v>22788</v>
      </c>
      <c r="H61" s="4">
        <f t="shared" si="1"/>
        <v>909</v>
      </c>
      <c r="I61" s="3">
        <f>CORREL(Table7[Net_Followers],Table7[Ad_Spend])</f>
        <v>-1.6915989818837348E-2</v>
      </c>
    </row>
    <row r="62" spans="1:9" ht="15.75" customHeight="1">
      <c r="A62" s="5">
        <v>45698</v>
      </c>
      <c r="B62" s="3" t="s">
        <v>24</v>
      </c>
      <c r="C62" s="3">
        <v>1270</v>
      </c>
      <c r="D62" s="3">
        <v>162</v>
      </c>
      <c r="E62" s="3">
        <v>92040</v>
      </c>
      <c r="F62" s="3">
        <v>8.0299999999999994</v>
      </c>
      <c r="G62" s="3">
        <v>6120</v>
      </c>
      <c r="H62" s="4">
        <f t="shared" si="1"/>
        <v>1108</v>
      </c>
      <c r="I62" s="3">
        <f>CORREL(Table7[Net_Followers],Table7[Ad_Spend])</f>
        <v>-1.6915989818837348E-2</v>
      </c>
    </row>
    <row r="63" spans="1:9" ht="15.75" customHeight="1">
      <c r="A63" s="5">
        <v>45481</v>
      </c>
      <c r="B63" s="3" t="s">
        <v>31</v>
      </c>
      <c r="C63" s="3">
        <v>1253</v>
      </c>
      <c r="D63" s="3">
        <v>136</v>
      </c>
      <c r="E63" s="3">
        <v>193131</v>
      </c>
      <c r="F63" s="3">
        <v>7.99</v>
      </c>
      <c r="G63" s="3">
        <v>15924</v>
      </c>
      <c r="H63" s="4">
        <f t="shared" si="1"/>
        <v>1117</v>
      </c>
      <c r="I63" s="3">
        <f>CORREL(Table7[Net_Followers],Table7[Ad_Spend])</f>
        <v>-1.6915989818837348E-2</v>
      </c>
    </row>
    <row r="64" spans="1:9" ht="15.75" customHeight="1">
      <c r="A64" s="5">
        <v>45852</v>
      </c>
      <c r="B64" s="3" t="s">
        <v>14</v>
      </c>
      <c r="C64" s="3">
        <v>1457</v>
      </c>
      <c r="D64" s="3">
        <v>183</v>
      </c>
      <c r="E64" s="3">
        <v>129640</v>
      </c>
      <c r="F64" s="3">
        <v>7.98</v>
      </c>
      <c r="G64" s="3">
        <v>12985</v>
      </c>
      <c r="H64" s="4">
        <f t="shared" si="1"/>
        <v>1274</v>
      </c>
      <c r="I64" s="3">
        <f>CORREL(Table7[Net_Followers],Table7[Ad_Spend])</f>
        <v>-1.6915989818837348E-2</v>
      </c>
    </row>
    <row r="65" spans="1:9" ht="15.75" customHeight="1">
      <c r="A65" s="5">
        <v>45628</v>
      </c>
      <c r="B65" s="3" t="s">
        <v>31</v>
      </c>
      <c r="C65" s="3">
        <v>990</v>
      </c>
      <c r="D65" s="3">
        <v>286</v>
      </c>
      <c r="E65" s="3">
        <v>351493</v>
      </c>
      <c r="F65" s="3">
        <v>7.97</v>
      </c>
      <c r="G65" s="3">
        <v>14496</v>
      </c>
      <c r="H65" s="4">
        <f t="shared" si="1"/>
        <v>704</v>
      </c>
      <c r="I65" s="3">
        <f>CORREL(Table7[Net_Followers],Table7[Ad_Spend])</f>
        <v>-1.6915989818837348E-2</v>
      </c>
    </row>
    <row r="66" spans="1:9" ht="15.75" customHeight="1">
      <c r="A66" s="5">
        <v>45796</v>
      </c>
      <c r="B66" s="3" t="s">
        <v>14</v>
      </c>
      <c r="C66" s="3">
        <v>1073</v>
      </c>
      <c r="D66" s="3">
        <v>141</v>
      </c>
      <c r="E66" s="3">
        <v>118393</v>
      </c>
      <c r="F66" s="3">
        <v>7.95</v>
      </c>
      <c r="G66" s="3">
        <v>14051</v>
      </c>
      <c r="H66" s="4">
        <f t="shared" ref="H66:H97" si="2">C66-D66</f>
        <v>932</v>
      </c>
      <c r="I66" s="3">
        <f>CORREL(Table7[Net_Followers],Table7[Ad_Spend])</f>
        <v>-1.6915989818837348E-2</v>
      </c>
    </row>
    <row r="67" spans="1:9" ht="15.75" customHeight="1">
      <c r="A67" s="5">
        <v>45726</v>
      </c>
      <c r="B67" s="3" t="s">
        <v>14</v>
      </c>
      <c r="C67" s="3">
        <v>631</v>
      </c>
      <c r="D67" s="3">
        <v>86</v>
      </c>
      <c r="E67" s="3">
        <v>295090</v>
      </c>
      <c r="F67" s="3">
        <v>7.89</v>
      </c>
      <c r="G67" s="3">
        <v>11911</v>
      </c>
      <c r="H67" s="4">
        <f t="shared" si="2"/>
        <v>545</v>
      </c>
      <c r="I67" s="3">
        <f>CORREL(Table7[Net_Followers],Table7[Ad_Spend])</f>
        <v>-1.6915989818837348E-2</v>
      </c>
    </row>
    <row r="68" spans="1:9" ht="15.75" customHeight="1">
      <c r="A68" s="5">
        <v>45698</v>
      </c>
      <c r="B68" s="3" t="s">
        <v>31</v>
      </c>
      <c r="C68" s="3">
        <v>536</v>
      </c>
      <c r="D68" s="3">
        <v>198</v>
      </c>
      <c r="E68" s="3">
        <v>174610</v>
      </c>
      <c r="F68" s="3">
        <v>7.85</v>
      </c>
      <c r="G68" s="3">
        <v>20572</v>
      </c>
      <c r="H68" s="4">
        <f t="shared" si="2"/>
        <v>338</v>
      </c>
      <c r="I68" s="3">
        <f>CORREL(Table7[Net_Followers],Table7[Ad_Spend])</f>
        <v>-1.6915989818837348E-2</v>
      </c>
    </row>
    <row r="69" spans="1:9" ht="15.75" customHeight="1">
      <c r="A69" s="5">
        <v>45747</v>
      </c>
      <c r="B69" s="3" t="s">
        <v>14</v>
      </c>
      <c r="C69" s="3">
        <v>591</v>
      </c>
      <c r="D69" s="3">
        <v>155</v>
      </c>
      <c r="E69" s="3">
        <v>138521</v>
      </c>
      <c r="F69" s="3">
        <v>7.85</v>
      </c>
      <c r="G69" s="3">
        <v>19054</v>
      </c>
      <c r="H69" s="4">
        <f t="shared" si="2"/>
        <v>436</v>
      </c>
      <c r="I69" s="3">
        <f>CORREL(Table7[Net_Followers],Table7[Ad_Spend])</f>
        <v>-1.6915989818837348E-2</v>
      </c>
    </row>
    <row r="70" spans="1:9" ht="15.75" customHeight="1">
      <c r="A70" s="5">
        <v>45544</v>
      </c>
      <c r="B70" s="3" t="s">
        <v>31</v>
      </c>
      <c r="C70" s="3">
        <v>854</v>
      </c>
      <c r="D70" s="3">
        <v>129</v>
      </c>
      <c r="E70" s="3">
        <v>310903</v>
      </c>
      <c r="F70" s="3">
        <v>7.83</v>
      </c>
      <c r="G70" s="3">
        <v>16875</v>
      </c>
      <c r="H70" s="4">
        <f t="shared" si="2"/>
        <v>725</v>
      </c>
      <c r="I70" s="3">
        <f>CORREL(Table7[Net_Followers],Table7[Ad_Spend])</f>
        <v>-1.6915989818837348E-2</v>
      </c>
    </row>
    <row r="71" spans="1:9" ht="15.75" customHeight="1">
      <c r="A71" s="5">
        <v>45663</v>
      </c>
      <c r="B71" s="3" t="s">
        <v>24</v>
      </c>
      <c r="C71" s="3">
        <v>1340</v>
      </c>
      <c r="D71" s="3">
        <v>57</v>
      </c>
      <c r="E71" s="3">
        <v>155927</v>
      </c>
      <c r="F71" s="3">
        <v>7.79</v>
      </c>
      <c r="G71" s="3">
        <v>11972</v>
      </c>
      <c r="H71" s="4">
        <f t="shared" si="2"/>
        <v>1283</v>
      </c>
      <c r="I71" s="3">
        <f>CORREL(Table7[Net_Followers],Table7[Ad_Spend])</f>
        <v>-1.6915989818837348E-2</v>
      </c>
    </row>
    <row r="72" spans="1:9" ht="15.75" customHeight="1">
      <c r="A72" s="5">
        <v>45866</v>
      </c>
      <c r="B72" s="3" t="s">
        <v>31</v>
      </c>
      <c r="C72" s="3">
        <v>1490</v>
      </c>
      <c r="D72" s="3">
        <v>103</v>
      </c>
      <c r="E72" s="3">
        <v>81184</v>
      </c>
      <c r="F72" s="3">
        <v>7.79</v>
      </c>
      <c r="G72" s="3">
        <v>10681</v>
      </c>
      <c r="H72" s="4">
        <f t="shared" si="2"/>
        <v>1387</v>
      </c>
      <c r="I72" s="3">
        <f>CORREL(Table7[Net_Followers],Table7[Ad_Spend])</f>
        <v>-1.6915989818837348E-2</v>
      </c>
    </row>
    <row r="73" spans="1:9" ht="15.75" customHeight="1">
      <c r="A73" s="5">
        <v>45768</v>
      </c>
      <c r="B73" s="3" t="s">
        <v>24</v>
      </c>
      <c r="C73" s="3">
        <v>747</v>
      </c>
      <c r="D73" s="3">
        <v>261</v>
      </c>
      <c r="E73" s="3">
        <v>338650</v>
      </c>
      <c r="F73" s="3">
        <v>7.73</v>
      </c>
      <c r="G73" s="3">
        <v>25259</v>
      </c>
      <c r="H73" s="4">
        <f t="shared" si="2"/>
        <v>486</v>
      </c>
      <c r="I73" s="3">
        <f>CORREL(Table7[Net_Followers],Table7[Ad_Spend])</f>
        <v>-1.6915989818837348E-2</v>
      </c>
    </row>
    <row r="74" spans="1:9" ht="15.75" customHeight="1">
      <c r="A74" s="5">
        <v>45446</v>
      </c>
      <c r="B74" s="3" t="s">
        <v>31</v>
      </c>
      <c r="C74" s="3">
        <v>1472</v>
      </c>
      <c r="D74" s="3">
        <v>296</v>
      </c>
      <c r="E74" s="3">
        <v>370242</v>
      </c>
      <c r="F74" s="3">
        <v>7.72</v>
      </c>
      <c r="G74" s="3">
        <v>7810</v>
      </c>
      <c r="H74" s="4">
        <f t="shared" si="2"/>
        <v>1176</v>
      </c>
      <c r="I74" s="3">
        <f>CORREL(Table7[Net_Followers],Table7[Ad_Spend])</f>
        <v>-1.6915989818837348E-2</v>
      </c>
    </row>
    <row r="75" spans="1:9" ht="15.75" customHeight="1">
      <c r="A75" s="5">
        <v>45880</v>
      </c>
      <c r="B75" s="3" t="s">
        <v>31</v>
      </c>
      <c r="C75" s="3">
        <v>1007</v>
      </c>
      <c r="D75" s="3">
        <v>258</v>
      </c>
      <c r="E75" s="3">
        <v>113412</v>
      </c>
      <c r="F75" s="3">
        <v>7.71</v>
      </c>
      <c r="G75" s="3">
        <v>14475</v>
      </c>
      <c r="H75" s="4">
        <f t="shared" si="2"/>
        <v>749</v>
      </c>
      <c r="I75" s="3">
        <f>CORREL(Table7[Net_Followers],Table7[Ad_Spend])</f>
        <v>-1.6915989818837348E-2</v>
      </c>
    </row>
    <row r="76" spans="1:9" ht="15.75" customHeight="1">
      <c r="A76" s="5">
        <v>45719</v>
      </c>
      <c r="B76" s="3" t="s">
        <v>24</v>
      </c>
      <c r="C76" s="3">
        <v>1234</v>
      </c>
      <c r="D76" s="3">
        <v>228</v>
      </c>
      <c r="E76" s="3">
        <v>127502</v>
      </c>
      <c r="F76" s="3">
        <v>7.71</v>
      </c>
      <c r="G76" s="3">
        <v>6772</v>
      </c>
      <c r="H76" s="4">
        <f t="shared" si="2"/>
        <v>1006</v>
      </c>
      <c r="I76" s="3">
        <f>CORREL(Table7[Net_Followers],Table7[Ad_Spend])</f>
        <v>-1.6915989818837348E-2</v>
      </c>
    </row>
    <row r="77" spans="1:9" ht="15.75" customHeight="1">
      <c r="A77" s="5">
        <v>45537</v>
      </c>
      <c r="B77" s="3" t="s">
        <v>31</v>
      </c>
      <c r="C77" s="3">
        <v>1096</v>
      </c>
      <c r="D77" s="3">
        <v>65</v>
      </c>
      <c r="E77" s="3">
        <v>358295</v>
      </c>
      <c r="F77" s="3">
        <v>7.66</v>
      </c>
      <c r="G77" s="3">
        <v>24548</v>
      </c>
      <c r="H77" s="4">
        <f t="shared" si="2"/>
        <v>1031</v>
      </c>
      <c r="I77" s="3">
        <f>CORREL(Table7[Net_Followers],Table7[Ad_Spend])</f>
        <v>-1.6915989818837348E-2</v>
      </c>
    </row>
    <row r="78" spans="1:9" ht="15.75" customHeight="1">
      <c r="A78" s="5">
        <v>45803</v>
      </c>
      <c r="B78" s="3" t="s">
        <v>24</v>
      </c>
      <c r="C78" s="3">
        <v>1389</v>
      </c>
      <c r="D78" s="3">
        <v>205</v>
      </c>
      <c r="E78" s="3">
        <v>315981</v>
      </c>
      <c r="F78" s="3">
        <v>7.62</v>
      </c>
      <c r="G78" s="3">
        <v>20595</v>
      </c>
      <c r="H78" s="4">
        <f t="shared" si="2"/>
        <v>1184</v>
      </c>
      <c r="I78" s="3">
        <f>CORREL(Table7[Net_Followers],Table7[Ad_Spend])</f>
        <v>-1.6915989818837348E-2</v>
      </c>
    </row>
    <row r="79" spans="1:9" ht="15.75" customHeight="1">
      <c r="A79" s="5">
        <v>45607</v>
      </c>
      <c r="B79" s="3" t="s">
        <v>24</v>
      </c>
      <c r="C79" s="3">
        <v>655</v>
      </c>
      <c r="D79" s="3">
        <v>123</v>
      </c>
      <c r="E79" s="3">
        <v>202472</v>
      </c>
      <c r="F79" s="3">
        <v>7.56</v>
      </c>
      <c r="G79" s="3">
        <v>9092</v>
      </c>
      <c r="H79" s="4">
        <f t="shared" si="2"/>
        <v>532</v>
      </c>
      <c r="I79" s="3">
        <f>CORREL(Table7[Net_Followers],Table7[Ad_Spend])</f>
        <v>-1.6915989818837348E-2</v>
      </c>
    </row>
    <row r="80" spans="1:9" ht="15.75" customHeight="1">
      <c r="A80" s="5">
        <v>45831</v>
      </c>
      <c r="B80" s="3" t="s">
        <v>24</v>
      </c>
      <c r="C80" s="3">
        <v>668</v>
      </c>
      <c r="D80" s="3">
        <v>124</v>
      </c>
      <c r="E80" s="3">
        <v>257485</v>
      </c>
      <c r="F80" s="3">
        <v>7.55</v>
      </c>
      <c r="G80" s="3">
        <v>26730</v>
      </c>
      <c r="H80" s="4">
        <f t="shared" si="2"/>
        <v>544</v>
      </c>
      <c r="I80" s="3">
        <f>CORREL(Table7[Net_Followers],Table7[Ad_Spend])</f>
        <v>-1.6915989818837348E-2</v>
      </c>
    </row>
    <row r="81" spans="1:9" ht="15.75" customHeight="1">
      <c r="A81" s="5">
        <v>45530</v>
      </c>
      <c r="B81" s="3" t="s">
        <v>14</v>
      </c>
      <c r="C81" s="3">
        <v>1154</v>
      </c>
      <c r="D81" s="3">
        <v>132</v>
      </c>
      <c r="E81" s="3">
        <v>194595</v>
      </c>
      <c r="F81" s="3">
        <v>7.54</v>
      </c>
      <c r="G81" s="3">
        <v>26624</v>
      </c>
      <c r="H81" s="4">
        <f t="shared" si="2"/>
        <v>1022</v>
      </c>
      <c r="I81" s="3">
        <f>CORREL(Table7[Net_Followers],Table7[Ad_Spend])</f>
        <v>-1.6915989818837348E-2</v>
      </c>
    </row>
    <row r="82" spans="1:9" ht="15.75" customHeight="1">
      <c r="A82" s="5">
        <v>45537</v>
      </c>
      <c r="B82" s="3" t="s">
        <v>24</v>
      </c>
      <c r="C82" s="3">
        <v>1098</v>
      </c>
      <c r="D82" s="3">
        <v>142</v>
      </c>
      <c r="E82" s="3">
        <v>359150</v>
      </c>
      <c r="F82" s="3">
        <v>7.51</v>
      </c>
      <c r="G82" s="3">
        <v>16385</v>
      </c>
      <c r="H82" s="4">
        <f t="shared" si="2"/>
        <v>956</v>
      </c>
      <c r="I82" s="3">
        <f>CORREL(Table7[Net_Followers],Table7[Ad_Spend])</f>
        <v>-1.6915989818837348E-2</v>
      </c>
    </row>
    <row r="83" spans="1:9" ht="15.75" customHeight="1">
      <c r="A83" s="5">
        <v>45516</v>
      </c>
      <c r="B83" s="3" t="s">
        <v>24</v>
      </c>
      <c r="C83" s="3">
        <v>1456</v>
      </c>
      <c r="D83" s="3">
        <v>265</v>
      </c>
      <c r="E83" s="3">
        <v>115505</v>
      </c>
      <c r="F83" s="3">
        <v>7.49</v>
      </c>
      <c r="G83" s="3">
        <v>10311</v>
      </c>
      <c r="H83" s="4">
        <f t="shared" si="2"/>
        <v>1191</v>
      </c>
      <c r="I83" s="3">
        <f>CORREL(Table7[Net_Followers],Table7[Ad_Spend])</f>
        <v>-1.6915989818837348E-2</v>
      </c>
    </row>
    <row r="84" spans="1:9" ht="15.75" customHeight="1">
      <c r="A84" s="5">
        <v>45803</v>
      </c>
      <c r="B84" s="3" t="s">
        <v>31</v>
      </c>
      <c r="C84" s="3">
        <v>826</v>
      </c>
      <c r="D84" s="3">
        <v>142</v>
      </c>
      <c r="E84" s="3">
        <v>341016</v>
      </c>
      <c r="F84" s="3">
        <v>7.44</v>
      </c>
      <c r="G84" s="3">
        <v>12031</v>
      </c>
      <c r="H84" s="4">
        <f t="shared" si="2"/>
        <v>684</v>
      </c>
      <c r="I84" s="3">
        <f>CORREL(Table7[Net_Followers],Table7[Ad_Spend])</f>
        <v>-1.6915989818837348E-2</v>
      </c>
    </row>
    <row r="85" spans="1:9" ht="15.75" customHeight="1">
      <c r="A85" s="5">
        <v>45768</v>
      </c>
      <c r="B85" s="3" t="s">
        <v>14</v>
      </c>
      <c r="C85" s="3">
        <v>585</v>
      </c>
      <c r="D85" s="3">
        <v>232</v>
      </c>
      <c r="E85" s="3">
        <v>321258</v>
      </c>
      <c r="F85" s="3">
        <v>7.42</v>
      </c>
      <c r="G85" s="3">
        <v>10343</v>
      </c>
      <c r="H85" s="4">
        <f t="shared" si="2"/>
        <v>353</v>
      </c>
      <c r="I85" s="3">
        <f>CORREL(Table7[Net_Followers],Table7[Ad_Spend])</f>
        <v>-1.6915989818837348E-2</v>
      </c>
    </row>
    <row r="86" spans="1:9" ht="15.75" customHeight="1">
      <c r="A86" s="5">
        <v>45719</v>
      </c>
      <c r="B86" s="3" t="s">
        <v>31</v>
      </c>
      <c r="C86" s="3">
        <v>665</v>
      </c>
      <c r="D86" s="3">
        <v>187</v>
      </c>
      <c r="E86" s="3">
        <v>274567</v>
      </c>
      <c r="F86" s="3">
        <v>7.39</v>
      </c>
      <c r="G86" s="3">
        <v>22428</v>
      </c>
      <c r="H86" s="4">
        <f t="shared" si="2"/>
        <v>478</v>
      </c>
      <c r="I86" s="3">
        <f>CORREL(Table7[Net_Followers],Table7[Ad_Spend])</f>
        <v>-1.6915989818837348E-2</v>
      </c>
    </row>
    <row r="87" spans="1:9" ht="15.75" customHeight="1">
      <c r="A87" s="5">
        <v>45754</v>
      </c>
      <c r="B87" s="3" t="s">
        <v>24</v>
      </c>
      <c r="C87" s="3">
        <v>1222</v>
      </c>
      <c r="D87" s="3">
        <v>208</v>
      </c>
      <c r="E87" s="3">
        <v>340098</v>
      </c>
      <c r="F87" s="3">
        <v>7.34</v>
      </c>
      <c r="G87" s="3">
        <v>21771</v>
      </c>
      <c r="H87" s="4">
        <f t="shared" si="2"/>
        <v>1014</v>
      </c>
      <c r="I87" s="3">
        <f>CORREL(Table7[Net_Followers],Table7[Ad_Spend])</f>
        <v>-1.6915989818837348E-2</v>
      </c>
    </row>
    <row r="88" spans="1:9" ht="15.75" customHeight="1">
      <c r="A88" s="5">
        <v>45579</v>
      </c>
      <c r="B88" s="3" t="s">
        <v>14</v>
      </c>
      <c r="C88" s="3">
        <v>1161</v>
      </c>
      <c r="D88" s="3">
        <v>269</v>
      </c>
      <c r="E88" s="3">
        <v>188193</v>
      </c>
      <c r="F88" s="3">
        <v>7.34</v>
      </c>
      <c r="G88" s="3">
        <v>18576</v>
      </c>
      <c r="H88" s="4">
        <f t="shared" si="2"/>
        <v>892</v>
      </c>
      <c r="I88" s="3">
        <f>CORREL(Table7[Net_Followers],Table7[Ad_Spend])</f>
        <v>-1.6915989818837348E-2</v>
      </c>
    </row>
    <row r="89" spans="1:9" ht="15.75" customHeight="1">
      <c r="A89" s="5">
        <v>45691</v>
      </c>
      <c r="B89" s="3" t="s">
        <v>14</v>
      </c>
      <c r="C89" s="3">
        <v>795</v>
      </c>
      <c r="D89" s="3">
        <v>60</v>
      </c>
      <c r="E89" s="3">
        <v>314982</v>
      </c>
      <c r="F89" s="3">
        <v>7.31</v>
      </c>
      <c r="G89" s="3">
        <v>6824</v>
      </c>
      <c r="H89" s="4">
        <f t="shared" si="2"/>
        <v>735</v>
      </c>
      <c r="I89" s="3">
        <f>CORREL(Table7[Net_Followers],Table7[Ad_Spend])</f>
        <v>-1.6915989818837348E-2</v>
      </c>
    </row>
    <row r="90" spans="1:9" ht="15.75" customHeight="1">
      <c r="A90" s="5">
        <v>45607</v>
      </c>
      <c r="B90" s="3" t="s">
        <v>31</v>
      </c>
      <c r="C90" s="3">
        <v>1148</v>
      </c>
      <c r="D90" s="3">
        <v>90</v>
      </c>
      <c r="E90" s="3">
        <v>227249</v>
      </c>
      <c r="F90" s="3">
        <v>7.24</v>
      </c>
      <c r="G90" s="3">
        <v>17662</v>
      </c>
      <c r="H90" s="4">
        <f t="shared" si="2"/>
        <v>1058</v>
      </c>
      <c r="I90" s="3">
        <f>CORREL(Table7[Net_Followers],Table7[Ad_Spend])</f>
        <v>-1.6915989818837348E-2</v>
      </c>
    </row>
    <row r="91" spans="1:9" ht="15.75" customHeight="1">
      <c r="A91" s="5">
        <v>45761</v>
      </c>
      <c r="B91" s="3" t="s">
        <v>31</v>
      </c>
      <c r="C91" s="3">
        <v>1472</v>
      </c>
      <c r="D91" s="3">
        <v>281</v>
      </c>
      <c r="E91" s="3">
        <v>258115</v>
      </c>
      <c r="F91" s="3">
        <v>7.23</v>
      </c>
      <c r="G91" s="3">
        <v>27393</v>
      </c>
      <c r="H91" s="4">
        <f t="shared" si="2"/>
        <v>1191</v>
      </c>
      <c r="I91" s="3">
        <f>CORREL(Table7[Net_Followers],Table7[Ad_Spend])</f>
        <v>-1.6915989818837348E-2</v>
      </c>
    </row>
    <row r="92" spans="1:9" ht="15.75" customHeight="1">
      <c r="A92" s="5">
        <v>45530</v>
      </c>
      <c r="B92" s="3" t="s">
        <v>31</v>
      </c>
      <c r="C92" s="3">
        <v>1456</v>
      </c>
      <c r="D92" s="3">
        <v>290</v>
      </c>
      <c r="E92" s="3">
        <v>271044</v>
      </c>
      <c r="F92" s="3">
        <v>7.17</v>
      </c>
      <c r="G92" s="3">
        <v>13051</v>
      </c>
      <c r="H92" s="4">
        <f t="shared" si="2"/>
        <v>1166</v>
      </c>
      <c r="I92" s="3">
        <f>CORREL(Table7[Net_Followers],Table7[Ad_Spend])</f>
        <v>-1.6915989818837348E-2</v>
      </c>
    </row>
    <row r="93" spans="1:9" ht="15.75" customHeight="1">
      <c r="A93" s="5">
        <v>45705</v>
      </c>
      <c r="B93" s="3" t="s">
        <v>24</v>
      </c>
      <c r="C93" s="3">
        <v>681</v>
      </c>
      <c r="D93" s="3">
        <v>218</v>
      </c>
      <c r="E93" s="3">
        <v>198882</v>
      </c>
      <c r="F93" s="3">
        <v>7.16</v>
      </c>
      <c r="G93" s="3">
        <v>22234</v>
      </c>
      <c r="H93" s="4">
        <f t="shared" si="2"/>
        <v>463</v>
      </c>
      <c r="I93" s="3">
        <f>CORREL(Table7[Net_Followers],Table7[Ad_Spend])</f>
        <v>-1.6915989818837348E-2</v>
      </c>
    </row>
    <row r="94" spans="1:9" ht="15.75" customHeight="1">
      <c r="A94" s="5">
        <v>45467</v>
      </c>
      <c r="B94" s="3" t="s">
        <v>24</v>
      </c>
      <c r="C94" s="3">
        <v>1371</v>
      </c>
      <c r="D94" s="3">
        <v>250</v>
      </c>
      <c r="E94" s="3">
        <v>128620</v>
      </c>
      <c r="F94" s="3">
        <v>7.11</v>
      </c>
      <c r="G94" s="3">
        <v>12399</v>
      </c>
      <c r="H94" s="4">
        <f t="shared" si="2"/>
        <v>1121</v>
      </c>
      <c r="I94" s="3">
        <f>CORREL(Table7[Net_Followers],Table7[Ad_Spend])</f>
        <v>-1.6915989818837348E-2</v>
      </c>
    </row>
    <row r="95" spans="1:9" ht="15.75" customHeight="1">
      <c r="A95" s="5">
        <v>45705</v>
      </c>
      <c r="B95" s="3" t="s">
        <v>31</v>
      </c>
      <c r="C95" s="3">
        <v>646</v>
      </c>
      <c r="D95" s="3">
        <v>290</v>
      </c>
      <c r="E95" s="3">
        <v>336383</v>
      </c>
      <c r="F95" s="3">
        <v>7.04</v>
      </c>
      <c r="G95" s="3">
        <v>6532</v>
      </c>
      <c r="H95" s="4">
        <f t="shared" si="2"/>
        <v>356</v>
      </c>
      <c r="I95" s="3">
        <f>CORREL(Table7[Net_Followers],Table7[Ad_Spend])</f>
        <v>-1.6915989818837348E-2</v>
      </c>
    </row>
    <row r="96" spans="1:9" ht="15.75" customHeight="1">
      <c r="A96" s="5">
        <v>45761</v>
      </c>
      <c r="B96" s="3" t="s">
        <v>24</v>
      </c>
      <c r="C96" s="3">
        <v>1472</v>
      </c>
      <c r="D96" s="3">
        <v>137</v>
      </c>
      <c r="E96" s="3">
        <v>213950</v>
      </c>
      <c r="F96" s="3">
        <v>6.96</v>
      </c>
      <c r="G96" s="3">
        <v>23736</v>
      </c>
      <c r="H96" s="4">
        <f t="shared" si="2"/>
        <v>1335</v>
      </c>
      <c r="I96" s="3">
        <f>CORREL(Table7[Net_Followers],Table7[Ad_Spend])</f>
        <v>-1.6915989818837348E-2</v>
      </c>
    </row>
    <row r="97" spans="1:9" ht="15.75" customHeight="1">
      <c r="A97" s="5">
        <v>45810</v>
      </c>
      <c r="B97" s="3" t="s">
        <v>24</v>
      </c>
      <c r="C97" s="3">
        <v>1419</v>
      </c>
      <c r="D97" s="3">
        <v>293</v>
      </c>
      <c r="E97" s="3">
        <v>116632</v>
      </c>
      <c r="F97" s="3">
        <v>6.93</v>
      </c>
      <c r="G97" s="3">
        <v>11826</v>
      </c>
      <c r="H97" s="4">
        <f t="shared" si="2"/>
        <v>1126</v>
      </c>
      <c r="I97" s="3">
        <f>CORREL(Table7[Net_Followers],Table7[Ad_Spend])</f>
        <v>-1.6915989818837348E-2</v>
      </c>
    </row>
    <row r="98" spans="1:9" ht="15.75" customHeight="1">
      <c r="A98" s="5">
        <v>45754</v>
      </c>
      <c r="B98" s="3" t="s">
        <v>31</v>
      </c>
      <c r="C98" s="3">
        <v>1071</v>
      </c>
      <c r="D98" s="3">
        <v>131</v>
      </c>
      <c r="E98" s="3">
        <v>254727</v>
      </c>
      <c r="F98" s="3">
        <v>6.87</v>
      </c>
      <c r="G98" s="3">
        <v>22191</v>
      </c>
      <c r="H98" s="4">
        <f t="shared" ref="H98:H129" si="3">C98-D98</f>
        <v>940</v>
      </c>
      <c r="I98" s="3">
        <f>CORREL(Table7[Net_Followers],Table7[Ad_Spend])</f>
        <v>-1.6915989818837348E-2</v>
      </c>
    </row>
    <row r="99" spans="1:9" ht="15.75" customHeight="1">
      <c r="A99" s="5">
        <v>45712</v>
      </c>
      <c r="B99" s="3" t="s">
        <v>31</v>
      </c>
      <c r="C99" s="3">
        <v>978</v>
      </c>
      <c r="D99" s="3">
        <v>279</v>
      </c>
      <c r="E99" s="3">
        <v>368872</v>
      </c>
      <c r="F99" s="3">
        <v>6.82</v>
      </c>
      <c r="G99" s="3">
        <v>18654</v>
      </c>
      <c r="H99" s="4">
        <f t="shared" si="3"/>
        <v>699</v>
      </c>
      <c r="I99" s="3">
        <f>CORREL(Table7[Net_Followers],Table7[Ad_Spend])</f>
        <v>-1.6915989818837348E-2</v>
      </c>
    </row>
    <row r="100" spans="1:9" ht="15.75" customHeight="1">
      <c r="A100" s="5">
        <v>45726</v>
      </c>
      <c r="B100" s="3" t="s">
        <v>31</v>
      </c>
      <c r="C100" s="3">
        <v>950</v>
      </c>
      <c r="D100" s="3">
        <v>185</v>
      </c>
      <c r="E100" s="3">
        <v>340750</v>
      </c>
      <c r="F100" s="3">
        <v>6.77</v>
      </c>
      <c r="G100" s="3">
        <v>25542</v>
      </c>
      <c r="H100" s="4">
        <f t="shared" si="3"/>
        <v>765</v>
      </c>
      <c r="I100" s="3">
        <f>CORREL(Table7[Net_Followers],Table7[Ad_Spend])</f>
        <v>-1.6915989818837348E-2</v>
      </c>
    </row>
    <row r="101" spans="1:9" ht="15.75" customHeight="1">
      <c r="A101" s="5">
        <v>45859</v>
      </c>
      <c r="B101" s="3" t="s">
        <v>14</v>
      </c>
      <c r="C101" s="3">
        <v>1197</v>
      </c>
      <c r="D101" s="3">
        <v>246</v>
      </c>
      <c r="E101" s="3">
        <v>127273</v>
      </c>
      <c r="F101" s="3">
        <v>6.69</v>
      </c>
      <c r="G101" s="3">
        <v>12323</v>
      </c>
      <c r="H101" s="4">
        <f t="shared" si="3"/>
        <v>951</v>
      </c>
      <c r="I101" s="3">
        <f>CORREL(Table7[Net_Followers],Table7[Ad_Spend])</f>
        <v>-1.6915989818837348E-2</v>
      </c>
    </row>
    <row r="102" spans="1:9" ht="15.75" customHeight="1">
      <c r="A102" s="5">
        <v>45628</v>
      </c>
      <c r="B102" s="3" t="s">
        <v>14</v>
      </c>
      <c r="C102" s="3">
        <v>895</v>
      </c>
      <c r="D102" s="3">
        <v>87</v>
      </c>
      <c r="E102" s="3">
        <v>171271</v>
      </c>
      <c r="F102" s="3">
        <v>6.68</v>
      </c>
      <c r="G102" s="3">
        <v>23329</v>
      </c>
      <c r="H102" s="4">
        <f t="shared" si="3"/>
        <v>808</v>
      </c>
      <c r="I102" s="3">
        <f>CORREL(Table7[Net_Followers],Table7[Ad_Spend])</f>
        <v>-1.6915989818837348E-2</v>
      </c>
    </row>
    <row r="103" spans="1:9" ht="15.75" customHeight="1">
      <c r="A103" s="5">
        <v>45747</v>
      </c>
      <c r="B103" s="3" t="s">
        <v>31</v>
      </c>
      <c r="C103" s="3">
        <v>1425</v>
      </c>
      <c r="D103" s="3">
        <v>58</v>
      </c>
      <c r="E103" s="3">
        <v>202234</v>
      </c>
      <c r="F103" s="3">
        <v>6.67</v>
      </c>
      <c r="G103" s="3">
        <v>18442</v>
      </c>
      <c r="H103" s="4">
        <f t="shared" si="3"/>
        <v>1367</v>
      </c>
      <c r="I103" s="3">
        <f>CORREL(Table7[Net_Followers],Table7[Ad_Spend])</f>
        <v>-1.6915989818837348E-2</v>
      </c>
    </row>
    <row r="104" spans="1:9" ht="15.75" customHeight="1">
      <c r="A104" s="5">
        <v>45796</v>
      </c>
      <c r="B104" s="3" t="s">
        <v>24</v>
      </c>
      <c r="C104" s="3">
        <v>1430</v>
      </c>
      <c r="D104" s="3">
        <v>74</v>
      </c>
      <c r="E104" s="3">
        <v>327012</v>
      </c>
      <c r="F104" s="3">
        <v>6.66</v>
      </c>
      <c r="G104" s="3">
        <v>27782</v>
      </c>
      <c r="H104" s="4">
        <f t="shared" si="3"/>
        <v>1356</v>
      </c>
      <c r="I104" s="3">
        <f>CORREL(Table7[Net_Followers],Table7[Ad_Spend])</f>
        <v>-1.6915989818837348E-2</v>
      </c>
    </row>
    <row r="105" spans="1:9" ht="15.75" customHeight="1">
      <c r="A105" s="5">
        <v>45614</v>
      </c>
      <c r="B105" s="3" t="s">
        <v>24</v>
      </c>
      <c r="C105" s="3">
        <v>791</v>
      </c>
      <c r="D105" s="3">
        <v>214</v>
      </c>
      <c r="E105" s="3">
        <v>114738</v>
      </c>
      <c r="F105" s="3">
        <v>6.62</v>
      </c>
      <c r="G105" s="3">
        <v>25347</v>
      </c>
      <c r="H105" s="4">
        <f t="shared" si="3"/>
        <v>577</v>
      </c>
      <c r="I105" s="3">
        <f>CORREL(Table7[Net_Followers],Table7[Ad_Spend])</f>
        <v>-1.6915989818837348E-2</v>
      </c>
    </row>
    <row r="106" spans="1:9" ht="15.75" customHeight="1">
      <c r="A106" s="5">
        <v>45789</v>
      </c>
      <c r="B106" s="3" t="s">
        <v>14</v>
      </c>
      <c r="C106" s="3">
        <v>837</v>
      </c>
      <c r="D106" s="3">
        <v>261</v>
      </c>
      <c r="E106" s="3">
        <v>366149</v>
      </c>
      <c r="F106" s="3">
        <v>6.54</v>
      </c>
      <c r="G106" s="3">
        <v>26073</v>
      </c>
      <c r="H106" s="4">
        <f t="shared" si="3"/>
        <v>576</v>
      </c>
      <c r="I106" s="3">
        <f>CORREL(Table7[Net_Followers],Table7[Ad_Spend])</f>
        <v>-1.6915989818837348E-2</v>
      </c>
    </row>
    <row r="107" spans="1:9" ht="15.75" customHeight="1">
      <c r="A107" s="5">
        <v>45894</v>
      </c>
      <c r="B107" s="3" t="s">
        <v>24</v>
      </c>
      <c r="C107" s="3">
        <v>1413</v>
      </c>
      <c r="D107" s="3">
        <v>245</v>
      </c>
      <c r="E107" s="3">
        <v>296450</v>
      </c>
      <c r="F107" s="3">
        <v>6.52</v>
      </c>
      <c r="G107" s="3">
        <v>11625</v>
      </c>
      <c r="H107" s="4">
        <f t="shared" si="3"/>
        <v>1168</v>
      </c>
      <c r="I107" s="3">
        <f>CORREL(Table7[Net_Followers],Table7[Ad_Spend])</f>
        <v>-1.6915989818837348E-2</v>
      </c>
    </row>
    <row r="108" spans="1:9" ht="15.75" customHeight="1">
      <c r="A108" s="5">
        <v>45635</v>
      </c>
      <c r="B108" s="3" t="s">
        <v>24</v>
      </c>
      <c r="C108" s="3">
        <v>599</v>
      </c>
      <c r="D108" s="3">
        <v>194</v>
      </c>
      <c r="E108" s="3">
        <v>105622</v>
      </c>
      <c r="F108" s="3">
        <v>6.44</v>
      </c>
      <c r="G108" s="3">
        <v>15108</v>
      </c>
      <c r="H108" s="4">
        <f t="shared" si="3"/>
        <v>405</v>
      </c>
      <c r="I108" s="3">
        <f>CORREL(Table7[Net_Followers],Table7[Ad_Spend])</f>
        <v>-1.6915989818837348E-2</v>
      </c>
    </row>
    <row r="109" spans="1:9" ht="15.75" customHeight="1">
      <c r="A109" s="5">
        <v>45782</v>
      </c>
      <c r="B109" s="3" t="s">
        <v>14</v>
      </c>
      <c r="C109" s="3">
        <v>1146</v>
      </c>
      <c r="D109" s="3">
        <v>227</v>
      </c>
      <c r="E109" s="3">
        <v>353781</v>
      </c>
      <c r="F109" s="3">
        <v>6.41</v>
      </c>
      <c r="G109" s="3">
        <v>5495</v>
      </c>
      <c r="H109" s="4">
        <f t="shared" si="3"/>
        <v>919</v>
      </c>
      <c r="I109" s="3">
        <f>CORREL(Table7[Net_Followers],Table7[Ad_Spend])</f>
        <v>-1.6915989818837348E-2</v>
      </c>
    </row>
    <row r="110" spans="1:9" ht="15.75" customHeight="1">
      <c r="A110" s="5">
        <v>45726</v>
      </c>
      <c r="B110" s="3" t="s">
        <v>24</v>
      </c>
      <c r="C110" s="3">
        <v>1159</v>
      </c>
      <c r="D110" s="3">
        <v>154</v>
      </c>
      <c r="E110" s="3">
        <v>194994</v>
      </c>
      <c r="F110" s="3">
        <v>6.39</v>
      </c>
      <c r="G110" s="3">
        <v>21900</v>
      </c>
      <c r="H110" s="4">
        <f t="shared" si="3"/>
        <v>1005</v>
      </c>
      <c r="I110" s="3">
        <f>CORREL(Table7[Net_Followers],Table7[Ad_Spend])</f>
        <v>-1.6915989818837348E-2</v>
      </c>
    </row>
    <row r="111" spans="1:9" ht="15.75" customHeight="1">
      <c r="A111" s="5">
        <v>45614</v>
      </c>
      <c r="B111" s="3" t="s">
        <v>31</v>
      </c>
      <c r="C111" s="3">
        <v>793</v>
      </c>
      <c r="D111" s="3">
        <v>111</v>
      </c>
      <c r="E111" s="3">
        <v>333500</v>
      </c>
      <c r="F111" s="3">
        <v>6.36</v>
      </c>
      <c r="G111" s="3">
        <v>8910</v>
      </c>
      <c r="H111" s="4">
        <f t="shared" si="3"/>
        <v>682</v>
      </c>
      <c r="I111" s="3">
        <f>CORREL(Table7[Net_Followers],Table7[Ad_Spend])</f>
        <v>-1.6915989818837348E-2</v>
      </c>
    </row>
    <row r="112" spans="1:9" ht="15.75" customHeight="1">
      <c r="A112" s="5">
        <v>45488</v>
      </c>
      <c r="B112" s="3" t="s">
        <v>14</v>
      </c>
      <c r="C112" s="3">
        <v>616</v>
      </c>
      <c r="D112" s="3">
        <v>257</v>
      </c>
      <c r="E112" s="3">
        <v>169665</v>
      </c>
      <c r="F112" s="3">
        <v>6.31</v>
      </c>
      <c r="G112" s="3">
        <v>12390</v>
      </c>
      <c r="H112" s="4">
        <f t="shared" si="3"/>
        <v>359</v>
      </c>
      <c r="I112" s="3">
        <f>CORREL(Table7[Net_Followers],Table7[Ad_Spend])</f>
        <v>-1.6915989818837348E-2</v>
      </c>
    </row>
    <row r="113" spans="1:9" ht="15.75" customHeight="1">
      <c r="A113" s="5">
        <v>45670</v>
      </c>
      <c r="B113" s="3" t="s">
        <v>31</v>
      </c>
      <c r="C113" s="3">
        <v>685</v>
      </c>
      <c r="D113" s="3">
        <v>165</v>
      </c>
      <c r="E113" s="3">
        <v>175860</v>
      </c>
      <c r="F113" s="3">
        <v>6.26</v>
      </c>
      <c r="G113" s="3">
        <v>6027</v>
      </c>
      <c r="H113" s="4">
        <f t="shared" si="3"/>
        <v>520</v>
      </c>
      <c r="I113" s="3">
        <f>CORREL(Table7[Net_Followers],Table7[Ad_Spend])</f>
        <v>-1.6915989818837348E-2</v>
      </c>
    </row>
    <row r="114" spans="1:9" ht="15.75" customHeight="1">
      <c r="A114" s="5">
        <v>45572</v>
      </c>
      <c r="B114" s="3" t="s">
        <v>14</v>
      </c>
      <c r="C114" s="3">
        <v>764</v>
      </c>
      <c r="D114" s="3">
        <v>205</v>
      </c>
      <c r="E114" s="3">
        <v>319294</v>
      </c>
      <c r="F114" s="3">
        <v>6.23</v>
      </c>
      <c r="G114" s="3">
        <v>12181</v>
      </c>
      <c r="H114" s="4">
        <f t="shared" si="3"/>
        <v>559</v>
      </c>
      <c r="I114" s="3">
        <f>CORREL(Table7[Net_Followers],Table7[Ad_Spend])</f>
        <v>-1.6915989818837348E-2</v>
      </c>
    </row>
    <row r="115" spans="1:9" ht="15.75" customHeight="1">
      <c r="A115" s="5">
        <v>45824</v>
      </c>
      <c r="B115" s="3" t="s">
        <v>14</v>
      </c>
      <c r="C115" s="3">
        <v>765</v>
      </c>
      <c r="D115" s="3">
        <v>67</v>
      </c>
      <c r="E115" s="3">
        <v>283537</v>
      </c>
      <c r="F115" s="3">
        <v>6.18</v>
      </c>
      <c r="G115" s="3">
        <v>8182</v>
      </c>
      <c r="H115" s="4">
        <f t="shared" si="3"/>
        <v>698</v>
      </c>
      <c r="I115" s="3">
        <f>CORREL(Table7[Net_Followers],Table7[Ad_Spend])</f>
        <v>-1.6915989818837348E-2</v>
      </c>
    </row>
    <row r="116" spans="1:9" ht="15.75" customHeight="1">
      <c r="A116" s="5">
        <v>45754</v>
      </c>
      <c r="B116" s="3" t="s">
        <v>14</v>
      </c>
      <c r="C116" s="3">
        <v>1417</v>
      </c>
      <c r="D116" s="3">
        <v>80</v>
      </c>
      <c r="E116" s="3">
        <v>340987</v>
      </c>
      <c r="F116" s="3">
        <v>6.13</v>
      </c>
      <c r="G116" s="3">
        <v>10104</v>
      </c>
      <c r="H116" s="4">
        <f t="shared" si="3"/>
        <v>1337</v>
      </c>
      <c r="I116" s="3">
        <f>CORREL(Table7[Net_Followers],Table7[Ad_Spend])</f>
        <v>-1.6915989818837348E-2</v>
      </c>
    </row>
    <row r="117" spans="1:9" ht="15.75" customHeight="1">
      <c r="A117" s="5">
        <v>45705</v>
      </c>
      <c r="B117" s="3" t="s">
        <v>14</v>
      </c>
      <c r="C117" s="3">
        <v>819</v>
      </c>
      <c r="D117" s="3">
        <v>95</v>
      </c>
      <c r="E117" s="3">
        <v>177376</v>
      </c>
      <c r="F117" s="3">
        <v>6.12</v>
      </c>
      <c r="G117" s="3">
        <v>14975</v>
      </c>
      <c r="H117" s="4">
        <f t="shared" si="3"/>
        <v>724</v>
      </c>
      <c r="I117" s="3">
        <f>CORREL(Table7[Net_Followers],Table7[Ad_Spend])</f>
        <v>-1.6915989818837348E-2</v>
      </c>
    </row>
    <row r="118" spans="1:9" ht="15.75" customHeight="1">
      <c r="A118" s="5">
        <v>45894</v>
      </c>
      <c r="B118" s="3" t="s">
        <v>14</v>
      </c>
      <c r="C118" s="3">
        <v>1183</v>
      </c>
      <c r="D118" s="3">
        <v>223</v>
      </c>
      <c r="E118" s="3">
        <v>143811</v>
      </c>
      <c r="F118" s="3">
        <v>6.07</v>
      </c>
      <c r="G118" s="3">
        <v>22103</v>
      </c>
      <c r="H118" s="4">
        <f t="shared" si="3"/>
        <v>960</v>
      </c>
      <c r="I118" s="3">
        <f>CORREL(Table7[Net_Followers],Table7[Ad_Spend])</f>
        <v>-1.6915989818837348E-2</v>
      </c>
    </row>
    <row r="119" spans="1:9" ht="15.75" customHeight="1">
      <c r="A119" s="5">
        <v>45663</v>
      </c>
      <c r="B119" s="3" t="s">
        <v>14</v>
      </c>
      <c r="C119" s="3">
        <v>613</v>
      </c>
      <c r="D119" s="3">
        <v>170</v>
      </c>
      <c r="E119" s="3">
        <v>139266</v>
      </c>
      <c r="F119" s="3">
        <v>6.06</v>
      </c>
      <c r="G119" s="3">
        <v>9247</v>
      </c>
      <c r="H119" s="4">
        <f t="shared" si="3"/>
        <v>443</v>
      </c>
      <c r="I119" s="3">
        <f>CORREL(Table7[Net_Followers],Table7[Ad_Spend])</f>
        <v>-1.6915989818837348E-2</v>
      </c>
    </row>
    <row r="120" spans="1:9" ht="15.75" customHeight="1">
      <c r="A120" s="5">
        <v>45523</v>
      </c>
      <c r="B120" s="3" t="s">
        <v>31</v>
      </c>
      <c r="C120" s="3">
        <v>1240</v>
      </c>
      <c r="D120" s="3">
        <v>231</v>
      </c>
      <c r="E120" s="3">
        <v>165035</v>
      </c>
      <c r="F120" s="3">
        <v>6.05</v>
      </c>
      <c r="G120" s="3">
        <v>18267</v>
      </c>
      <c r="H120" s="4">
        <f t="shared" si="3"/>
        <v>1009</v>
      </c>
      <c r="I120" s="3">
        <f>CORREL(Table7[Net_Followers],Table7[Ad_Spend])</f>
        <v>-1.6915989818837348E-2</v>
      </c>
    </row>
    <row r="121" spans="1:9" ht="15.75" customHeight="1">
      <c r="A121" s="5">
        <v>45537</v>
      </c>
      <c r="B121" s="3" t="s">
        <v>14</v>
      </c>
      <c r="C121" s="3">
        <v>721</v>
      </c>
      <c r="D121" s="3">
        <v>206</v>
      </c>
      <c r="E121" s="3">
        <v>334887</v>
      </c>
      <c r="F121" s="3">
        <v>6.05</v>
      </c>
      <c r="G121" s="3">
        <v>14217</v>
      </c>
      <c r="H121" s="4">
        <f t="shared" si="3"/>
        <v>515</v>
      </c>
      <c r="I121" s="3">
        <f>CORREL(Table7[Net_Followers],Table7[Ad_Spend])</f>
        <v>-1.6915989818837348E-2</v>
      </c>
    </row>
    <row r="122" spans="1:9" ht="15.75" customHeight="1">
      <c r="A122" s="5">
        <v>45782</v>
      </c>
      <c r="B122" s="3" t="s">
        <v>24</v>
      </c>
      <c r="C122" s="3">
        <v>883</v>
      </c>
      <c r="D122" s="3">
        <v>207</v>
      </c>
      <c r="E122" s="3">
        <v>265019</v>
      </c>
      <c r="F122" s="3">
        <v>6.04</v>
      </c>
      <c r="G122" s="3">
        <v>15655</v>
      </c>
      <c r="H122" s="4">
        <f t="shared" si="3"/>
        <v>676</v>
      </c>
      <c r="I122" s="3">
        <f>CORREL(Table7[Net_Followers],Table7[Ad_Spend])</f>
        <v>-1.6915989818837348E-2</v>
      </c>
    </row>
    <row r="123" spans="1:9" ht="15.75" customHeight="1">
      <c r="A123" s="5">
        <v>45677</v>
      </c>
      <c r="B123" s="3" t="s">
        <v>31</v>
      </c>
      <c r="C123" s="3">
        <v>1105</v>
      </c>
      <c r="D123" s="3">
        <v>261</v>
      </c>
      <c r="E123" s="3">
        <v>333851</v>
      </c>
      <c r="F123" s="3">
        <v>6.03</v>
      </c>
      <c r="G123" s="3">
        <v>11181</v>
      </c>
      <c r="H123" s="4">
        <f t="shared" si="3"/>
        <v>844</v>
      </c>
      <c r="I123" s="3">
        <f>CORREL(Table7[Net_Followers],Table7[Ad_Spend])</f>
        <v>-1.6915989818837348E-2</v>
      </c>
    </row>
    <row r="124" spans="1:9" ht="15.75" customHeight="1">
      <c r="A124" s="5">
        <v>45544</v>
      </c>
      <c r="B124" s="3" t="s">
        <v>14</v>
      </c>
      <c r="C124" s="3">
        <v>912</v>
      </c>
      <c r="D124" s="3">
        <v>275</v>
      </c>
      <c r="E124" s="3">
        <v>368454</v>
      </c>
      <c r="F124" s="3">
        <v>6.03</v>
      </c>
      <c r="G124" s="3">
        <v>9195</v>
      </c>
      <c r="H124" s="4">
        <f t="shared" si="3"/>
        <v>637</v>
      </c>
      <c r="I124" s="3">
        <f>CORREL(Table7[Net_Followers],Table7[Ad_Spend])</f>
        <v>-1.6915989818837348E-2</v>
      </c>
    </row>
    <row r="125" spans="1:9" ht="15.75" customHeight="1">
      <c r="A125" s="5">
        <v>45649</v>
      </c>
      <c r="B125" s="3" t="s">
        <v>24</v>
      </c>
      <c r="C125" s="3">
        <v>1360</v>
      </c>
      <c r="D125" s="3">
        <v>227</v>
      </c>
      <c r="E125" s="3">
        <v>176902</v>
      </c>
      <c r="F125" s="3">
        <v>6.03</v>
      </c>
      <c r="G125" s="3">
        <v>5960</v>
      </c>
      <c r="H125" s="4">
        <f t="shared" si="3"/>
        <v>1133</v>
      </c>
      <c r="I125" s="3">
        <f>CORREL(Table7[Net_Followers],Table7[Ad_Spend])</f>
        <v>-1.6915989818837348E-2</v>
      </c>
    </row>
    <row r="126" spans="1:9" ht="15.75" customHeight="1">
      <c r="A126" s="5">
        <v>45824</v>
      </c>
      <c r="B126" s="3" t="s">
        <v>31</v>
      </c>
      <c r="C126" s="3">
        <v>1145</v>
      </c>
      <c r="D126" s="3">
        <v>151</v>
      </c>
      <c r="E126" s="3">
        <v>182759</v>
      </c>
      <c r="F126" s="3">
        <v>5.99</v>
      </c>
      <c r="G126" s="3">
        <v>20109</v>
      </c>
      <c r="H126" s="4">
        <f t="shared" si="3"/>
        <v>994</v>
      </c>
      <c r="I126" s="3">
        <f>CORREL(Table7[Net_Followers],Table7[Ad_Spend])</f>
        <v>-1.6915989818837348E-2</v>
      </c>
    </row>
    <row r="127" spans="1:9" ht="15.75" customHeight="1">
      <c r="A127" s="5">
        <v>45516</v>
      </c>
      <c r="B127" s="3" t="s">
        <v>14</v>
      </c>
      <c r="C127" s="3">
        <v>1060</v>
      </c>
      <c r="D127" s="3">
        <v>83</v>
      </c>
      <c r="E127" s="3">
        <v>68724</v>
      </c>
      <c r="F127" s="3">
        <v>5.98</v>
      </c>
      <c r="G127" s="3">
        <v>5624</v>
      </c>
      <c r="H127" s="4">
        <f t="shared" si="3"/>
        <v>977</v>
      </c>
      <c r="I127" s="3">
        <f>CORREL(Table7[Net_Followers],Table7[Ad_Spend])</f>
        <v>-1.6915989818837348E-2</v>
      </c>
    </row>
    <row r="128" spans="1:9" ht="15.75" customHeight="1">
      <c r="A128" s="5">
        <v>45838</v>
      </c>
      <c r="B128" s="3" t="s">
        <v>31</v>
      </c>
      <c r="C128" s="3">
        <v>693</v>
      </c>
      <c r="D128" s="3">
        <v>97</v>
      </c>
      <c r="E128" s="3">
        <v>92025</v>
      </c>
      <c r="F128" s="3">
        <v>5.95</v>
      </c>
      <c r="G128" s="3">
        <v>15915</v>
      </c>
      <c r="H128" s="4">
        <f t="shared" si="3"/>
        <v>596</v>
      </c>
      <c r="I128" s="3">
        <f>CORREL(Table7[Net_Followers],Table7[Ad_Spend])</f>
        <v>-1.6915989818837348E-2</v>
      </c>
    </row>
    <row r="129" spans="1:9" ht="15.75" customHeight="1">
      <c r="A129" s="5">
        <v>45530</v>
      </c>
      <c r="B129" s="3" t="s">
        <v>24</v>
      </c>
      <c r="C129" s="3">
        <v>537</v>
      </c>
      <c r="D129" s="3">
        <v>275</v>
      </c>
      <c r="E129" s="3">
        <v>236238</v>
      </c>
      <c r="F129" s="3">
        <v>5.87</v>
      </c>
      <c r="G129" s="3">
        <v>26644</v>
      </c>
      <c r="H129" s="4">
        <f t="shared" si="3"/>
        <v>262</v>
      </c>
      <c r="I129" s="3">
        <f>CORREL(Table7[Net_Followers],Table7[Ad_Spend])</f>
        <v>-1.6915989818837348E-2</v>
      </c>
    </row>
    <row r="130" spans="1:9" ht="15.75" customHeight="1">
      <c r="A130" s="5">
        <v>45523</v>
      </c>
      <c r="B130" s="3" t="s">
        <v>14</v>
      </c>
      <c r="C130" s="3">
        <v>1002</v>
      </c>
      <c r="D130" s="3">
        <v>93</v>
      </c>
      <c r="E130" s="3">
        <v>353538</v>
      </c>
      <c r="F130" s="3">
        <v>5.84</v>
      </c>
      <c r="G130" s="3">
        <v>6031</v>
      </c>
      <c r="H130" s="4">
        <f t="shared" ref="H130:H161" si="4">C130-D130</f>
        <v>909</v>
      </c>
      <c r="I130" s="3">
        <f>CORREL(Table7[Net_Followers],Table7[Ad_Spend])</f>
        <v>-1.6915989818837348E-2</v>
      </c>
    </row>
    <row r="131" spans="1:9" ht="15.75" customHeight="1">
      <c r="A131" s="5">
        <v>45502</v>
      </c>
      <c r="B131" s="3" t="s">
        <v>24</v>
      </c>
      <c r="C131" s="3">
        <v>611</v>
      </c>
      <c r="D131" s="3">
        <v>197</v>
      </c>
      <c r="E131" s="3">
        <v>79423</v>
      </c>
      <c r="F131" s="3">
        <v>5.82</v>
      </c>
      <c r="G131" s="3">
        <v>13644</v>
      </c>
      <c r="H131" s="4">
        <f t="shared" si="4"/>
        <v>414</v>
      </c>
      <c r="I131" s="3">
        <f>CORREL(Table7[Net_Followers],Table7[Ad_Spend])</f>
        <v>-1.6915989818837348E-2</v>
      </c>
    </row>
    <row r="132" spans="1:9" ht="15.75" customHeight="1">
      <c r="A132" s="5">
        <v>45495</v>
      </c>
      <c r="B132" s="3" t="s">
        <v>24</v>
      </c>
      <c r="C132" s="3">
        <v>547</v>
      </c>
      <c r="D132" s="3">
        <v>183</v>
      </c>
      <c r="E132" s="3">
        <v>266350</v>
      </c>
      <c r="F132" s="3">
        <v>5.65</v>
      </c>
      <c r="G132" s="3">
        <v>15595</v>
      </c>
      <c r="H132" s="4">
        <f t="shared" si="4"/>
        <v>364</v>
      </c>
      <c r="I132" s="3">
        <f>CORREL(Table7[Net_Followers],Table7[Ad_Spend])</f>
        <v>-1.6915989818837348E-2</v>
      </c>
    </row>
    <row r="133" spans="1:9" ht="15.75" customHeight="1">
      <c r="A133" s="5">
        <v>45831</v>
      </c>
      <c r="B133" s="3" t="s">
        <v>31</v>
      </c>
      <c r="C133" s="3">
        <v>761</v>
      </c>
      <c r="D133" s="3">
        <v>241</v>
      </c>
      <c r="E133" s="3">
        <v>154977</v>
      </c>
      <c r="F133" s="3">
        <v>5.63</v>
      </c>
      <c r="G133" s="3">
        <v>10563</v>
      </c>
      <c r="H133" s="4">
        <f t="shared" si="4"/>
        <v>520</v>
      </c>
      <c r="I133" s="3">
        <f>CORREL(Table7[Net_Followers],Table7[Ad_Spend])</f>
        <v>-1.6915989818837348E-2</v>
      </c>
    </row>
    <row r="134" spans="1:9" ht="15.75" customHeight="1">
      <c r="A134" s="5">
        <v>45558</v>
      </c>
      <c r="B134" s="3" t="s">
        <v>24</v>
      </c>
      <c r="C134" s="3">
        <v>1437</v>
      </c>
      <c r="D134" s="3">
        <v>239</v>
      </c>
      <c r="E134" s="3">
        <v>362441</v>
      </c>
      <c r="F134" s="3">
        <v>5.57</v>
      </c>
      <c r="G134" s="3">
        <v>10253</v>
      </c>
      <c r="H134" s="4">
        <f t="shared" si="4"/>
        <v>1198</v>
      </c>
      <c r="I134" s="3">
        <f>CORREL(Table7[Net_Followers],Table7[Ad_Spend])</f>
        <v>-1.6915989818837348E-2</v>
      </c>
    </row>
    <row r="135" spans="1:9" ht="15.75" customHeight="1">
      <c r="A135" s="5">
        <v>45628</v>
      </c>
      <c r="B135" s="3" t="s">
        <v>24</v>
      </c>
      <c r="C135" s="3">
        <v>1027</v>
      </c>
      <c r="D135" s="3">
        <v>156</v>
      </c>
      <c r="E135" s="3">
        <v>111293</v>
      </c>
      <c r="F135" s="3">
        <v>5.51</v>
      </c>
      <c r="G135" s="3">
        <v>7299</v>
      </c>
      <c r="H135" s="4">
        <f t="shared" si="4"/>
        <v>871</v>
      </c>
      <c r="I135" s="3">
        <f>CORREL(Table7[Net_Followers],Table7[Ad_Spend])</f>
        <v>-1.6915989818837348E-2</v>
      </c>
    </row>
    <row r="136" spans="1:9" ht="15.75" customHeight="1">
      <c r="A136" s="5">
        <v>45474</v>
      </c>
      <c r="B136" s="3" t="s">
        <v>14</v>
      </c>
      <c r="C136" s="3">
        <v>786</v>
      </c>
      <c r="D136" s="3">
        <v>72</v>
      </c>
      <c r="E136" s="3">
        <v>178615</v>
      </c>
      <c r="F136" s="3">
        <v>5.43</v>
      </c>
      <c r="G136" s="3">
        <v>19328</v>
      </c>
      <c r="H136" s="4">
        <f t="shared" si="4"/>
        <v>714</v>
      </c>
      <c r="I136" s="3">
        <f>CORREL(Table7[Net_Followers],Table7[Ad_Spend])</f>
        <v>-1.6915989818837348E-2</v>
      </c>
    </row>
    <row r="137" spans="1:9" ht="15.75" customHeight="1">
      <c r="A137" s="5">
        <v>45593</v>
      </c>
      <c r="B137" s="3" t="s">
        <v>24</v>
      </c>
      <c r="C137" s="3">
        <v>746</v>
      </c>
      <c r="D137" s="3">
        <v>282</v>
      </c>
      <c r="E137" s="3">
        <v>293894</v>
      </c>
      <c r="F137" s="3">
        <v>5.42</v>
      </c>
      <c r="G137" s="3">
        <v>25537</v>
      </c>
      <c r="H137" s="4">
        <f t="shared" si="4"/>
        <v>464</v>
      </c>
      <c r="I137" s="3">
        <f>CORREL(Table7[Net_Followers],Table7[Ad_Spend])</f>
        <v>-1.6915989818837348E-2</v>
      </c>
    </row>
    <row r="138" spans="1:9" ht="15.75" customHeight="1">
      <c r="A138" s="5">
        <v>45523</v>
      </c>
      <c r="B138" s="3" t="s">
        <v>24</v>
      </c>
      <c r="C138" s="3">
        <v>571</v>
      </c>
      <c r="D138" s="3">
        <v>189</v>
      </c>
      <c r="E138" s="3">
        <v>61445</v>
      </c>
      <c r="F138" s="3">
        <v>5.41</v>
      </c>
      <c r="G138" s="3">
        <v>27829</v>
      </c>
      <c r="H138" s="4">
        <f t="shared" si="4"/>
        <v>382</v>
      </c>
      <c r="I138" s="3">
        <f>CORREL(Table7[Net_Followers],Table7[Ad_Spend])</f>
        <v>-1.6915989818837348E-2</v>
      </c>
    </row>
    <row r="139" spans="1:9" ht="15.75" customHeight="1">
      <c r="A139" s="5">
        <v>45880</v>
      </c>
      <c r="B139" s="3" t="s">
        <v>14</v>
      </c>
      <c r="C139" s="3">
        <v>1080</v>
      </c>
      <c r="D139" s="3">
        <v>184</v>
      </c>
      <c r="E139" s="3">
        <v>340557</v>
      </c>
      <c r="F139" s="3">
        <v>5.41</v>
      </c>
      <c r="G139" s="3">
        <v>5526</v>
      </c>
      <c r="H139" s="4">
        <f t="shared" si="4"/>
        <v>896</v>
      </c>
      <c r="I139" s="3">
        <f>CORREL(Table7[Net_Followers],Table7[Ad_Spend])</f>
        <v>-1.6915989818837348E-2</v>
      </c>
    </row>
    <row r="140" spans="1:9" ht="15.75" customHeight="1">
      <c r="A140" s="5">
        <v>45901</v>
      </c>
      <c r="B140" s="3" t="s">
        <v>14</v>
      </c>
      <c r="C140" s="3">
        <v>1052</v>
      </c>
      <c r="D140" s="3">
        <v>180</v>
      </c>
      <c r="E140" s="3">
        <v>272534</v>
      </c>
      <c r="F140" s="3">
        <v>5.34</v>
      </c>
      <c r="G140" s="3">
        <v>13424</v>
      </c>
      <c r="H140" s="4">
        <f t="shared" si="4"/>
        <v>872</v>
      </c>
      <c r="I140" s="3">
        <f>CORREL(Table7[Net_Followers],Table7[Ad_Spend])</f>
        <v>-1.6915989818837348E-2</v>
      </c>
    </row>
    <row r="141" spans="1:9" ht="15.75" customHeight="1">
      <c r="A141" s="5">
        <v>45649</v>
      </c>
      <c r="B141" s="3" t="s">
        <v>14</v>
      </c>
      <c r="C141" s="3">
        <v>661</v>
      </c>
      <c r="D141" s="3">
        <v>94</v>
      </c>
      <c r="E141" s="3">
        <v>116538</v>
      </c>
      <c r="F141" s="3">
        <v>5.31</v>
      </c>
      <c r="G141" s="3">
        <v>23486</v>
      </c>
      <c r="H141" s="4">
        <f t="shared" si="4"/>
        <v>567</v>
      </c>
      <c r="I141" s="3">
        <f>CORREL(Table7[Net_Followers],Table7[Ad_Spend])</f>
        <v>-1.6915989818837348E-2</v>
      </c>
    </row>
    <row r="142" spans="1:9" ht="15.75" customHeight="1">
      <c r="A142" s="5">
        <v>45824</v>
      </c>
      <c r="B142" s="3" t="s">
        <v>24</v>
      </c>
      <c r="C142" s="3">
        <v>540</v>
      </c>
      <c r="D142" s="3">
        <v>215</v>
      </c>
      <c r="E142" s="3">
        <v>62837</v>
      </c>
      <c r="F142" s="3">
        <v>5.3</v>
      </c>
      <c r="G142" s="3">
        <v>10615</v>
      </c>
      <c r="H142" s="4">
        <f t="shared" si="4"/>
        <v>325</v>
      </c>
      <c r="I142" s="3">
        <f>CORREL(Table7[Net_Followers],Table7[Ad_Spend])</f>
        <v>-1.6915989818837348E-2</v>
      </c>
    </row>
    <row r="143" spans="1:9" ht="15.75" customHeight="1">
      <c r="A143" s="5">
        <v>45509</v>
      </c>
      <c r="B143" s="3" t="s">
        <v>31</v>
      </c>
      <c r="C143" s="3">
        <v>937</v>
      </c>
      <c r="D143" s="3">
        <v>179</v>
      </c>
      <c r="E143" s="3">
        <v>318098</v>
      </c>
      <c r="F143" s="3">
        <v>5.3</v>
      </c>
      <c r="G143" s="3">
        <v>5836</v>
      </c>
      <c r="H143" s="4">
        <f t="shared" si="4"/>
        <v>758</v>
      </c>
      <c r="I143" s="3">
        <f>CORREL(Table7[Net_Followers],Table7[Ad_Spend])</f>
        <v>-1.6915989818837348E-2</v>
      </c>
    </row>
    <row r="144" spans="1:9" ht="15.75" customHeight="1">
      <c r="A144" s="5">
        <v>45460</v>
      </c>
      <c r="B144" s="3" t="s">
        <v>14</v>
      </c>
      <c r="C144" s="3">
        <v>881</v>
      </c>
      <c r="D144" s="3">
        <v>291</v>
      </c>
      <c r="E144" s="3">
        <v>95885</v>
      </c>
      <c r="F144" s="3">
        <v>5.29</v>
      </c>
      <c r="G144" s="3">
        <v>12391</v>
      </c>
      <c r="H144" s="4">
        <f t="shared" si="4"/>
        <v>590</v>
      </c>
      <c r="I144" s="3">
        <f>CORREL(Table7[Net_Followers],Table7[Ad_Spend])</f>
        <v>-1.6915989818837348E-2</v>
      </c>
    </row>
    <row r="145" spans="1:9" ht="15.75" customHeight="1">
      <c r="A145" s="5">
        <v>45838</v>
      </c>
      <c r="B145" s="3" t="s">
        <v>24</v>
      </c>
      <c r="C145" s="3">
        <v>1349</v>
      </c>
      <c r="D145" s="3">
        <v>115</v>
      </c>
      <c r="E145" s="3">
        <v>102102</v>
      </c>
      <c r="F145" s="3">
        <v>5.28</v>
      </c>
      <c r="G145" s="3">
        <v>14479</v>
      </c>
      <c r="H145" s="4">
        <f t="shared" si="4"/>
        <v>1234</v>
      </c>
      <c r="I145" s="3">
        <f>CORREL(Table7[Net_Followers],Table7[Ad_Spend])</f>
        <v>-1.6915989818837348E-2</v>
      </c>
    </row>
    <row r="146" spans="1:9" ht="15.75" customHeight="1">
      <c r="A146" s="5">
        <v>45796</v>
      </c>
      <c r="B146" s="3" t="s">
        <v>31</v>
      </c>
      <c r="C146" s="3">
        <v>1358</v>
      </c>
      <c r="D146" s="3">
        <v>77</v>
      </c>
      <c r="E146" s="3">
        <v>169688</v>
      </c>
      <c r="F146" s="3">
        <v>5.25</v>
      </c>
      <c r="G146" s="3">
        <v>7859</v>
      </c>
      <c r="H146" s="4">
        <f t="shared" si="4"/>
        <v>1281</v>
      </c>
      <c r="I146" s="3">
        <f>CORREL(Table7[Net_Followers],Table7[Ad_Spend])</f>
        <v>-1.6915989818837348E-2</v>
      </c>
    </row>
    <row r="147" spans="1:9" ht="15.75" customHeight="1">
      <c r="A147" s="5">
        <v>45817</v>
      </c>
      <c r="B147" s="3" t="s">
        <v>14</v>
      </c>
      <c r="C147" s="3">
        <v>917</v>
      </c>
      <c r="D147" s="3">
        <v>187</v>
      </c>
      <c r="E147" s="3">
        <v>64444</v>
      </c>
      <c r="F147" s="3">
        <v>5.22</v>
      </c>
      <c r="G147" s="3">
        <v>13013</v>
      </c>
      <c r="H147" s="4">
        <f t="shared" si="4"/>
        <v>730</v>
      </c>
      <c r="I147" s="3">
        <f>CORREL(Table7[Net_Followers],Table7[Ad_Spend])</f>
        <v>-1.6915989818837348E-2</v>
      </c>
    </row>
    <row r="148" spans="1:9" ht="15.75" customHeight="1">
      <c r="A148" s="5">
        <v>45817</v>
      </c>
      <c r="B148" s="3" t="s">
        <v>31</v>
      </c>
      <c r="C148" s="3">
        <v>1183</v>
      </c>
      <c r="D148" s="3">
        <v>248</v>
      </c>
      <c r="E148" s="3">
        <v>226881</v>
      </c>
      <c r="F148" s="3">
        <v>5.17</v>
      </c>
      <c r="G148" s="3">
        <v>14534</v>
      </c>
      <c r="H148" s="4">
        <f t="shared" si="4"/>
        <v>935</v>
      </c>
      <c r="I148" s="3">
        <f>CORREL(Table7[Net_Followers],Table7[Ad_Spend])</f>
        <v>-1.6915989818837348E-2</v>
      </c>
    </row>
    <row r="149" spans="1:9" ht="15.75" customHeight="1">
      <c r="A149" s="5">
        <v>45817</v>
      </c>
      <c r="B149" s="3" t="s">
        <v>24</v>
      </c>
      <c r="C149" s="3">
        <v>810</v>
      </c>
      <c r="D149" s="3">
        <v>232</v>
      </c>
      <c r="E149" s="3">
        <v>362559</v>
      </c>
      <c r="F149" s="3">
        <v>5.17</v>
      </c>
      <c r="G149" s="3">
        <v>12937</v>
      </c>
      <c r="H149" s="4">
        <f t="shared" si="4"/>
        <v>578</v>
      </c>
      <c r="I149" s="3">
        <f>CORREL(Table7[Net_Followers],Table7[Ad_Spend])</f>
        <v>-1.6915989818837348E-2</v>
      </c>
    </row>
    <row r="150" spans="1:9" ht="15.75" customHeight="1">
      <c r="A150" s="5">
        <v>45768</v>
      </c>
      <c r="B150" s="3" t="s">
        <v>31</v>
      </c>
      <c r="C150" s="3">
        <v>1113</v>
      </c>
      <c r="D150" s="3">
        <v>224</v>
      </c>
      <c r="E150" s="3">
        <v>272989</v>
      </c>
      <c r="F150" s="3">
        <v>5.13</v>
      </c>
      <c r="G150" s="3">
        <v>24827</v>
      </c>
      <c r="H150" s="4">
        <f t="shared" si="4"/>
        <v>889</v>
      </c>
      <c r="I150" s="3">
        <f>CORREL(Table7[Net_Followers],Table7[Ad_Spend])</f>
        <v>-1.6915989818837348E-2</v>
      </c>
    </row>
    <row r="151" spans="1:9" ht="15.75" customHeight="1">
      <c r="A151" s="5">
        <v>45908</v>
      </c>
      <c r="B151" s="3" t="s">
        <v>24</v>
      </c>
      <c r="C151" s="3">
        <v>860</v>
      </c>
      <c r="D151" s="3">
        <v>244</v>
      </c>
      <c r="E151" s="3">
        <v>348686</v>
      </c>
      <c r="F151" s="3">
        <v>5.12</v>
      </c>
      <c r="G151" s="3">
        <v>11418</v>
      </c>
      <c r="H151" s="4">
        <f t="shared" si="4"/>
        <v>616</v>
      </c>
      <c r="I151" s="3">
        <f>CORREL(Table7[Net_Followers],Table7[Ad_Spend])</f>
        <v>-1.6915989818837348E-2</v>
      </c>
    </row>
    <row r="152" spans="1:9" ht="15.75" customHeight="1">
      <c r="A152" s="5">
        <v>45740</v>
      </c>
      <c r="B152" s="3" t="s">
        <v>31</v>
      </c>
      <c r="C152" s="3">
        <v>1398</v>
      </c>
      <c r="D152" s="3">
        <v>97</v>
      </c>
      <c r="E152" s="3">
        <v>397607</v>
      </c>
      <c r="F152" s="3">
        <v>5.09</v>
      </c>
      <c r="G152" s="3">
        <v>7975</v>
      </c>
      <c r="H152" s="4">
        <f t="shared" si="4"/>
        <v>1301</v>
      </c>
      <c r="I152" s="3">
        <f>CORREL(Table7[Net_Followers],Table7[Ad_Spend])</f>
        <v>-1.6915989818837348E-2</v>
      </c>
    </row>
    <row r="153" spans="1:9" ht="15.75" customHeight="1">
      <c r="A153" s="5">
        <v>45803</v>
      </c>
      <c r="B153" s="3" t="s">
        <v>14</v>
      </c>
      <c r="C153" s="3">
        <v>1242</v>
      </c>
      <c r="D153" s="3">
        <v>201</v>
      </c>
      <c r="E153" s="3">
        <v>271935</v>
      </c>
      <c r="F153" s="3">
        <v>5.07</v>
      </c>
      <c r="G153" s="3">
        <v>15773</v>
      </c>
      <c r="H153" s="4">
        <f t="shared" si="4"/>
        <v>1041</v>
      </c>
      <c r="I153" s="3">
        <f>CORREL(Table7[Net_Followers],Table7[Ad_Spend])</f>
        <v>-1.6915989818837348E-2</v>
      </c>
    </row>
    <row r="154" spans="1:9" ht="15.75" customHeight="1">
      <c r="A154" s="5">
        <v>45635</v>
      </c>
      <c r="B154" s="3" t="s">
        <v>31</v>
      </c>
      <c r="C154" s="3">
        <v>630</v>
      </c>
      <c r="D154" s="3">
        <v>248</v>
      </c>
      <c r="E154" s="3">
        <v>119054</v>
      </c>
      <c r="F154" s="3">
        <v>5.0199999999999996</v>
      </c>
      <c r="G154" s="3">
        <v>18867</v>
      </c>
      <c r="H154" s="4">
        <f t="shared" si="4"/>
        <v>382</v>
      </c>
      <c r="I154" s="3">
        <f>CORREL(Table7[Net_Followers],Table7[Ad_Spend])</f>
        <v>-1.6915989818837348E-2</v>
      </c>
    </row>
    <row r="155" spans="1:9" ht="15.75" customHeight="1">
      <c r="A155" s="5">
        <v>45859</v>
      </c>
      <c r="B155" s="3" t="s">
        <v>31</v>
      </c>
      <c r="C155" s="3">
        <v>1246</v>
      </c>
      <c r="D155" s="3">
        <v>107</v>
      </c>
      <c r="E155" s="3">
        <v>350949</v>
      </c>
      <c r="F155" s="3">
        <v>4.9800000000000004</v>
      </c>
      <c r="G155" s="3">
        <v>27809</v>
      </c>
      <c r="H155" s="4">
        <f t="shared" si="4"/>
        <v>1139</v>
      </c>
      <c r="I155" s="3">
        <f>CORREL(Table7[Net_Followers],Table7[Ad_Spend])</f>
        <v>-1.6915989818837348E-2</v>
      </c>
    </row>
    <row r="156" spans="1:9" ht="15.75" customHeight="1">
      <c r="A156" s="5">
        <v>45866</v>
      </c>
      <c r="B156" s="3" t="s">
        <v>14</v>
      </c>
      <c r="C156" s="3">
        <v>780</v>
      </c>
      <c r="D156" s="3">
        <v>213</v>
      </c>
      <c r="E156" s="3">
        <v>121431</v>
      </c>
      <c r="F156" s="3">
        <v>4.97</v>
      </c>
      <c r="G156" s="3">
        <v>21464</v>
      </c>
      <c r="H156" s="4">
        <f t="shared" si="4"/>
        <v>567</v>
      </c>
      <c r="I156" s="3">
        <f>CORREL(Table7[Net_Followers],Table7[Ad_Spend])</f>
        <v>-1.6915989818837348E-2</v>
      </c>
    </row>
    <row r="157" spans="1:9" ht="15.75" customHeight="1">
      <c r="A157" s="5">
        <v>45873</v>
      </c>
      <c r="B157" s="3" t="s">
        <v>14</v>
      </c>
      <c r="C157" s="3">
        <v>949</v>
      </c>
      <c r="D157" s="3">
        <v>282</v>
      </c>
      <c r="E157" s="3">
        <v>87126</v>
      </c>
      <c r="F157" s="3">
        <v>4.96</v>
      </c>
      <c r="G157" s="3">
        <v>5413</v>
      </c>
      <c r="H157" s="4">
        <f t="shared" si="4"/>
        <v>667</v>
      </c>
      <c r="I157" s="3">
        <f>CORREL(Table7[Net_Followers],Table7[Ad_Spend])</f>
        <v>-1.6915989818837348E-2</v>
      </c>
    </row>
    <row r="158" spans="1:9" ht="15.75" customHeight="1">
      <c r="A158" s="5">
        <v>45691</v>
      </c>
      <c r="B158" s="3" t="s">
        <v>31</v>
      </c>
      <c r="C158" s="3">
        <v>534</v>
      </c>
      <c r="D158" s="3">
        <v>112</v>
      </c>
      <c r="E158" s="3">
        <v>360759</v>
      </c>
      <c r="F158" s="3">
        <v>4.8899999999999997</v>
      </c>
      <c r="G158" s="3">
        <v>25478</v>
      </c>
      <c r="H158" s="4">
        <f t="shared" si="4"/>
        <v>422</v>
      </c>
      <c r="I158" s="3">
        <f>CORREL(Table7[Net_Followers],Table7[Ad_Spend])</f>
        <v>-1.6915989818837348E-2</v>
      </c>
    </row>
    <row r="159" spans="1:9" ht="15.75" customHeight="1">
      <c r="A159" s="5">
        <v>45810</v>
      </c>
      <c r="B159" s="3" t="s">
        <v>14</v>
      </c>
      <c r="C159" s="3">
        <v>618</v>
      </c>
      <c r="D159" s="3">
        <v>264</v>
      </c>
      <c r="E159" s="3">
        <v>285164</v>
      </c>
      <c r="F159" s="3">
        <v>4.8600000000000003</v>
      </c>
      <c r="G159" s="3">
        <v>15128</v>
      </c>
      <c r="H159" s="4">
        <f t="shared" si="4"/>
        <v>354</v>
      </c>
      <c r="I159" s="3">
        <f>CORREL(Table7[Net_Followers],Table7[Ad_Spend])</f>
        <v>-1.6915989818837348E-2</v>
      </c>
    </row>
    <row r="160" spans="1:9" ht="15.75" customHeight="1">
      <c r="A160" s="5">
        <v>45656</v>
      </c>
      <c r="B160" s="3" t="s">
        <v>24</v>
      </c>
      <c r="C160" s="3">
        <v>1490</v>
      </c>
      <c r="D160" s="3">
        <v>103</v>
      </c>
      <c r="E160" s="3">
        <v>373274</v>
      </c>
      <c r="F160" s="3">
        <v>4.8</v>
      </c>
      <c r="G160" s="3">
        <v>19949</v>
      </c>
      <c r="H160" s="4">
        <f t="shared" si="4"/>
        <v>1387</v>
      </c>
      <c r="I160" s="3">
        <f>CORREL(Table7[Net_Followers],Table7[Ad_Spend])</f>
        <v>-1.6915989818837348E-2</v>
      </c>
    </row>
    <row r="161" spans="1:9" ht="15.75" customHeight="1">
      <c r="A161" s="5">
        <v>45656</v>
      </c>
      <c r="B161" s="3" t="s">
        <v>14</v>
      </c>
      <c r="C161" s="3">
        <v>664</v>
      </c>
      <c r="D161" s="3">
        <v>251</v>
      </c>
      <c r="E161" s="3">
        <v>240598</v>
      </c>
      <c r="F161" s="3">
        <v>4.79</v>
      </c>
      <c r="G161" s="3">
        <v>10563</v>
      </c>
      <c r="H161" s="4">
        <f t="shared" si="4"/>
        <v>413</v>
      </c>
      <c r="I161" s="3">
        <f>CORREL(Table7[Net_Followers],Table7[Ad_Spend])</f>
        <v>-1.6915989818837348E-2</v>
      </c>
    </row>
    <row r="162" spans="1:9" ht="15.75" customHeight="1">
      <c r="A162" s="5">
        <v>45838</v>
      </c>
      <c r="B162" s="3" t="s">
        <v>14</v>
      </c>
      <c r="C162" s="3">
        <v>593</v>
      </c>
      <c r="D162" s="3">
        <v>108</v>
      </c>
      <c r="E162" s="3">
        <v>216500</v>
      </c>
      <c r="F162" s="3">
        <v>4.71</v>
      </c>
      <c r="G162" s="3">
        <v>27575</v>
      </c>
      <c r="H162" s="4">
        <f t="shared" ref="H162:H193" si="5">C162-D162</f>
        <v>485</v>
      </c>
      <c r="I162" s="3">
        <f>CORREL(Table7[Net_Followers],Table7[Ad_Spend])</f>
        <v>-1.6915989818837348E-2</v>
      </c>
    </row>
    <row r="163" spans="1:9" ht="15.75" customHeight="1">
      <c r="A163" s="5">
        <v>45460</v>
      </c>
      <c r="B163" s="3" t="s">
        <v>31</v>
      </c>
      <c r="C163" s="3">
        <v>1472</v>
      </c>
      <c r="D163" s="3">
        <v>170</v>
      </c>
      <c r="E163" s="3">
        <v>250428</v>
      </c>
      <c r="F163" s="3">
        <v>4.66</v>
      </c>
      <c r="G163" s="3">
        <v>25040</v>
      </c>
      <c r="H163" s="4">
        <f t="shared" si="5"/>
        <v>1302</v>
      </c>
      <c r="I163" s="3">
        <f>CORREL(Table7[Net_Followers],Table7[Ad_Spend])</f>
        <v>-1.6915989818837348E-2</v>
      </c>
    </row>
    <row r="164" spans="1:9" ht="15.75" customHeight="1">
      <c r="A164" s="5">
        <v>45642</v>
      </c>
      <c r="B164" s="3" t="s">
        <v>14</v>
      </c>
      <c r="C164" s="3">
        <v>1350</v>
      </c>
      <c r="D164" s="3">
        <v>233</v>
      </c>
      <c r="E164" s="3">
        <v>171670</v>
      </c>
      <c r="F164" s="3">
        <v>4.53</v>
      </c>
      <c r="G164" s="3">
        <v>17574</v>
      </c>
      <c r="H164" s="4">
        <f t="shared" si="5"/>
        <v>1117</v>
      </c>
      <c r="I164" s="3">
        <f>CORREL(Table7[Net_Followers],Table7[Ad_Spend])</f>
        <v>-1.6915989818837348E-2</v>
      </c>
    </row>
    <row r="165" spans="1:9" ht="15.75" customHeight="1">
      <c r="A165" s="5">
        <v>45614</v>
      </c>
      <c r="B165" s="3" t="s">
        <v>14</v>
      </c>
      <c r="C165" s="3">
        <v>946</v>
      </c>
      <c r="D165" s="3">
        <v>270</v>
      </c>
      <c r="E165" s="3">
        <v>246567</v>
      </c>
      <c r="F165" s="3">
        <v>4.53</v>
      </c>
      <c r="G165" s="3">
        <v>5924</v>
      </c>
      <c r="H165" s="4">
        <f t="shared" si="5"/>
        <v>676</v>
      </c>
      <c r="I165" s="3">
        <f>CORREL(Table7[Net_Followers],Table7[Ad_Spend])</f>
        <v>-1.6915989818837348E-2</v>
      </c>
    </row>
    <row r="166" spans="1:9" ht="15.75" customHeight="1">
      <c r="A166" s="5">
        <v>45593</v>
      </c>
      <c r="B166" s="3" t="s">
        <v>14</v>
      </c>
      <c r="C166" s="3">
        <v>1435</v>
      </c>
      <c r="D166" s="3">
        <v>261</v>
      </c>
      <c r="E166" s="3">
        <v>308533</v>
      </c>
      <c r="F166" s="3">
        <v>4.5199999999999996</v>
      </c>
      <c r="G166" s="3">
        <v>25130</v>
      </c>
      <c r="H166" s="4">
        <f t="shared" si="5"/>
        <v>1174</v>
      </c>
      <c r="I166" s="3">
        <f>CORREL(Table7[Net_Followers],Table7[Ad_Spend])</f>
        <v>-1.6915989818837348E-2</v>
      </c>
    </row>
    <row r="167" spans="1:9" ht="15.75" customHeight="1">
      <c r="A167" s="5">
        <v>45474</v>
      </c>
      <c r="B167" s="3" t="s">
        <v>24</v>
      </c>
      <c r="C167" s="3">
        <v>845</v>
      </c>
      <c r="D167" s="3">
        <v>250</v>
      </c>
      <c r="E167" s="3">
        <v>218228</v>
      </c>
      <c r="F167" s="3">
        <v>4.5199999999999996</v>
      </c>
      <c r="G167" s="3">
        <v>21107</v>
      </c>
      <c r="H167" s="4">
        <f t="shared" si="5"/>
        <v>595</v>
      </c>
      <c r="I167" s="3">
        <f>CORREL(Table7[Net_Followers],Table7[Ad_Spend])</f>
        <v>-1.6915989818837348E-2</v>
      </c>
    </row>
    <row r="168" spans="1:9" ht="15.75" customHeight="1">
      <c r="A168" s="5">
        <v>45586</v>
      </c>
      <c r="B168" s="3" t="s">
        <v>31</v>
      </c>
      <c r="C168" s="3">
        <v>1237</v>
      </c>
      <c r="D168" s="3">
        <v>155</v>
      </c>
      <c r="E168" s="3">
        <v>149916</v>
      </c>
      <c r="F168" s="3">
        <v>4.4800000000000004</v>
      </c>
      <c r="G168" s="3">
        <v>16921</v>
      </c>
      <c r="H168" s="4">
        <f t="shared" si="5"/>
        <v>1082</v>
      </c>
      <c r="I168" s="3">
        <f>CORREL(Table7[Net_Followers],Table7[Ad_Spend])</f>
        <v>-1.6915989818837348E-2</v>
      </c>
    </row>
    <row r="169" spans="1:9" ht="15.75" customHeight="1">
      <c r="A169" s="5">
        <v>45775</v>
      </c>
      <c r="B169" s="3" t="s">
        <v>14</v>
      </c>
      <c r="C169" s="3">
        <v>1100</v>
      </c>
      <c r="D169" s="3">
        <v>117</v>
      </c>
      <c r="E169" s="3">
        <v>260204</v>
      </c>
      <c r="F169" s="3">
        <v>4.4000000000000004</v>
      </c>
      <c r="G169" s="3">
        <v>11908</v>
      </c>
      <c r="H169" s="4">
        <f t="shared" si="5"/>
        <v>983</v>
      </c>
      <c r="I169" s="3">
        <f>CORREL(Table7[Net_Followers],Table7[Ad_Spend])</f>
        <v>-1.6915989818837348E-2</v>
      </c>
    </row>
    <row r="170" spans="1:9" ht="15.75" customHeight="1">
      <c r="A170" s="5">
        <v>45474</v>
      </c>
      <c r="B170" s="3" t="s">
        <v>31</v>
      </c>
      <c r="C170" s="3">
        <v>1218</v>
      </c>
      <c r="D170" s="3">
        <v>101</v>
      </c>
      <c r="E170" s="3">
        <v>300397</v>
      </c>
      <c r="F170" s="3">
        <v>4.33</v>
      </c>
      <c r="G170" s="3">
        <v>12277</v>
      </c>
      <c r="H170" s="4">
        <f t="shared" si="5"/>
        <v>1117</v>
      </c>
      <c r="I170" s="3">
        <f>CORREL(Table7[Net_Followers],Table7[Ad_Spend])</f>
        <v>-1.6915989818837348E-2</v>
      </c>
    </row>
    <row r="171" spans="1:9" ht="15.75" customHeight="1">
      <c r="A171" s="5">
        <v>45859</v>
      </c>
      <c r="B171" s="3" t="s">
        <v>24</v>
      </c>
      <c r="C171" s="3">
        <v>754</v>
      </c>
      <c r="D171" s="3">
        <v>150</v>
      </c>
      <c r="E171" s="3">
        <v>189622</v>
      </c>
      <c r="F171" s="3">
        <v>4.25</v>
      </c>
      <c r="G171" s="3">
        <v>11911</v>
      </c>
      <c r="H171" s="4">
        <f t="shared" si="5"/>
        <v>604</v>
      </c>
      <c r="I171" s="3">
        <f>CORREL(Table7[Net_Followers],Table7[Ad_Spend])</f>
        <v>-1.6915989818837348E-2</v>
      </c>
    </row>
    <row r="172" spans="1:9" ht="15.75" customHeight="1">
      <c r="A172" s="5">
        <v>45495</v>
      </c>
      <c r="B172" s="3" t="s">
        <v>31</v>
      </c>
      <c r="C172" s="3">
        <v>1241</v>
      </c>
      <c r="D172" s="3">
        <v>116</v>
      </c>
      <c r="E172" s="3">
        <v>380606</v>
      </c>
      <c r="F172" s="3">
        <v>4.2</v>
      </c>
      <c r="G172" s="3">
        <v>24617</v>
      </c>
      <c r="H172" s="4">
        <f t="shared" si="5"/>
        <v>1125</v>
      </c>
      <c r="I172" s="3">
        <f>CORREL(Table7[Net_Followers],Table7[Ad_Spend])</f>
        <v>-1.6915989818837348E-2</v>
      </c>
    </row>
    <row r="173" spans="1:9" ht="15.75" customHeight="1">
      <c r="A173" s="5">
        <v>45901</v>
      </c>
      <c r="B173" s="3" t="s">
        <v>31</v>
      </c>
      <c r="C173" s="3">
        <v>503</v>
      </c>
      <c r="D173" s="3">
        <v>253</v>
      </c>
      <c r="E173" s="3">
        <v>313562</v>
      </c>
      <c r="F173" s="3">
        <v>4.18</v>
      </c>
      <c r="G173" s="3">
        <v>19538</v>
      </c>
      <c r="H173" s="4">
        <f t="shared" si="5"/>
        <v>250</v>
      </c>
      <c r="I173" s="3">
        <f>CORREL(Table7[Net_Followers],Table7[Ad_Spend])</f>
        <v>-1.6915989818837348E-2</v>
      </c>
    </row>
    <row r="174" spans="1:9" ht="15.75" customHeight="1">
      <c r="A174" s="5">
        <v>45712</v>
      </c>
      <c r="B174" s="3" t="s">
        <v>24</v>
      </c>
      <c r="C174" s="3">
        <v>886</v>
      </c>
      <c r="D174" s="3">
        <v>250</v>
      </c>
      <c r="E174" s="3">
        <v>168170</v>
      </c>
      <c r="F174" s="3">
        <v>4.12</v>
      </c>
      <c r="G174" s="3">
        <v>13883</v>
      </c>
      <c r="H174" s="4">
        <f t="shared" si="5"/>
        <v>636</v>
      </c>
      <c r="I174" s="3">
        <f>CORREL(Table7[Net_Followers],Table7[Ad_Spend])</f>
        <v>-1.6915989818837348E-2</v>
      </c>
    </row>
    <row r="175" spans="1:9" ht="15.75" customHeight="1">
      <c r="A175" s="5">
        <v>45733</v>
      </c>
      <c r="B175" s="3" t="s">
        <v>24</v>
      </c>
      <c r="C175" s="3">
        <v>576</v>
      </c>
      <c r="D175" s="3">
        <v>80</v>
      </c>
      <c r="E175" s="3">
        <v>345688</v>
      </c>
      <c r="F175" s="3">
        <v>4.1100000000000003</v>
      </c>
      <c r="G175" s="3">
        <v>20474</v>
      </c>
      <c r="H175" s="4">
        <f t="shared" si="5"/>
        <v>496</v>
      </c>
      <c r="I175" s="3">
        <f>CORREL(Table7[Net_Followers],Table7[Ad_Spend])</f>
        <v>-1.6915989818837348E-2</v>
      </c>
    </row>
    <row r="176" spans="1:9" ht="15.75" customHeight="1">
      <c r="A176" s="5">
        <v>45593</v>
      </c>
      <c r="B176" s="3" t="s">
        <v>31</v>
      </c>
      <c r="C176" s="3">
        <v>759</v>
      </c>
      <c r="D176" s="3">
        <v>216</v>
      </c>
      <c r="E176" s="3">
        <v>147656</v>
      </c>
      <c r="F176" s="3">
        <v>4.08</v>
      </c>
      <c r="G176" s="3">
        <v>24943</v>
      </c>
      <c r="H176" s="4">
        <f t="shared" si="5"/>
        <v>543</v>
      </c>
      <c r="I176" s="3">
        <f>CORREL(Table7[Net_Followers],Table7[Ad_Spend])</f>
        <v>-1.6915989818837348E-2</v>
      </c>
    </row>
    <row r="177" spans="1:9" ht="15.75" customHeight="1">
      <c r="A177" s="5">
        <v>45656</v>
      </c>
      <c r="B177" s="3" t="s">
        <v>31</v>
      </c>
      <c r="C177" s="3">
        <v>601</v>
      </c>
      <c r="D177" s="3">
        <v>64</v>
      </c>
      <c r="E177" s="3">
        <v>123272</v>
      </c>
      <c r="F177" s="3">
        <v>4.07</v>
      </c>
      <c r="G177" s="3">
        <v>14273</v>
      </c>
      <c r="H177" s="4">
        <f t="shared" si="5"/>
        <v>537</v>
      </c>
      <c r="I177" s="3">
        <f>CORREL(Table7[Net_Followers],Table7[Ad_Spend])</f>
        <v>-1.6915989818837348E-2</v>
      </c>
    </row>
    <row r="178" spans="1:9" ht="15.75" customHeight="1">
      <c r="A178" s="5">
        <v>45600</v>
      </c>
      <c r="B178" s="3" t="s">
        <v>14</v>
      </c>
      <c r="C178" s="3">
        <v>1437</v>
      </c>
      <c r="D178" s="3">
        <v>235</v>
      </c>
      <c r="E178" s="3">
        <v>326791</v>
      </c>
      <c r="F178" s="3">
        <v>4.0599999999999996</v>
      </c>
      <c r="G178" s="3">
        <v>14563</v>
      </c>
      <c r="H178" s="4">
        <f t="shared" si="5"/>
        <v>1202</v>
      </c>
      <c r="I178" s="3">
        <f>CORREL(Table7[Net_Followers],Table7[Ad_Spend])</f>
        <v>-1.6915989818837348E-2</v>
      </c>
    </row>
    <row r="179" spans="1:9" ht="15.75" customHeight="1">
      <c r="A179" s="5">
        <v>45887</v>
      </c>
      <c r="B179" s="3" t="s">
        <v>24</v>
      </c>
      <c r="C179" s="3">
        <v>745</v>
      </c>
      <c r="D179" s="3">
        <v>98</v>
      </c>
      <c r="E179" s="3">
        <v>354816</v>
      </c>
      <c r="F179" s="3">
        <v>4.03</v>
      </c>
      <c r="G179" s="3">
        <v>17103</v>
      </c>
      <c r="H179" s="4">
        <f t="shared" si="5"/>
        <v>647</v>
      </c>
      <c r="I179" s="3">
        <f>CORREL(Table7[Net_Followers],Table7[Ad_Spend])</f>
        <v>-1.6915989818837348E-2</v>
      </c>
    </row>
    <row r="180" spans="1:9" ht="15.75" customHeight="1">
      <c r="A180" s="5">
        <v>45908</v>
      </c>
      <c r="B180" s="3" t="s">
        <v>14</v>
      </c>
      <c r="C180" s="3">
        <v>1017</v>
      </c>
      <c r="D180" s="3">
        <v>197</v>
      </c>
      <c r="E180" s="3">
        <v>89918</v>
      </c>
      <c r="F180" s="3">
        <v>3.91</v>
      </c>
      <c r="G180" s="3">
        <v>7881</v>
      </c>
      <c r="H180" s="4">
        <f t="shared" si="5"/>
        <v>820</v>
      </c>
      <c r="I180" s="3">
        <f>CORREL(Table7[Net_Followers],Table7[Ad_Spend])</f>
        <v>-1.6915989818837348E-2</v>
      </c>
    </row>
    <row r="181" spans="1:9" ht="15.75" customHeight="1">
      <c r="A181" s="5">
        <v>45789</v>
      </c>
      <c r="B181" s="3" t="s">
        <v>31</v>
      </c>
      <c r="C181" s="3">
        <v>624</v>
      </c>
      <c r="D181" s="3">
        <v>247</v>
      </c>
      <c r="E181" s="3">
        <v>252763</v>
      </c>
      <c r="F181" s="3">
        <v>3.89</v>
      </c>
      <c r="G181" s="3">
        <v>19000</v>
      </c>
      <c r="H181" s="4">
        <f t="shared" si="5"/>
        <v>377</v>
      </c>
      <c r="I181" s="3">
        <f>CORREL(Table7[Net_Followers],Table7[Ad_Spend])</f>
        <v>-1.6915989818837348E-2</v>
      </c>
    </row>
    <row r="182" spans="1:9" ht="15.75" customHeight="1">
      <c r="A182" s="5">
        <v>45502</v>
      </c>
      <c r="B182" s="3" t="s">
        <v>14</v>
      </c>
      <c r="C182" s="3">
        <v>973</v>
      </c>
      <c r="D182" s="3">
        <v>104</v>
      </c>
      <c r="E182" s="3">
        <v>376358</v>
      </c>
      <c r="F182" s="3">
        <v>3.87</v>
      </c>
      <c r="G182" s="3">
        <v>9847</v>
      </c>
      <c r="H182" s="4">
        <f t="shared" si="5"/>
        <v>869</v>
      </c>
      <c r="I182" s="3">
        <f>CORREL(Table7[Net_Followers],Table7[Ad_Spend])</f>
        <v>-1.6915989818837348E-2</v>
      </c>
    </row>
    <row r="183" spans="1:9" ht="15.75" customHeight="1">
      <c r="A183" s="5">
        <v>45866</v>
      </c>
      <c r="B183" s="3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  <c r="H183" s="4">
        <f t="shared" si="5"/>
        <v>1282</v>
      </c>
      <c r="I183" s="3">
        <f>CORREL(Table7[Net_Followers],Table7[Ad_Spend])</f>
        <v>-1.6915989818837348E-2</v>
      </c>
    </row>
    <row r="184" spans="1:9" ht="15.75" customHeight="1">
      <c r="A184" s="5">
        <v>45712</v>
      </c>
      <c r="B184" s="3" t="s">
        <v>14</v>
      </c>
      <c r="C184" s="3">
        <v>645</v>
      </c>
      <c r="D184" s="3">
        <v>267</v>
      </c>
      <c r="E184" s="3">
        <v>346890</v>
      </c>
      <c r="F184" s="3">
        <v>3.71</v>
      </c>
      <c r="G184" s="3">
        <v>24858</v>
      </c>
      <c r="H184" s="4">
        <f t="shared" si="5"/>
        <v>378</v>
      </c>
      <c r="I184" s="3">
        <f>CORREL(Table7[Net_Followers],Table7[Ad_Spend])</f>
        <v>-1.6915989818837348E-2</v>
      </c>
    </row>
    <row r="185" spans="1:9" ht="15.75" customHeight="1">
      <c r="A185" s="5">
        <v>45684</v>
      </c>
      <c r="B185" s="3" t="s">
        <v>24</v>
      </c>
      <c r="C185" s="3">
        <v>1149</v>
      </c>
      <c r="D185" s="3">
        <v>280</v>
      </c>
      <c r="E185" s="3">
        <v>167310</v>
      </c>
      <c r="F185" s="3">
        <v>3.7</v>
      </c>
      <c r="G185" s="3">
        <v>5291</v>
      </c>
      <c r="H185" s="4">
        <f t="shared" si="5"/>
        <v>869</v>
      </c>
      <c r="I185" s="3">
        <f>CORREL(Table7[Net_Followers],Table7[Ad_Spend])</f>
        <v>-1.6915989818837348E-2</v>
      </c>
    </row>
    <row r="186" spans="1:9" ht="15.75" customHeight="1">
      <c r="A186" s="5">
        <v>45901</v>
      </c>
      <c r="B186" s="3" t="s">
        <v>24</v>
      </c>
      <c r="C186" s="3">
        <v>572</v>
      </c>
      <c r="D186" s="3">
        <v>270</v>
      </c>
      <c r="E186" s="3">
        <v>82265</v>
      </c>
      <c r="F186" s="3">
        <v>3.65</v>
      </c>
      <c r="G186" s="3">
        <v>13140</v>
      </c>
      <c r="H186" s="4">
        <f t="shared" si="5"/>
        <v>302</v>
      </c>
      <c r="I186" s="3">
        <f>CORREL(Table7[Net_Followers],Table7[Ad_Spend])</f>
        <v>-1.6915989818837348E-2</v>
      </c>
    </row>
    <row r="187" spans="1:9" ht="15.75" customHeight="1">
      <c r="A187" s="5">
        <v>45775</v>
      </c>
      <c r="B187" s="3" t="s">
        <v>31</v>
      </c>
      <c r="C187" s="3">
        <v>864</v>
      </c>
      <c r="D187" s="3">
        <v>50</v>
      </c>
      <c r="E187" s="3">
        <v>277445</v>
      </c>
      <c r="F187" s="3">
        <v>3.57</v>
      </c>
      <c r="G187" s="3">
        <v>26333</v>
      </c>
      <c r="H187" s="4">
        <f t="shared" si="5"/>
        <v>814</v>
      </c>
      <c r="I187" s="3">
        <f>CORREL(Table7[Net_Followers],Table7[Ad_Spend])</f>
        <v>-1.6915989818837348E-2</v>
      </c>
    </row>
    <row r="188" spans="1:9" ht="15.75" customHeight="1">
      <c r="A188" s="5">
        <v>45502</v>
      </c>
      <c r="B188" s="3" t="s">
        <v>31</v>
      </c>
      <c r="C188" s="3">
        <v>983</v>
      </c>
      <c r="D188" s="3">
        <v>134</v>
      </c>
      <c r="E188" s="3">
        <v>352178</v>
      </c>
      <c r="F188" s="3">
        <v>3.55</v>
      </c>
      <c r="G188" s="3">
        <v>11421</v>
      </c>
      <c r="H188" s="4">
        <f t="shared" si="5"/>
        <v>849</v>
      </c>
      <c r="I188" s="3">
        <f>CORREL(Table7[Net_Followers],Table7[Ad_Spend])</f>
        <v>-1.6915989818837348E-2</v>
      </c>
    </row>
    <row r="189" spans="1:9" ht="15.75" customHeight="1">
      <c r="A189" s="5">
        <v>45761</v>
      </c>
      <c r="B189" s="3" t="s">
        <v>14</v>
      </c>
      <c r="C189" s="3">
        <v>772</v>
      </c>
      <c r="D189" s="3">
        <v>82</v>
      </c>
      <c r="E189" s="3">
        <v>345659</v>
      </c>
      <c r="F189" s="3">
        <v>3.52</v>
      </c>
      <c r="G189" s="3">
        <v>27753</v>
      </c>
      <c r="H189" s="4">
        <f t="shared" si="5"/>
        <v>690</v>
      </c>
      <c r="I189" s="3">
        <f>CORREL(Table7[Net_Followers],Table7[Ad_Spend])</f>
        <v>-1.6915989818837348E-2</v>
      </c>
    </row>
    <row r="190" spans="1:9" ht="15.75" customHeight="1">
      <c r="A190" s="5">
        <v>45670</v>
      </c>
      <c r="B190" s="3" t="s">
        <v>14</v>
      </c>
      <c r="C190" s="3">
        <v>532</v>
      </c>
      <c r="D190" s="3">
        <v>65</v>
      </c>
      <c r="E190" s="3">
        <v>338561</v>
      </c>
      <c r="F190" s="3">
        <v>3.5</v>
      </c>
      <c r="G190" s="3">
        <v>14749</v>
      </c>
      <c r="H190" s="4">
        <f t="shared" si="5"/>
        <v>467</v>
      </c>
      <c r="I190" s="3">
        <f>CORREL(Table7[Net_Followers],Table7[Ad_Spend])</f>
        <v>-1.6915989818837348E-2</v>
      </c>
    </row>
    <row r="191" spans="1:9" ht="15.75" customHeight="1">
      <c r="A191" s="5">
        <v>45775</v>
      </c>
      <c r="B191" s="3" t="s">
        <v>24</v>
      </c>
      <c r="C191" s="3">
        <v>751</v>
      </c>
      <c r="D191" s="3">
        <v>170</v>
      </c>
      <c r="E191" s="3">
        <v>283278</v>
      </c>
      <c r="F191" s="3">
        <v>3.49</v>
      </c>
      <c r="G191" s="3">
        <v>11005</v>
      </c>
      <c r="H191" s="4">
        <f t="shared" si="5"/>
        <v>581</v>
      </c>
      <c r="I191" s="3">
        <f>CORREL(Table7[Net_Followers],Table7[Ad_Spend])</f>
        <v>-1.6915989818837348E-2</v>
      </c>
    </row>
    <row r="192" spans="1:9" ht="15.75" customHeight="1">
      <c r="A192" s="5">
        <v>45565</v>
      </c>
      <c r="B192" s="3" t="s">
        <v>14</v>
      </c>
      <c r="C192" s="3">
        <v>1416</v>
      </c>
      <c r="D192" s="3">
        <v>284</v>
      </c>
      <c r="E192" s="3">
        <v>374952</v>
      </c>
      <c r="F192" s="3">
        <v>3.45</v>
      </c>
      <c r="G192" s="3">
        <v>11335</v>
      </c>
      <c r="H192" s="4">
        <f t="shared" si="5"/>
        <v>1132</v>
      </c>
      <c r="I192" s="3">
        <f>CORREL(Table7[Net_Followers],Table7[Ad_Spend])</f>
        <v>-1.6915989818837348E-2</v>
      </c>
    </row>
    <row r="193" spans="1:9" ht="15.75" customHeight="1">
      <c r="A193" s="5">
        <v>45733</v>
      </c>
      <c r="B193" s="3" t="s">
        <v>14</v>
      </c>
      <c r="C193" s="3">
        <v>693</v>
      </c>
      <c r="D193" s="3">
        <v>129</v>
      </c>
      <c r="E193" s="3">
        <v>296031</v>
      </c>
      <c r="F193" s="3">
        <v>3.41</v>
      </c>
      <c r="G193" s="3">
        <v>7140</v>
      </c>
      <c r="H193" s="4">
        <f t="shared" si="5"/>
        <v>564</v>
      </c>
      <c r="I193" s="3">
        <f>CORREL(Table7[Net_Followers],Table7[Ad_Spend])</f>
        <v>-1.6915989818837348E-2</v>
      </c>
    </row>
    <row r="194" spans="1:9" ht="15.75" customHeight="1">
      <c r="A194" s="5">
        <v>45544</v>
      </c>
      <c r="B194" s="3" t="s">
        <v>24</v>
      </c>
      <c r="C194" s="3">
        <v>1430</v>
      </c>
      <c r="D194" s="3">
        <v>162</v>
      </c>
      <c r="E194" s="3">
        <v>269082</v>
      </c>
      <c r="F194" s="3">
        <v>3.4</v>
      </c>
      <c r="G194" s="3">
        <v>18071</v>
      </c>
      <c r="H194" s="4">
        <f t="shared" ref="H194:H201" si="6">C194-D194</f>
        <v>1268</v>
      </c>
      <c r="I194" s="3">
        <f>CORREL(Table7[Net_Followers],Table7[Ad_Spend])</f>
        <v>-1.6915989818837348E-2</v>
      </c>
    </row>
    <row r="195" spans="1:9" ht="15.75" customHeight="1">
      <c r="A195" s="5">
        <v>45740</v>
      </c>
      <c r="B195" s="3" t="s">
        <v>14</v>
      </c>
      <c r="C195" s="3">
        <v>818</v>
      </c>
      <c r="D195" s="3">
        <v>253</v>
      </c>
      <c r="E195" s="3">
        <v>184911</v>
      </c>
      <c r="F195" s="3">
        <v>3.39</v>
      </c>
      <c r="G195" s="3">
        <v>10402</v>
      </c>
      <c r="H195" s="4">
        <f t="shared" si="6"/>
        <v>565</v>
      </c>
      <c r="I195" s="3">
        <f>CORREL(Table7[Net_Followers],Table7[Ad_Spend])</f>
        <v>-1.6915989818837348E-2</v>
      </c>
    </row>
    <row r="196" spans="1:9" ht="15.75" customHeight="1">
      <c r="A196" s="5">
        <v>45551</v>
      </c>
      <c r="B196" s="3" t="s">
        <v>31</v>
      </c>
      <c r="C196" s="3">
        <v>685</v>
      </c>
      <c r="D196" s="3">
        <v>285</v>
      </c>
      <c r="E196" s="3">
        <v>177452</v>
      </c>
      <c r="F196" s="3">
        <v>3.36</v>
      </c>
      <c r="G196" s="3">
        <v>21134</v>
      </c>
      <c r="H196" s="4">
        <f t="shared" si="6"/>
        <v>400</v>
      </c>
      <c r="I196" s="3">
        <f>CORREL(Table7[Net_Followers],Table7[Ad_Spend])</f>
        <v>-1.6915989818837348E-2</v>
      </c>
    </row>
    <row r="197" spans="1:9" ht="15.75" customHeight="1">
      <c r="A197" s="5">
        <v>45684</v>
      </c>
      <c r="B197" s="3" t="s">
        <v>31</v>
      </c>
      <c r="C197" s="3">
        <v>819</v>
      </c>
      <c r="D197" s="3">
        <v>101</v>
      </c>
      <c r="E197" s="3">
        <v>194811</v>
      </c>
      <c r="F197" s="3">
        <v>3.35</v>
      </c>
      <c r="G197" s="3">
        <v>22244</v>
      </c>
      <c r="H197" s="4">
        <f t="shared" si="6"/>
        <v>718</v>
      </c>
      <c r="I197" s="3">
        <f>CORREL(Table7[Net_Followers],Table7[Ad_Spend])</f>
        <v>-1.6915989818837348E-2</v>
      </c>
    </row>
    <row r="198" spans="1:9" ht="15.75" customHeight="1">
      <c r="A198" s="5">
        <v>45677</v>
      </c>
      <c r="B198" s="3" t="s">
        <v>14</v>
      </c>
      <c r="C198" s="3">
        <v>601</v>
      </c>
      <c r="D198" s="3">
        <v>159</v>
      </c>
      <c r="E198" s="3">
        <v>327722</v>
      </c>
      <c r="F198" s="3">
        <v>3.33</v>
      </c>
      <c r="G198" s="3">
        <v>25267</v>
      </c>
      <c r="H198" s="4">
        <f t="shared" si="6"/>
        <v>442</v>
      </c>
      <c r="I198" s="3">
        <f>CORREL(Table7[Net_Followers],Table7[Ad_Spend])</f>
        <v>-1.6915989818837348E-2</v>
      </c>
    </row>
    <row r="199" spans="1:9" ht="15.75" customHeight="1">
      <c r="A199" s="5">
        <v>45642</v>
      </c>
      <c r="B199" s="3" t="s">
        <v>31</v>
      </c>
      <c r="C199" s="3">
        <v>1182</v>
      </c>
      <c r="D199" s="3">
        <v>83</v>
      </c>
      <c r="E199" s="3">
        <v>140300</v>
      </c>
      <c r="F199" s="3">
        <v>3.27</v>
      </c>
      <c r="G199" s="3">
        <v>21079</v>
      </c>
      <c r="H199" s="4">
        <f t="shared" si="6"/>
        <v>1099</v>
      </c>
      <c r="I199" s="3">
        <f>CORREL(Table7[Net_Followers],Table7[Ad_Spend])</f>
        <v>-1.6915989818837348E-2</v>
      </c>
    </row>
    <row r="200" spans="1:9" ht="15.75" customHeight="1">
      <c r="A200" s="5">
        <v>45691</v>
      </c>
      <c r="B200" s="3" t="s">
        <v>24</v>
      </c>
      <c r="C200" s="3">
        <v>681</v>
      </c>
      <c r="D200" s="3">
        <v>158</v>
      </c>
      <c r="E200" s="3">
        <v>75960</v>
      </c>
      <c r="F200" s="3">
        <v>3.13</v>
      </c>
      <c r="G200" s="3">
        <v>24112</v>
      </c>
      <c r="H200" s="4">
        <f t="shared" si="6"/>
        <v>523</v>
      </c>
      <c r="I200" s="3">
        <f>CORREL(Table7[Net_Followers],Table7[Ad_Spend])</f>
        <v>-1.6915989818837348E-2</v>
      </c>
    </row>
    <row r="201" spans="1:9" ht="15.75" customHeight="1">
      <c r="A201" s="5">
        <v>45894</v>
      </c>
      <c r="B201" s="3" t="s">
        <v>31</v>
      </c>
      <c r="C201" s="3">
        <v>791</v>
      </c>
      <c r="D201" s="3">
        <v>273</v>
      </c>
      <c r="E201" s="3">
        <v>144049</v>
      </c>
      <c r="F201" s="3">
        <v>3.08</v>
      </c>
      <c r="G201" s="3">
        <v>5281</v>
      </c>
      <c r="H201" s="4">
        <f t="shared" si="6"/>
        <v>518</v>
      </c>
      <c r="I201" s="3">
        <f>CORREL(Table7[Net_Followers],Table7[Ad_Spend])</f>
        <v>-1.6915989818837348E-2</v>
      </c>
    </row>
    <row r="202" spans="1:9" ht="15.75" customHeight="1"/>
    <row r="203" spans="1:9" ht="15.75" customHeight="1"/>
    <row r="204" spans="1:9" ht="15.75" customHeight="1"/>
    <row r="205" spans="1:9" ht="15.75" customHeight="1"/>
    <row r="206" spans="1:9" ht="15.75" customHeight="1"/>
    <row r="207" spans="1:9" ht="15.75" customHeight="1"/>
    <row r="208" spans="1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F26" sqref="F26"/>
    </sheetView>
  </sheetViews>
  <sheetFormatPr defaultColWidth="14.44140625" defaultRowHeight="15" customHeight="1"/>
  <cols>
    <col min="1" max="1" width="27.44140625" customWidth="1"/>
    <col min="2" max="2" width="24.5546875" customWidth="1"/>
    <col min="3" max="3" width="12.6640625" customWidth="1"/>
    <col min="4" max="4" width="15.33203125" customWidth="1"/>
    <col min="5" max="5" width="21.5546875" customWidth="1"/>
    <col min="6" max="6" width="33.44140625" customWidth="1"/>
    <col min="7" max="7" width="34" customWidth="1"/>
    <col min="8" max="25" width="8.6640625" customWidth="1"/>
  </cols>
  <sheetData>
    <row r="1" spans="1:7" ht="14.4">
      <c r="A1" s="18" t="s">
        <v>12</v>
      </c>
      <c r="B1" s="18" t="s">
        <v>347</v>
      </c>
      <c r="C1" s="18" t="s">
        <v>348</v>
      </c>
      <c r="D1" s="18" t="s">
        <v>349</v>
      </c>
      <c r="E1" s="18" t="s">
        <v>350</v>
      </c>
      <c r="F1" s="18" t="s">
        <v>351</v>
      </c>
      <c r="G1" s="18" t="s">
        <v>352</v>
      </c>
    </row>
    <row r="2" spans="1:7" ht="14.4">
      <c r="A2" s="2" t="s">
        <v>59</v>
      </c>
      <c r="B2" s="2" t="s">
        <v>353</v>
      </c>
      <c r="C2" s="2" t="s">
        <v>354</v>
      </c>
      <c r="D2" s="2" t="s">
        <v>355</v>
      </c>
      <c r="E2" s="19">
        <v>175000</v>
      </c>
      <c r="F2" s="2" t="s">
        <v>356</v>
      </c>
      <c r="G2" s="2" t="s">
        <v>357</v>
      </c>
    </row>
    <row r="3" spans="1:7" ht="14.4">
      <c r="A3" s="2" t="s">
        <v>55</v>
      </c>
      <c r="B3" s="2" t="s">
        <v>358</v>
      </c>
      <c r="C3" s="2" t="s">
        <v>359</v>
      </c>
      <c r="D3" s="2" t="s">
        <v>360</v>
      </c>
      <c r="E3" s="19">
        <v>225000</v>
      </c>
      <c r="F3" s="2" t="s">
        <v>361</v>
      </c>
      <c r="G3" s="2" t="s">
        <v>362</v>
      </c>
    </row>
    <row r="4" spans="1:7" ht="14.4">
      <c r="A4" s="2" t="s">
        <v>18</v>
      </c>
      <c r="B4" s="2" t="s">
        <v>363</v>
      </c>
      <c r="C4" s="2" t="s">
        <v>364</v>
      </c>
      <c r="D4" s="2" t="s">
        <v>365</v>
      </c>
      <c r="E4" s="19">
        <v>200000</v>
      </c>
      <c r="F4" s="2" t="s">
        <v>366</v>
      </c>
      <c r="G4" s="2" t="s">
        <v>367</v>
      </c>
    </row>
    <row r="5" spans="1:7" ht="14.4">
      <c r="A5" s="2" t="s">
        <v>22</v>
      </c>
      <c r="B5" s="2" t="s">
        <v>368</v>
      </c>
      <c r="C5" s="2" t="s">
        <v>369</v>
      </c>
      <c r="D5" s="2" t="s">
        <v>370</v>
      </c>
      <c r="E5" s="19">
        <v>160000</v>
      </c>
      <c r="F5" s="2" t="s">
        <v>371</v>
      </c>
      <c r="G5" s="2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5C10CC-9076-4E73-B95C-A7EC0A2F18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Task2</vt:lpstr>
      <vt:lpstr>Task3</vt:lpstr>
      <vt:lpstr>Task4</vt:lpstr>
      <vt:lpstr>Task5</vt:lpstr>
      <vt:lpstr>Task6</vt:lpstr>
      <vt:lpstr>Detail1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</dc:creator>
  <cp:lastModifiedBy>Ritesh Vikrant</cp:lastModifiedBy>
  <cp:lastPrinted>2025-10-07T06:23:33Z</cp:lastPrinted>
  <dcterms:created xsi:type="dcterms:W3CDTF">2025-10-07T06:24:52Z</dcterms:created>
  <dcterms:modified xsi:type="dcterms:W3CDTF">2025-10-10T07:08:50Z</dcterms:modified>
</cp:coreProperties>
</file>